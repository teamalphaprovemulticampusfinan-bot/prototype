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2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4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5.xml" ContentType="application/vnd.openxmlformats-officedocument.drawing+xml"/>
  <Override PartName="/xl/worksheets/sheet3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_발표용_원페이지" sheetId="1" state="visible" r:id="rId1"/>
    <sheet xmlns:r="http://schemas.openxmlformats.org/officeDocument/2006/relationships" name="00_대시보드" sheetId="2" state="visible" r:id="rId2"/>
    <sheet xmlns:r="http://schemas.openxmlformats.org/officeDocument/2006/relationships" name="01_사용안내" sheetId="3" state="visible" r:id="rId3"/>
    <sheet xmlns:r="http://schemas.openxmlformats.org/officeDocument/2006/relationships" name="02_출처맵" sheetId="4" state="visible" r:id="rId4"/>
    <sheet xmlns:r="http://schemas.openxmlformats.org/officeDocument/2006/relationships" name="03_원천_DART" sheetId="5" state="visible" r:id="rId5"/>
    <sheet xmlns:r="http://schemas.openxmlformats.org/officeDocument/2006/relationships" name="04_주가_데이터" sheetId="6" state="visible" r:id="rId6"/>
    <sheet xmlns:r="http://schemas.openxmlformats.org/officeDocument/2006/relationships" name="05_정규재무제표" sheetId="7" state="visible" r:id="rId7"/>
    <sheet xmlns:r="http://schemas.openxmlformats.org/officeDocument/2006/relationships" name="06_핵심비율" sheetId="8" state="visible" r:id="rId8"/>
    <sheet xmlns:r="http://schemas.openxmlformats.org/officeDocument/2006/relationships" name="07_WACC" sheetId="9" state="visible" r:id="rId9"/>
    <sheet xmlns:r="http://schemas.openxmlformats.org/officeDocument/2006/relationships" name="08_FCF_추정" sheetId="10" state="visible" r:id="rId10"/>
    <sheet xmlns:r="http://schemas.openxmlformats.org/officeDocument/2006/relationships" name="09_DCF_가치평가" sheetId="11" state="visible" r:id="rId11"/>
    <sheet xmlns:r="http://schemas.openxmlformats.org/officeDocument/2006/relationships" name="10_피어비교" sheetId="12" state="visible" r:id="rId12"/>
    <sheet xmlns:r="http://schemas.openxmlformats.org/officeDocument/2006/relationships" name="11_ML_보조판단" sheetId="13" state="visible" r:id="rId13"/>
    <sheet xmlns:r="http://schemas.openxmlformats.org/officeDocument/2006/relationships" name="12_민감도" sheetId="14" state="visible" r:id="rId14"/>
    <sheet xmlns:r="http://schemas.openxmlformats.org/officeDocument/2006/relationships" name="13_검증체크" sheetId="15" state="visible" r:id="rId15"/>
    <sheet xmlns:r="http://schemas.openxmlformats.org/officeDocument/2006/relationships" name="14_대시보드_JSON" sheetId="16" state="visible" r:id="rId16"/>
    <sheet xmlns:r="http://schemas.openxmlformats.org/officeDocument/2006/relationships" name="15_감사추적" sheetId="17" state="visible" r:id="rId17"/>
    <sheet xmlns:r="http://schemas.openxmlformats.org/officeDocument/2006/relationships" name="16_모델링_설계" sheetId="18" state="visible" r:id="rId18"/>
    <sheet xmlns:r="http://schemas.openxmlformats.org/officeDocument/2006/relationships" name="17_투자자요약" sheetId="19" state="visible" r:id="rId19"/>
    <sheet xmlns:r="http://schemas.openxmlformats.org/officeDocument/2006/relationships" name="18_밸류에이션_유니버스" sheetId="20" state="visible" r:id="rId20"/>
    <sheet xmlns:r="http://schemas.openxmlformats.org/officeDocument/2006/relationships" name="19_가치평가_브릿지" sheetId="21" state="visible" r:id="rId21"/>
    <sheet xmlns:r="http://schemas.openxmlformats.org/officeDocument/2006/relationships" name="20_시나리오_요약" sheetId="22" state="visible" r:id="rId22"/>
    <sheet xmlns:r="http://schemas.openxmlformats.org/officeDocument/2006/relationships" name="21_품질_커버리지" sheetId="23" state="visible" r:id="rId23"/>
    <sheet xmlns:r="http://schemas.openxmlformats.org/officeDocument/2006/relationships" name="22_종합가치평가" sheetId="24" state="visible" r:id="rId24"/>
    <sheet xmlns:r="http://schemas.openxmlformats.org/officeDocument/2006/relationships" name="23_가치범위표" sheetId="25" state="visible" r:id="rId25"/>
    <sheet xmlns:r="http://schemas.openxmlformats.org/officeDocument/2006/relationships" name="24_역산DCF" sheetId="26" state="visible" r:id="rId26"/>
    <sheet xmlns:r="http://schemas.openxmlformats.org/officeDocument/2006/relationships" name="25_데이터수집현황" sheetId="27" state="visible" r:id="rId27"/>
    <sheet xmlns:r="http://schemas.openxmlformats.org/officeDocument/2006/relationships" name="26_투자판단_요약" sheetId="28" state="visible" r:id="rId28"/>
    <sheet xmlns:r="http://schemas.openxmlformats.org/officeDocument/2006/relationships" name="27_데이터보강_내역" sheetId="29" state="visible" r:id="rId29"/>
    <sheet xmlns:r="http://schemas.openxmlformats.org/officeDocument/2006/relationships" name="28_대시보드_연동키" sheetId="30" state="visible" r:id="rId30"/>
    <sheet xmlns:r="http://schemas.openxmlformats.org/officeDocument/2006/relationships" name="29_시장위치_맵" sheetId="31" state="visible" r:id="rId31"/>
    <sheet xmlns:r="http://schemas.openxmlformats.org/officeDocument/2006/relationships" name="99_표시개선_점검" sheetId="32" state="visible" r:id="rId32"/>
  </sheets>
  <definedNames>
    <definedName name="_xlnm._FilterDatabase" localSheetId="2" hidden="1">'01_사용안내'!$A$5:$B$11</definedName>
    <definedName name="_xlnm._FilterDatabase" localSheetId="3" hidden="1">'02_출처맵'!$A$7:$I$27</definedName>
    <definedName name="_xlnm._FilterDatabase" localSheetId="4" hidden="1">'03_원천_DART'!$A$2:$Q$1116</definedName>
    <definedName name="_xlnm._FilterDatabase" localSheetId="5" hidden="1">'04_주가_데이터'!$A$18:$AE$718</definedName>
    <definedName name="_xlnm._FilterDatabase" localSheetId="6" hidden="1">'05_정규재무제표'!$A$2:$AK$7</definedName>
    <definedName name="_xlnm._FilterDatabase" localSheetId="7" hidden="1">'06_핵심비율'!$A$2:$L$7</definedName>
    <definedName name="_xlnm._FilterDatabase" localSheetId="9" hidden="1">'08_FCF_추정'!$A$2:$J$7</definedName>
    <definedName name="_xlnm._FilterDatabase" localSheetId="10" hidden="1">'09_DCF_가치평가'!$A$5:$C$21</definedName>
    <definedName name="_xlnm._FilterDatabase" localSheetId="11" hidden="1">'10_피어비교'!$A$2:$AI$7</definedName>
    <definedName name="_xlnm._FilterDatabase" localSheetId="12" hidden="1">'11_ML_보조판단'!$A$16:$B$21</definedName>
    <definedName name="_xlnm._FilterDatabase" localSheetId="13" hidden="1">'12_민감도'!$A$2:$C$27</definedName>
    <definedName name="_xlnm._FilterDatabase" localSheetId="14" hidden="1">'13_검증체크'!$A$2:$C$3</definedName>
    <definedName name="_xlnm._FilterDatabase" localSheetId="15" hidden="1">'14_대시보드_JSON'!$A$2:$D$205</definedName>
    <definedName name="_xlnm._FilterDatabase" localSheetId="16" hidden="1">'15_감사추적'!$A$2:$F$8</definedName>
    <definedName name="_xlnm._FilterDatabase" localSheetId="17" hidden="1">'16_모델링_설계'!$A$2:$G$11</definedName>
    <definedName name="_xlnm._FilterDatabase" localSheetId="18" hidden="1">'17_투자자요약'!$A$23:$B$28</definedName>
    <definedName name="_xlnm._FilterDatabase" localSheetId="19" hidden="1">'18_밸류에이션_유니버스'!$A$66:$AF$274</definedName>
    <definedName name="_xlnm._FilterDatabase" localSheetId="20" hidden="1">'19_가치평가_브릿지'!$A$29:$C$34</definedName>
    <definedName name="_xlnm._FilterDatabase" localSheetId="21" hidden="1">'20_시나리오_요약'!$A$12:$B$14</definedName>
    <definedName name="_xlnm._FilterDatabase" localSheetId="22" hidden="1">'21_품질_커버리지'!$A$15:$C$16</definedName>
    <definedName name="_xlnm._FilterDatabase" localSheetId="23" hidden="1">'22_종합가치평가'!$A$34:$D$42</definedName>
    <definedName name="_xlnm._FilterDatabase" localSheetId="24" hidden="1">'23_가치범위표'!$A$21:$B$23</definedName>
    <definedName name="_xlnm._FilterDatabase" localSheetId="25" hidden="1">'24_역산DCF'!$A$20:$B$23</definedName>
    <definedName name="_xlnm._FilterDatabase" localSheetId="26" hidden="1">'25_데이터수집현황'!$A$15:$C$29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[Red](#,##0);-"/>
    <numFmt numFmtId="165" formatCode="0.0x;[Red](0.0x);-"/>
    <numFmt numFmtId="166" formatCode="0.0%;[Red](0.0%);-"/>
    <numFmt numFmtId="167" formatCode="0.0%"/>
    <numFmt numFmtId="168" formatCode="0.0"/>
  </numFmts>
  <fonts count="17">
    <font>
      <name val="Calibri"/>
      <family val="2"/>
      <color theme="1"/>
      <sz val="11"/>
      <scheme val="minor"/>
    </font>
    <font>
      <b val="1"/>
      <color rgb="00FFFFFF"/>
      <sz val="16"/>
    </font>
    <font>
      <color rgb="000B1F33"/>
      <sz val="10"/>
    </font>
    <font>
      <b val="1"/>
      <color rgb="00FFFFFF"/>
      <sz val="10"/>
    </font>
    <font>
      <b val="1"/>
      <color rgb="000B1F33"/>
      <sz val="13"/>
    </font>
    <font>
      <color rgb="00475569"/>
      <sz val="9"/>
    </font>
    <font>
      <b val="1"/>
      <color rgb="00FFFFFF"/>
    </font>
    <font>
      <b val="1"/>
      <color rgb="000B1F33"/>
    </font>
    <font>
      <color rgb="000000FF"/>
    </font>
    <font>
      <color rgb="00000000"/>
    </font>
    <font>
      <b val="1"/>
      <color rgb="00FFFFFF"/>
      <sz val="18"/>
    </font>
    <font>
      <color rgb="00243B53"/>
      <sz val="10"/>
    </font>
    <font>
      <b val="1"/>
      <color rgb="00102A43"/>
      <sz val="11"/>
    </font>
    <font>
      <b val="1"/>
      <color rgb="00FFFFFF"/>
      <sz val="12"/>
    </font>
    <font>
      <color rgb="00102A43"/>
      <sz val="11"/>
    </font>
    <font>
      <b val="1"/>
      <color rgb="00FFFFFF"/>
      <sz val="15"/>
    </font>
    <font>
      <b val="1"/>
      <color rgb="00102A43"/>
    </font>
  </fonts>
  <fills count="20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E6EEF8"/>
      </patternFill>
    </fill>
    <fill>
      <patternFill patternType="solid">
        <fgColor rgb="00F3F6F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24476B"/>
      </patternFill>
    </fill>
    <fill>
      <patternFill patternType="solid">
        <fgColor rgb="00F8FAFC"/>
      </patternFill>
    </fill>
    <fill>
      <patternFill patternType="solid">
        <fgColor rgb="00FFF2CC"/>
      </patternFill>
    </fill>
    <fill>
      <patternFill patternType="solid">
        <fgColor rgb="00EEF6FF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7C3AED"/>
      </patternFill>
    </fill>
    <fill>
      <patternFill patternType="solid">
        <fgColor rgb="00F59E0B"/>
      </patternFill>
    </fill>
    <fill>
      <patternFill patternType="solid">
        <fgColor rgb="00DDF7EC"/>
      </patternFill>
    </fill>
    <fill>
      <patternFill patternType="solid">
        <fgColor rgb="00F2EEFF"/>
      </patternFill>
    </fill>
    <fill>
      <patternFill patternType="solid">
        <fgColor rgb="00243B53"/>
      </patternFill>
    </fill>
    <fill>
      <patternFill patternType="solid">
        <fgColor rgb="00102A43"/>
      </patternFill>
    </fill>
    <fill>
      <patternFill patternType="solid">
        <fgColor rgb="00FFF7E6"/>
      </patternFill>
    </fill>
  </fills>
  <borders count="8">
    <border>
      <left/>
      <right/>
      <top/>
      <bottom/>
      <diagonal/>
    </border>
    <border>
      <left style="medium">
        <color rgb="009FB3C8"/>
      </left>
      <right style="medium">
        <color rgb="009FB3C8"/>
      </right>
      <top style="medium">
        <color rgb="009FB3C8"/>
      </top>
      <bottom style="medium">
        <color rgb="009FB3C8"/>
      </bottom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left style="thin">
        <color rgb="00D8E1EA"/>
      </left>
      <right style="thin">
        <color rgb="00D8E1EA"/>
      </right>
      <top style="thin">
        <color rgb="00D8E1EA"/>
      </top>
      <bottom style="thin">
        <color rgb="00D8E1EA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0" fillId="2" borderId="7" applyAlignment="1" pivotButton="0" quotePrefix="0" xfId="0">
      <alignment horizontal="left" vertical="center" wrapText="1"/>
    </xf>
    <xf numFmtId="0" fontId="11" fillId="10" borderId="7" applyAlignment="1" pivotButton="0" quotePrefix="0" xfId="0">
      <alignment horizontal="left" vertical="center" wrapText="1"/>
    </xf>
    <xf numFmtId="0" fontId="6" fillId="11" borderId="7" applyAlignment="1" pivotButton="0" quotePrefix="0" xfId="0">
      <alignment horizontal="left" vertical="center" wrapText="1"/>
    </xf>
    <xf numFmtId="0" fontId="12" fillId="15" borderId="7" applyAlignment="1" pivotButton="0" quotePrefix="0" xfId="0">
      <alignment horizontal="left" vertical="center" wrapText="1"/>
    </xf>
    <xf numFmtId="0" fontId="6" fillId="12" borderId="7" applyAlignment="1" pivotButton="0" quotePrefix="0" xfId="0">
      <alignment horizontal="left" vertical="center" wrapText="1"/>
    </xf>
    <xf numFmtId="0" fontId="6" fillId="13" borderId="7" applyAlignment="1" pivotButton="0" quotePrefix="0" xfId="0">
      <alignment horizontal="left" vertical="center" wrapText="1"/>
    </xf>
    <xf numFmtId="0" fontId="6" fillId="14" borderId="7" applyAlignment="1" pivotButton="0" quotePrefix="0" xfId="0">
      <alignment horizontal="left" vertical="center" wrapText="1"/>
    </xf>
    <xf numFmtId="0" fontId="12" fillId="10" borderId="7" applyAlignment="1" pivotButton="0" quotePrefix="0" xfId="0">
      <alignment horizontal="left" vertical="center" wrapText="1"/>
    </xf>
    <xf numFmtId="0" fontId="12" fillId="16" borderId="7" applyAlignment="1" pivotButton="0" quotePrefix="0" xfId="0">
      <alignment horizontal="left" vertical="center" wrapText="1"/>
    </xf>
    <xf numFmtId="0" fontId="13" fillId="2" borderId="7" applyAlignment="1" pivotButton="0" quotePrefix="0" xfId="0">
      <alignment horizontal="left" vertical="center" wrapText="1"/>
    </xf>
    <xf numFmtId="0" fontId="14" fillId="6" borderId="7" applyAlignment="1" pivotButton="0" quotePrefix="0" xfId="0">
      <alignment horizontal="left" vertical="center" wrapText="1"/>
    </xf>
    <xf numFmtId="0" fontId="6" fillId="17" borderId="7" applyAlignment="1" pivotButton="0" quotePrefix="0" xfId="0">
      <alignment horizontal="left" vertical="center" wrapText="1"/>
    </xf>
    <xf numFmtId="0" fontId="0" fillId="8" borderId="7" applyAlignment="1" pivotButton="0" quotePrefix="0" xfId="0">
      <alignment horizontal="left" vertical="center" wrapText="1"/>
    </xf>
    <xf numFmtId="0" fontId="0" fillId="6" borderId="7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164" fontId="0" fillId="0" borderId="2" applyAlignment="1" pivotButton="0" quotePrefix="0" xfId="0">
      <alignment horizontal="left" vertical="center" wrapText="1"/>
    </xf>
    <xf numFmtId="165" fontId="0" fillId="0" borderId="2" applyAlignment="1" pivotButton="0" quotePrefix="0" xfId="0">
      <alignment horizontal="left" vertical="center" wrapText="1"/>
    </xf>
    <xf numFmtId="0" fontId="0" fillId="8" borderId="2" applyAlignment="1" pivotButton="0" quotePrefix="0" xfId="0">
      <alignment horizontal="left" vertical="center" wrapText="1"/>
    </xf>
    <xf numFmtId="164" fontId="0" fillId="6" borderId="2" applyAlignment="1" pivotButton="0" quotePrefix="0" xfId="0">
      <alignment horizontal="left" vertical="center" wrapText="1"/>
    </xf>
    <xf numFmtId="164" fontId="0" fillId="8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164" fontId="6" fillId="7" borderId="2" applyAlignment="1" pivotButton="0" quotePrefix="0" xfId="0">
      <alignment horizontal="left" vertical="center" wrapText="1"/>
    </xf>
    <xf numFmtId="166" fontId="0" fillId="6" borderId="2" applyAlignment="1" pivotButton="0" quotePrefix="0" xfId="0">
      <alignment horizontal="left" vertical="center" wrapText="1"/>
    </xf>
    <xf numFmtId="166" fontId="0" fillId="8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6" fontId="8" fillId="9" borderId="2" applyAlignment="1" pivotButton="0" quotePrefix="0" xfId="0">
      <alignment horizontal="left" vertical="center" wrapText="1"/>
    </xf>
    <xf numFmtId="164" fontId="8" fillId="9" borderId="2" applyAlignment="1" pivotButton="0" quotePrefix="0" xfId="0">
      <alignment horizontal="left" vertical="center" wrapText="1"/>
    </xf>
    <xf numFmtId="164" fontId="9" fillId="0" borderId="2" applyAlignment="1" pivotButton="0" quotePrefix="0" xfId="0">
      <alignment horizontal="left" vertical="center" wrapText="1"/>
    </xf>
    <xf numFmtId="166" fontId="9" fillId="0" borderId="2" applyAlignment="1" pivotButton="0" quotePrefix="0" xfId="0">
      <alignment horizontal="left" vertical="center" wrapText="1"/>
    </xf>
    <xf numFmtId="165" fontId="0" fillId="6" borderId="2" applyAlignment="1" pivotButton="0" quotePrefix="0" xfId="0">
      <alignment horizontal="left" vertical="center" wrapText="1"/>
    </xf>
    <xf numFmtId="165" fontId="0" fillId="8" borderId="2" applyAlignment="1" pivotButton="0" quotePrefix="0" xfId="0">
      <alignment horizontal="left" vertical="center" wrapText="1"/>
    </xf>
    <xf numFmtId="0" fontId="15" fillId="18" borderId="7" applyAlignment="1" pivotButton="0" quotePrefix="0" xfId="0">
      <alignment horizontal="left" vertical="center" wrapText="1"/>
    </xf>
    <xf numFmtId="0" fontId="16" fillId="15" borderId="7" applyAlignment="1" pivotButton="0" quotePrefix="0" xfId="0">
      <alignment horizontal="left" vertical="center" wrapText="1"/>
    </xf>
    <xf numFmtId="168" fontId="16" fillId="15" borderId="7" applyAlignment="1" pivotButton="0" quotePrefix="0" xfId="0">
      <alignment horizontal="left" vertical="center" wrapText="1"/>
    </xf>
    <xf numFmtId="167" fontId="16" fillId="15" borderId="7" applyAlignment="1" pivotButton="0" quotePrefix="0" xfId="0">
      <alignment horizontal="left" vertical="center" wrapText="1"/>
    </xf>
    <xf numFmtId="0" fontId="0" fillId="15" borderId="7" applyAlignment="1" pivotButton="0" quotePrefix="0" xfId="0">
      <alignment horizontal="left" vertical="center" wrapText="1"/>
    </xf>
    <xf numFmtId="0" fontId="0" fillId="10" borderId="7" applyAlignment="1" pivotButton="0" quotePrefix="0" xfId="0">
      <alignment horizontal="left" vertical="center" wrapText="1"/>
    </xf>
    <xf numFmtId="0" fontId="0" fillId="16" borderId="7" applyAlignment="1" pivotButton="0" quotePrefix="0" xfId="0">
      <alignment horizontal="left" vertical="center" wrapText="1"/>
    </xf>
    <xf numFmtId="0" fontId="0" fillId="19" borderId="7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투자자 관점 핵심 점수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'30_발표용_원페이지'!B30</f>
            </strRef>
          </tx>
          <spPr>
            <a:ln xmlns:a="http://schemas.openxmlformats.org/drawingml/2006/main">
              <a:prstDash val="solid"/>
            </a:ln>
          </spPr>
          <cat>
            <numRef>
              <f>'30_발표용_원페이지'!$A$31:$A$34</f>
            </numRef>
          </cat>
          <val>
            <numRef>
              <f>'30_발표용_원페이지'!$B$31:$B$34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항목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TAM/SAM/SOM 범위</a:t>
            </a:r>
          </a:p>
        </rich>
      </tx>
    </title>
    <plotArea>
      <doughnutChart>
        <varyColors val="1"/>
        <ser>
          <idx val="0"/>
          <order val="0"/>
          <tx>
            <strRef>
              <f>'30_발표용_원페이지'!F30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'30_발표용_원페이지'!$E$31:$E$33</f>
            </numRef>
          </cat>
          <val>
            <numRef>
              <f>'30_발표용_원페이지'!$F$31:$F$33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매출·영업이익·FCF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'00_대시보드'!B31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'00_대시보드'!$B$32:$B$36</f>
            </numRef>
          </val>
        </ser>
        <ser>
          <idx val="1"/>
          <order val="1"/>
          <tx>
            <strRef>
              <f>'00_대시보드'!C31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'00_대시보드'!$C$32:$C$36</f>
            </numRef>
          </val>
        </ser>
        <ser>
          <idx val="2"/>
          <order val="2"/>
          <tx>
            <strRef>
              <f>'00_대시보드'!D31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'00_대시보드'!$D$32:$D$36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KRW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FCF 추정</a:t>
            </a:r>
          </a:p>
        </rich>
      </tx>
    </title>
    <plotArea>
      <lineChart>
        <grouping val="standard"/>
        <ser>
          <idx val="0"/>
          <order val="0"/>
          <tx>
            <strRef>
              <f>'00_대시보드'!F31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'00_대시보드'!$E$32:$E$36</f>
            </numRef>
          </cat>
          <val>
            <numRef>
              <f>'00_대시보드'!$F$32:$F$36</f>
            </numRef>
          </val>
        </ser>
        <ser>
          <idx val="1"/>
          <order val="1"/>
          <tx>
            <strRef>
              <f>'00_대시보드'!G31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'00_대시보드'!$E$32:$E$36</f>
            </numRef>
          </cat>
          <val>
            <numRef>
              <f>'00_대시보드'!$G$32:$G$36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KRW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Peer P/S 비교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'00_대시보드'!J31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'00_대시보드'!$I$32:$I$36</f>
            </numRef>
          </cat>
          <val>
            <numRef>
              <f>'00_대시보드'!$J$32:$J$36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배수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종가·이동평균 추이</a:t>
            </a:r>
          </a:p>
        </rich>
      </tx>
    </title>
    <plotArea>
      <lineChart>
        <grouping val="standard"/>
        <ser>
          <idx val="0"/>
          <order val="0"/>
          <tx>
            <strRef>
              <f>'04_주가_데이터'!E18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'04_주가_데이터'!$A$19:$A$718</f>
            </numRef>
          </cat>
          <val>
            <numRef>
              <f>'04_주가_데이터'!$E$19:$E$718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일자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가치평가 방법별 중앙 주당가치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'23_가치범위표'!G10</f>
            </strRef>
          </tx>
          <spPr>
            <a:ln xmlns:a="http://schemas.openxmlformats.org/drawingml/2006/main">
              <a:prstDash val="solid"/>
            </a:ln>
          </spPr>
          <cat>
            <numRef>
              <f>'23_가치범위표'!$B$11:$B$17</f>
            </numRef>
          </cat>
          <val>
            <numRef>
              <f>'23_가치범위표'!$G$11:$G$17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가치평가 방법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원/주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선택기업 vs 동일 세부군 vs 208개 평균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'29_시장위치_맵'!$A$9:$A$11</f>
            </numRef>
          </cat>
          <val>
            <numRef>
              <f>'29_시장위치_맵'!$B$9:$B$11</f>
            </numRef>
          </val>
        </ser>
        <ser>
          <idx val="1"/>
          <order val="1"/>
          <tx>
            <strRef>
              <f>'29_시장위치_맵'!C8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'29_시장위치_맵'!$A$9:$A$11</f>
            </numRef>
          </cat>
          <val>
            <numRef>
              <f>'29_시장위치_맵'!$C$9:$C$11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비교 기준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 / SAM / SOM 범위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'29_시장위치_맵'!$A$17:$A$19</f>
            </numRef>
          </cat>
          <val>
            <numRef>
              <f>'29_시장위치_맵'!$B$17:$B$19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기업 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범위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5개 핵심기업 밸류에이션 점수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'29_시장위치_맵'!C25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'29_시장위치_맵'!$A$26:$A$30</f>
            </numRef>
          </cat>
          <val>
            <numRef>
              <f>'29_시장위치_맵'!$C$26:$C$30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AlphaProve</author>
  </authors>
  <commentList>
    <comment ref="B4" authorId="0" shapeId="0">
      <text>
        <t>출처: valuation/intake/valuation_assumptions.json</t>
      </text>
    </comment>
  </commentList>
</comments>
</file>

<file path=xl/comments/comment2.xml><?xml version="1.0" encoding="utf-8"?>
<comments xmlns="http://schemas.openxmlformats.org/spreadsheetml/2006/main">
  <authors>
    <author>AlphaProve</author>
  </authors>
  <commentList>
    <comment ref="B18" authorId="0" shapeId="0">
      <text>
        <t>출처: DART 발행주식 수 intake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24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33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16</col>
      <colOff>0</colOff>
      <row>33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16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13</col>
      <colOff>0</colOff>
      <row>8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24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41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N3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7" customWidth="1" min="3" max="3"/>
    <col width="18" customWidth="1" min="4" max="4"/>
    <col width="16" customWidth="1" min="5" max="5"/>
    <col width="16" customWidth="1" min="6" max="6"/>
    <col width="15" customWidth="1" min="7" max="7"/>
    <col width="16" customWidth="1" min="8" max="8"/>
    <col width="3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38" customHeight="1">
      <c r="A1" s="1" t="inlineStr">
        <is>
          <t>한미반도체 가치평가 원페이지</t>
        </is>
      </c>
    </row>
    <row r="2" ht="25" customHeight="1">
      <c r="A2" s="2" t="inlineStr">
        <is>
          <t>DCF·상대가치·시장내재 배수·주가 리스크·208개 비교군 위치를 한 장에서 검토하는 투자자용 요약입니다.</t>
        </is>
      </c>
    </row>
    <row r="3" ht="24" customHeight="1"/>
    <row r="4" ht="24" customHeight="1">
      <c r="A4" s="3" t="inlineStr">
        <is>
          <t>현재가</t>
        </is>
      </c>
      <c r="B4" s="4" t="inlineStr">
        <is>
          <t>291,000원</t>
        </is>
      </c>
      <c r="C4" s="5" t="inlineStr">
        <is>
          <t>DCF 내재주가</t>
        </is>
      </c>
      <c r="D4" s="4" t="inlineStr">
        <is>
          <t>18,039원</t>
        </is>
      </c>
      <c r="E4" s="6" t="inlineStr">
        <is>
          <t>괴리율</t>
        </is>
      </c>
      <c r="F4" s="4" t="inlineStr">
        <is>
          <t>-93.8%</t>
        </is>
      </c>
      <c r="G4" s="7" t="inlineStr">
        <is>
          <t>WACC</t>
        </is>
      </c>
      <c r="H4" s="4" t="inlineStr">
        <is>
          <t>14.3%</t>
        </is>
      </c>
    </row>
    <row r="5" ht="24" customHeight="1">
      <c r="A5" s="3" t="inlineStr">
        <is>
          <t>P/S</t>
        </is>
      </c>
      <c r="B5" s="8" t="inlineStr">
        <is>
          <t>48.18배</t>
        </is>
      </c>
      <c r="C5" s="5" t="inlineStr">
        <is>
          <t>비교기업 P/S 중앙값</t>
        </is>
      </c>
      <c r="D5" s="8" t="inlineStr">
        <is>
          <t>3.62배</t>
        </is>
      </c>
      <c r="E5" s="6" t="inlineStr">
        <is>
          <t>가치범위 중앙값</t>
        </is>
      </c>
      <c r="F5" s="8" t="inlineStr">
        <is>
          <t>26,383원</t>
        </is>
      </c>
      <c r="G5" s="7" t="inlineStr">
        <is>
          <t>검증 상태</t>
        </is>
      </c>
      <c r="H5" s="8" t="inlineStr">
        <is>
          <t>통과</t>
        </is>
      </c>
    </row>
    <row r="6" ht="24" customHeight="1">
      <c r="A6" s="3" t="inlineStr">
        <is>
          <t>종합 가치평가 점수</t>
        </is>
      </c>
      <c r="B6" s="9" t="inlineStr">
        <is>
          <t>38.0/100</t>
        </is>
      </c>
      <c r="C6" s="5" t="inlineStr">
        <is>
          <t>보조 가치평가 점수</t>
        </is>
      </c>
      <c r="D6" s="9" t="inlineStr">
        <is>
          <t>36.9/100</t>
        </is>
      </c>
      <c r="E6" s="6" t="inlineStr">
        <is>
          <t>역산 영구성장률</t>
        </is>
      </c>
      <c r="F6" s="9" t="inlineStr">
        <is>
          <t>8.0%</t>
        </is>
      </c>
      <c r="G6" s="7" t="inlineStr">
        <is>
          <t>오너이익 주당가치</t>
        </is>
      </c>
      <c r="H6" s="9" t="inlineStr">
        <is>
          <t>15,420원</t>
        </is>
      </c>
    </row>
    <row r="7" ht="24" customHeight="1"/>
    <row r="8" ht="24" customHeight="1">
      <c r="A8" s="10" t="inlineStr">
        <is>
          <t>핵심 판단</t>
        </is>
      </c>
    </row>
    <row r="9" ht="62" customHeight="1">
      <c r="A9" s="11" t="inlineStr">
        <is>
          <t>가치평가 관점 보수 — DCF 기준 현재가 부담이 큽니다. 보조 가치평가 점수가 45점 미만으로 보수적 해석이 필요합니다. 종합 가치평가 점수가 45점 미만으로 보수적 해석이 필요합니다.</t>
        </is>
      </c>
    </row>
    <row r="10" ht="24" customHeight="1"/>
    <row r="11" ht="24" customHeight="1"/>
    <row r="12" ht="24" customHeight="1"/>
    <row r="13" ht="24" customHeight="1">
      <c r="A13" s="12" t="inlineStr">
        <is>
          <t>분석 축</t>
        </is>
      </c>
      <c r="B13" s="12" t="inlineStr">
        <is>
          <t>현재 결론</t>
        </is>
      </c>
      <c r="C13" s="12" t="inlineStr">
        <is>
          <t>대시보드에서 볼 것</t>
        </is>
      </c>
      <c r="D13" s="12" t="inlineStr">
        <is>
          <t>실무 체크포인트</t>
        </is>
      </c>
    </row>
    <row r="14" ht="24" customHeight="1">
      <c r="A14" s="13" t="inlineStr">
        <is>
          <t>절대가치</t>
        </is>
      </c>
      <c r="B14" s="14" t="inlineStr">
        <is>
          <t>18,039원</t>
        </is>
      </c>
      <c r="C14" s="13" t="inlineStr">
        <is>
          <t>DCF 내재주가·민감도</t>
        </is>
      </c>
      <c r="D14" s="14" t="inlineStr">
        <is>
          <t>WACC와 영구성장률 가정이 바뀌면 결론이 크게 달라질 수 있습니다.</t>
        </is>
      </c>
    </row>
    <row r="15" ht="24" customHeight="1">
      <c r="A15" s="14" t="inlineStr">
        <is>
          <t>상대가치</t>
        </is>
      </c>
      <c r="B15" s="13" t="inlineStr">
        <is>
          <t>48.18배</t>
        </is>
      </c>
      <c r="C15" s="14" t="inlineStr">
        <is>
          <t>P/S·P/B·PER·EV/Sales</t>
        </is>
      </c>
      <c r="D15" s="13" t="inlineStr">
        <is>
          <t>동일 세부군 기준으로 비교기업 품질을 재확인합니다.</t>
        </is>
      </c>
    </row>
    <row r="16" ht="24" customHeight="1">
      <c r="A16" s="13" t="inlineStr">
        <is>
          <t>시장내재</t>
        </is>
      </c>
      <c r="B16" s="14" t="inlineStr">
        <is>
          <t>48.10배</t>
        </is>
      </c>
      <c r="C16" s="13" t="inlineStr">
        <is>
          <t>현재가가 반영한 배수</t>
        </is>
      </c>
      <c r="D16" s="14" t="inlineStr">
        <is>
          <t>현재 시장이 이미 반영한 성장 기대를 역산합니다.</t>
        </is>
      </c>
    </row>
    <row r="17" ht="24" customHeight="1">
      <c r="A17" s="14" t="inlineStr">
        <is>
          <t>유동성/리스크</t>
        </is>
      </c>
      <c r="B17" s="13" t="inlineStr">
        <is>
          <t>5,139.3억원</t>
        </is>
      </c>
      <c r="C17" s="14" t="inlineStr">
        <is>
          <t>거래대금·MDD·변동성</t>
        </is>
      </c>
      <c r="D17" s="13" t="inlineStr">
        <is>
          <t>거래대금이 낮은 기업은 실전 매매비용을 보수적으로 봅니다.</t>
        </is>
      </c>
    </row>
    <row r="18" ht="24" customHeight="1">
      <c r="A18" s="13" t="inlineStr">
        <is>
          <t>208개 비교군</t>
        </is>
      </c>
      <c r="B18" s="14" t="inlineStr">
        <is>
          <t>208</t>
        </is>
      </c>
      <c r="C18" s="13" t="inlineStr">
        <is>
          <t>시장위치 맵·백분위</t>
        </is>
      </c>
      <c r="D18" s="14" t="inlineStr">
        <is>
          <t>동일 섹터 안에서 상대적 위치를 먼저 확인합니다.</t>
        </is>
      </c>
    </row>
    <row r="19" ht="24" customHeight="1"/>
    <row r="20" ht="24" customHeight="1"/>
    <row r="21" ht="24" customHeight="1">
      <c r="A21" s="3" t="inlineStr">
        <is>
          <t>완성도 점검</t>
        </is>
      </c>
      <c r="B21" s="3" t="inlineStr">
        <is>
          <t>결과</t>
        </is>
      </c>
      <c r="C21" s="3" t="inlineStr">
        <is>
          <t>의미</t>
        </is>
      </c>
    </row>
    <row r="22" ht="24" customHeight="1">
      <c r="A22" s="15" t="inlineStr">
        <is>
          <t>품질 점검</t>
        </is>
      </c>
      <c r="B22" t="inlineStr"/>
      <c r="C22" s="15" t="inlineStr">
        <is>
          <t>검토 완료</t>
        </is>
      </c>
    </row>
    <row r="23" ht="24" customHeight="1">
      <c r="A23" s="15" t="inlineStr">
        <is>
          <t>품질 점검</t>
        </is>
      </c>
      <c r="B23" t="inlineStr"/>
      <c r="C23" s="15" t="inlineStr">
        <is>
          <t>검토 완료</t>
        </is>
      </c>
    </row>
    <row r="24" ht="24" customHeight="1">
      <c r="A24" s="15" t="inlineStr">
        <is>
          <t>품질 점검</t>
        </is>
      </c>
      <c r="B24" t="inlineStr"/>
      <c r="C24" s="15" t="inlineStr">
        <is>
          <t>검토 완료</t>
        </is>
      </c>
    </row>
    <row r="25" ht="24" customHeight="1">
      <c r="A25" s="15" t="inlineStr">
        <is>
          <t>품질 점검</t>
        </is>
      </c>
      <c r="B25" t="inlineStr"/>
      <c r="C25" s="15" t="inlineStr">
        <is>
          <t>검토 완료</t>
        </is>
      </c>
    </row>
    <row r="26" ht="24" customHeight="1">
      <c r="A26" s="15" t="inlineStr">
        <is>
          <t>품질 점검</t>
        </is>
      </c>
      <c r="B26" t="inlineStr"/>
      <c r="C26" s="15" t="inlineStr">
        <is>
          <t>검토 완료</t>
        </is>
      </c>
    </row>
    <row r="27" ht="24" customHeight="1">
      <c r="A27" s="15" t="inlineStr">
        <is>
          <t>품질 점검</t>
        </is>
      </c>
      <c r="B27" t="inlineStr"/>
      <c r="C27" s="15" t="inlineStr">
        <is>
          <t>검토 완료</t>
        </is>
      </c>
    </row>
    <row r="28" ht="24" customHeight="1">
      <c r="A28" s="15" t="inlineStr">
        <is>
          <t>품질 점검</t>
        </is>
      </c>
      <c r="B28" t="inlineStr"/>
      <c r="C28" s="15" t="inlineStr">
        <is>
          <t>검토 완료</t>
        </is>
      </c>
    </row>
    <row r="29" ht="24" customHeight="1"/>
    <row r="30" ht="24" customHeight="1">
      <c r="A30" s="12" t="inlineStr">
        <is>
          <t>항목</t>
        </is>
      </c>
      <c r="B30" s="12" t="inlineStr">
        <is>
          <t>점수</t>
        </is>
      </c>
      <c r="E30" s="15" t="inlineStr">
        <is>
          <t>범위</t>
        </is>
      </c>
      <c r="F30" s="15" t="inlineStr">
        <is>
          <t>기업 수</t>
        </is>
      </c>
    </row>
    <row r="31" ht="24" customHeight="1">
      <c r="A31" s="15" t="inlineStr">
        <is>
          <t>DCF 안전마진</t>
        </is>
      </c>
      <c r="B31" s="15" t="n">
        <v>-0.44</v>
      </c>
      <c r="E31" s="15" t="inlineStr">
        <is>
          <t>전체 반도체 비교군</t>
        </is>
      </c>
      <c r="F31" s="15" t="n">
        <v>208</v>
      </c>
    </row>
    <row r="32" ht="24" customHeight="1">
      <c r="A32" s="15" t="inlineStr">
        <is>
          <t>종합 가치평가</t>
        </is>
      </c>
      <c r="B32" s="15" t="n">
        <v>38</v>
      </c>
      <c r="E32" s="15" t="inlineStr">
        <is>
          <t>동일 세부군</t>
        </is>
      </c>
      <c r="F32" s="15" t="n">
        <v>40</v>
      </c>
    </row>
    <row r="33" ht="24" customHeight="1">
      <c r="A33" s="15" t="inlineStr">
        <is>
          <t>보조 점수</t>
        </is>
      </c>
      <c r="B33" s="15" t="n">
        <v>36.88</v>
      </c>
      <c r="E33" s="15" t="inlineStr">
        <is>
          <t>선택기업</t>
        </is>
      </c>
      <c r="F33" s="15" t="n">
        <v>1</v>
      </c>
    </row>
    <row r="34" ht="24" customHeight="1">
      <c r="A34" s="15" t="inlineStr">
        <is>
          <t>데이터 검증</t>
        </is>
      </c>
      <c r="B34" s="15" t="n">
        <v>100</v>
      </c>
    </row>
    <row r="35" ht="24" customHeight="1"/>
    <row r="36" ht="24" customHeight="1"/>
    <row r="37" ht="24" customHeight="1"/>
    <row r="38" ht="24" customHeight="1"/>
  </sheetData>
  <mergeCells count="4">
    <mergeCell ref="A9:H11"/>
    <mergeCell ref="A8:H8"/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5" customWidth="1" min="1" max="1"/>
    <col width="18" customWidth="1" min="2" max="2"/>
    <col width="15" customWidth="1" min="3" max="3"/>
    <col width="18" customWidth="1" min="4" max="4"/>
    <col width="15" customWidth="1" min="5" max="5"/>
    <col width="18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한미반도체 독립 가치평가 대시보드</t>
        </is>
      </c>
    </row>
    <row r="2" ht="28" customHeight="1">
      <c r="A2" s="17" t="inlineStr">
        <is>
          <t>DCF · WACC · 피어 비교 · 주가/민감도 · ML 보조판단 · 검증체크 자동 생성</t>
        </is>
      </c>
    </row>
    <row r="3" ht="24" customHeight="1"/>
    <row r="4" ht="24" customHeight="1">
      <c r="A4" s="18" t="inlineStr">
        <is>
          <t>WACC</t>
        </is>
      </c>
      <c r="B4" s="19" t="n"/>
      <c r="C4" s="18" t="inlineStr">
        <is>
          <t>DCF 기업가치</t>
        </is>
      </c>
      <c r="D4" s="19" t="n"/>
      <c r="E4" s="18" t="inlineStr">
        <is>
          <t>DCF 지분가치</t>
        </is>
      </c>
      <c r="F4" s="19" t="n"/>
      <c r="G4" s="18" t="inlineStr">
        <is>
          <t>내재주가</t>
        </is>
      </c>
      <c r="H4" s="19" t="n"/>
      <c r="I4" s="18" t="inlineStr">
        <is>
          <t>괴리율</t>
        </is>
      </c>
      <c r="J4" s="19" t="n"/>
      <c r="K4" s="18" t="inlineStr">
        <is>
          <t>검증 상태</t>
        </is>
      </c>
      <c r="L4" s="19" t="n"/>
    </row>
    <row r="5" ht="24" customHeight="1">
      <c r="A5" s="20" t="inlineStr">
        <is>
          <t>14.3%</t>
        </is>
      </c>
      <c r="B5" s="19" t="n"/>
      <c r="C5" s="20" t="inlineStr">
        <is>
          <t>15,661.2억원</t>
        </is>
      </c>
      <c r="D5" s="19" t="n"/>
      <c r="E5" s="20" t="inlineStr">
        <is>
          <t>17,193.5억원</t>
        </is>
      </c>
      <c r="F5" s="19" t="n"/>
      <c r="G5" s="20" t="inlineStr">
        <is>
          <t>18,039원</t>
        </is>
      </c>
      <c r="H5" s="19" t="n"/>
      <c r="I5" s="20" t="inlineStr">
        <is>
          <t>-93.8%</t>
        </is>
      </c>
      <c r="J5" s="19" t="n"/>
      <c r="K5" s="20" t="inlineStr">
        <is>
          <t>PASS</t>
        </is>
      </c>
      <c r="L5" s="19" t="n"/>
    </row>
    <row r="6" ht="24" customHeight="1">
      <c r="A6" s="21" t="inlineStr">
        <is>
          <t>시장가중/장부가중 혼합</t>
        </is>
      </c>
      <c r="B6" s="19" t="n"/>
      <c r="C6" s="21" t="inlineStr">
        <is>
          <t>EV 기준</t>
        </is>
      </c>
      <c r="D6" s="19" t="n"/>
      <c r="E6" s="21" t="inlineStr">
        <is>
          <t>EV + 현금 - 부채 proxy</t>
        </is>
      </c>
      <c r="F6" s="19" t="n"/>
      <c r="G6" s="21" t="inlineStr">
        <is>
          <t>발행주식 수 기준</t>
        </is>
      </c>
      <c r="H6" s="19" t="n"/>
      <c r="I6" s="21" t="inlineStr">
        <is>
          <t>현재가 대비</t>
        </is>
      </c>
      <c r="J6" s="19" t="n"/>
      <c r="K6" s="21" t="inlineStr">
        <is>
          <t>가치평가 보조근거 중립</t>
        </is>
      </c>
      <c r="L6" s="19" t="n"/>
    </row>
    <row r="7" ht="24" customHeight="1">
      <c r="A7" s="18" t="inlineStr">
        <is>
          <t>현재가</t>
        </is>
      </c>
      <c r="B7" s="19" t="n"/>
      <c r="C7" s="18" t="inlineStr">
        <is>
          <t>1년 수익률</t>
        </is>
      </c>
      <c r="D7" s="19" t="n"/>
      <c r="E7" s="18" t="inlineStr">
        <is>
          <t>MDD</t>
        </is>
      </c>
      <c r="F7" s="19" t="n"/>
      <c r="G7" s="18" t="inlineStr">
        <is>
          <t>변동성</t>
        </is>
      </c>
      <c r="H7" s="19" t="n"/>
      <c r="I7" s="18" t="inlineStr">
        <is>
          <t>주가 행 수</t>
        </is>
      </c>
      <c r="J7" s="19" t="n"/>
      <c r="K7" s="18" t="inlineStr">
        <is>
          <t>52주 범위</t>
        </is>
      </c>
      <c r="L7" s="19" t="n"/>
    </row>
    <row r="8" ht="24" customHeight="1">
      <c r="A8" s="20" t="inlineStr">
        <is>
          <t>291,000원</t>
        </is>
      </c>
      <c r="B8" s="19" t="n"/>
      <c r="C8" s="20" t="inlineStr">
        <is>
          <t>255.3%</t>
        </is>
      </c>
      <c r="D8" s="19" t="n"/>
      <c r="E8" s="20" t="inlineStr">
        <is>
          <t>-68.1%</t>
        </is>
      </c>
      <c r="F8" s="19" t="n"/>
      <c r="G8" s="20" t="inlineStr">
        <is>
          <t>66.2%</t>
        </is>
      </c>
      <c r="H8" s="19" t="n"/>
      <c r="I8" s="20" t="inlineStr">
        <is>
          <t>1,222행</t>
        </is>
      </c>
      <c r="J8" s="19" t="n"/>
      <c r="K8" s="20" t="inlineStr">
        <is>
          <t>77,400원~409,500원</t>
        </is>
      </c>
      <c r="L8" s="19" t="n"/>
    </row>
    <row r="9" ht="24" customHeight="1">
      <c r="A9" s="21" t="inlineStr">
        <is>
          <t>주가 intake</t>
        </is>
      </c>
      <c r="B9" s="19" t="n"/>
      <c r="C9" s="21" t="inlineStr">
        <is>
          <t>최근 약 1년</t>
        </is>
      </c>
      <c r="D9" s="19" t="n"/>
      <c r="E9" s="21" t="inlineStr">
        <is>
          <t>최대 낙폭</t>
        </is>
      </c>
      <c r="F9" s="19" t="n"/>
      <c r="G9" s="21" t="inlineStr">
        <is>
          <t>연환산</t>
        </is>
      </c>
      <c r="H9" s="19" t="n"/>
      <c r="I9" s="21" t="inlineStr">
        <is>
          <t>차트/대시보드 원천</t>
        </is>
      </c>
      <c r="J9" s="19" t="n"/>
      <c r="K9" s="21" t="inlineStr">
        <is>
          <t>저가~고가</t>
        </is>
      </c>
      <c r="L9" s="19" t="n"/>
    </row>
    <row r="10" ht="24" customHeight="1">
      <c r="A10" s="18" t="inlineStr">
        <is>
          <t>시가총액</t>
        </is>
      </c>
      <c r="B10" s="19" t="n"/>
      <c r="C10" s="18" t="inlineStr">
        <is>
          <t>발행주식 수</t>
        </is>
      </c>
      <c r="D10" s="19" t="n"/>
      <c r="E10" s="18" t="inlineStr">
        <is>
          <t>20일 평균 거래대금</t>
        </is>
      </c>
      <c r="F10" s="19" t="n"/>
      <c r="G10" s="18" t="inlineStr">
        <is>
          <t>최근 거래회전율</t>
        </is>
      </c>
      <c r="H10" s="19" t="n"/>
      <c r="I10" s="18" t="inlineStr">
        <is>
          <t>ML 보조점수</t>
        </is>
      </c>
      <c r="J10" s="19" t="n"/>
      <c r="K10" s="18" t="inlineStr">
        <is>
          <t>Peer 수</t>
        </is>
      </c>
      <c r="L10" s="19" t="n"/>
    </row>
    <row r="11" ht="24" customHeight="1">
      <c r="A11" s="20" t="inlineStr">
        <is>
          <t>277,358.5억원</t>
        </is>
      </c>
      <c r="B11" s="19" t="n"/>
      <c r="C11" s="20" t="inlineStr">
        <is>
          <t>95,312,200주</t>
        </is>
      </c>
      <c r="D11" s="19" t="n"/>
      <c r="E11" s="20" t="inlineStr">
        <is>
          <t>5,139.3억원</t>
        </is>
      </c>
      <c r="F11" s="19" t="n"/>
      <c r="G11" s="20" t="inlineStr">
        <is>
          <t>0.5%</t>
        </is>
      </c>
      <c r="H11" s="19" t="n"/>
      <c r="I11" s="20" t="inlineStr">
        <is>
          <t>66.4/100</t>
        </is>
      </c>
      <c r="J11" s="19" t="n"/>
      <c r="K11" s="20" t="inlineStr">
        <is>
          <t>5개</t>
        </is>
      </c>
      <c r="L11" s="19" t="n"/>
    </row>
    <row r="12" ht="24" customHeight="1">
      <c r="A12" s="21" t="inlineStr">
        <is>
          <t>현재가×발행주식 수</t>
        </is>
      </c>
      <c r="B12" s="19" t="n"/>
      <c r="C12" s="21" t="inlineStr">
        <is>
          <t>DART stockTotqySttus</t>
        </is>
      </c>
      <c r="D12" s="19" t="n"/>
      <c r="E12" s="21" t="inlineStr">
        <is>
          <t>유동성 proxy</t>
        </is>
      </c>
      <c r="F12" s="19" t="n"/>
      <c r="G12" s="21" t="inlineStr">
        <is>
          <t>거래량/주식 수</t>
        </is>
      </c>
      <c r="H12" s="19" t="n"/>
      <c r="I12" s="21" t="inlineStr">
        <is>
          <t>가치평가 보조근거 중립</t>
        </is>
      </c>
      <c r="J12" s="19" t="n"/>
      <c r="K12" s="21" t="inlineStr">
        <is>
          <t>상대가치 비교</t>
        </is>
      </c>
      <c r="L12" s="19" t="n"/>
    </row>
    <row r="13" ht="24" customHeight="1">
      <c r="A13" s="18" t="inlineStr">
        <is>
          <t>P/S</t>
        </is>
      </c>
      <c r="B13" s="19" t="n"/>
      <c r="C13" s="18" t="inlineStr">
        <is>
          <t>Peer P/S 중앙값</t>
        </is>
      </c>
      <c r="D13" s="19" t="n"/>
      <c r="E13" s="18" t="inlineStr">
        <is>
          <t>P/S 매력도</t>
        </is>
      </c>
      <c r="F13" s="19" t="n"/>
      <c r="G13" s="18" t="inlineStr">
        <is>
          <t>208개 Universe</t>
        </is>
      </c>
      <c r="H13" s="19" t="n"/>
      <c r="I13" s="18" t="inlineStr">
        <is>
          <t>Reference 그룹</t>
        </is>
      </c>
      <c r="J13" s="19" t="n"/>
      <c r="K13" s="18" t="inlineStr">
        <is>
          <t>PSR/Universe</t>
        </is>
      </c>
      <c r="L13" s="19" t="n"/>
    </row>
    <row r="14" ht="24" customHeight="1">
      <c r="A14" s="20" t="inlineStr">
        <is>
          <t>48.18x</t>
        </is>
      </c>
      <c r="B14" s="19" t="n"/>
      <c r="C14" s="20" t="inlineStr">
        <is>
          <t>3.62x</t>
        </is>
      </c>
      <c r="D14" s="19" t="n"/>
      <c r="E14" s="20" t="inlineStr">
        <is>
          <t>20.0점</t>
        </is>
      </c>
      <c r="F14" s="19" t="n"/>
      <c r="G14" s="20" t="inlineStr">
        <is>
          <t>208개</t>
        </is>
      </c>
      <c r="H14" s="19" t="n"/>
      <c r="I14" s="20" t="inlineStr">
        <is>
          <t>후공정/패키징/테스트</t>
        </is>
      </c>
      <c r="J14" s="19" t="n"/>
      <c r="K14" s="20" t="inlineStr">
        <is>
          <t>반영</t>
        </is>
      </c>
      <c r="L14" s="19" t="n"/>
    </row>
    <row r="15" ht="24" customHeight="1">
      <c r="A15" s="21" t="inlineStr">
        <is>
          <t>피어 대비 고PSR 구간: 성장 프리미엄 또는 밸류 부담 확인 필요</t>
        </is>
      </c>
      <c r="B15" s="19" t="n"/>
      <c r="C15" s="21" t="inlineStr">
        <is>
          <t>5개 live peer 기준</t>
        </is>
      </c>
      <c r="D15" s="19" t="n"/>
      <c r="E15" s="21" t="inlineStr">
        <is>
          <t>낮은 P/S일수록 점수 우호</t>
        </is>
      </c>
      <c r="F15" s="19" t="n"/>
      <c r="G15" s="21" t="inlineStr">
        <is>
          <t>후공정/패키징/테스트</t>
        </is>
      </c>
      <c r="H15" s="19" t="n"/>
      <c r="I15" s="21" t="inlineStr">
        <is>
          <t>그룹 45개</t>
        </is>
      </c>
      <c r="J15" s="19" t="n"/>
      <c r="K15" s="21" t="inlineStr">
        <is>
          <t>대시보드/Chair 보조판단</t>
        </is>
      </c>
      <c r="L15" s="19" t="n"/>
    </row>
    <row r="16" ht="24" customHeight="1"/>
    <row r="17" ht="24" customHeight="1"/>
    <row r="18" ht="24" customHeight="1"/>
    <row r="19" ht="24" customHeight="1">
      <c r="A19" s="22" t="inlineStr">
        <is>
          <t>핵심 해석</t>
        </is>
      </c>
    </row>
    <row r="20" ht="24" customHeight="1">
      <c r="A20" s="23" t="inlineStr">
        <is>
          <t>데이터 독립성</t>
        </is>
      </c>
      <c r="B20" s="24" t="inlineStr">
        <is>
          <t>finance_agent 산출물을 읽지 않고 valuation/intake 원천 데이터만 사용</t>
        </is>
      </c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 ht="24" customHeight="1">
      <c r="A21" s="23" t="inlineStr">
        <is>
          <t>모델 구조</t>
        </is>
      </c>
      <c r="B21" s="24" t="inlineStr">
        <is>
          <t>업로드한 파이낸셜 모델링 파일의 구조를 DCF/WACC/Peer/Scenario/Dashboard 코드로 반영</t>
        </is>
      </c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 ht="24" customHeight="1">
      <c r="A22" s="23" t="inlineStr">
        <is>
          <t>활용 방식</t>
        </is>
      </c>
      <c r="B22" s="24" t="inlineStr">
        <is>
          <t>Chair 최종의견 가중합에는 미반영, 보조 가치평가 및 대시보드 다운로드 산출물로 활용</t>
        </is>
      </c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 ht="24" customHeight="1">
      <c r="A23" s="23" t="inlineStr">
        <is>
          <t>주의</t>
        </is>
      </c>
      <c r="B23" s="24" t="inlineStr">
        <is>
          <t>DART·주가·발행주식 수가 부족한 항목은 검증체크 시트에서 경고로 표시</t>
        </is>
      </c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>
      <c r="A31" s="25" t="inlineStr">
        <is>
          <t>연도</t>
        </is>
      </c>
      <c r="B31" s="25" t="inlineStr">
        <is>
          <t>매출액</t>
        </is>
      </c>
      <c r="C31" s="25" t="inlineStr">
        <is>
          <t>영업이익</t>
        </is>
      </c>
      <c r="D31" s="25" t="inlineStr">
        <is>
          <t>FCF</t>
        </is>
      </c>
      <c r="E31" s="25" t="inlineStr">
        <is>
          <t>연도</t>
        </is>
      </c>
      <c r="F31" s="25" t="inlineStr">
        <is>
          <t>매출액 추정</t>
        </is>
      </c>
      <c r="G31" s="25" t="inlineStr">
        <is>
          <t>FCF 추정</t>
        </is>
      </c>
      <c r="H31" s="25" t="inlineStr">
        <is>
          <t>PV FCF</t>
        </is>
      </c>
      <c r="I31" s="25" t="inlineStr">
        <is>
          <t>기업</t>
        </is>
      </c>
      <c r="J31" s="25" t="inlineStr">
        <is>
          <t>P/S</t>
        </is>
      </c>
      <c r="K31" s="25" t="inlineStr">
        <is>
          <t>PER</t>
        </is>
      </c>
      <c r="L31" s="25" t="inlineStr">
        <is>
          <t>PBR</t>
        </is>
      </c>
    </row>
    <row r="32" ht="24" customHeight="1">
      <c r="A32" s="26" t="n">
        <v>2021</v>
      </c>
      <c r="B32" s="27" t="n">
        <v>373169401913</v>
      </c>
      <c r="C32" s="27" t="n">
        <v>122419465500</v>
      </c>
      <c r="D32" s="27" t="n">
        <v>26995383486</v>
      </c>
      <c r="E32" s="26" t="n">
        <v>2026</v>
      </c>
      <c r="F32" s="27" t="n">
        <v>670684212509.901</v>
      </c>
      <c r="G32" s="27" t="n">
        <v>167671053127.4753</v>
      </c>
      <c r="H32" s="27" t="n">
        <v>146751203100.8806</v>
      </c>
      <c r="I32" s="26" t="inlineStr">
        <is>
          <t>네패스</t>
        </is>
      </c>
      <c r="J32" s="28" t="n">
        <v>1.189577673288134</v>
      </c>
      <c r="K32" s="28" t="n">
        <v>30.77027740626223</v>
      </c>
      <c r="L32" s="28" t="n">
        <v>2.527421640088007</v>
      </c>
    </row>
    <row r="33" ht="24" customHeight="1">
      <c r="A33" s="26" t="n">
        <v>2022</v>
      </c>
      <c r="B33" s="27" t="n">
        <v>327592058714</v>
      </c>
      <c r="C33" s="27" t="n">
        <v>111859422080</v>
      </c>
      <c r="D33" s="27" t="n">
        <v>100410881301</v>
      </c>
      <c r="E33" s="26" t="n">
        <v>2027</v>
      </c>
      <c r="F33" s="27" t="n">
        <v>755190423286.1484</v>
      </c>
      <c r="G33" s="27" t="n">
        <v>188797605821.5371</v>
      </c>
      <c r="H33" s="27" t="n">
        <v>144625088984.0588</v>
      </c>
      <c r="I33" s="26" t="inlineStr">
        <is>
          <t>한미반도체</t>
        </is>
      </c>
      <c r="J33" s="28" t="n">
        <v>48.17799081027719</v>
      </c>
      <c r="K33" s="28" t="n">
        <v>129.8248893849388</v>
      </c>
      <c r="L33" s="28" t="n">
        <v>40.24684734955125</v>
      </c>
    </row>
    <row r="34" ht="24" customHeight="1">
      <c r="A34" s="26" t="n">
        <v>2023</v>
      </c>
      <c r="B34" s="27" t="n">
        <v>159008528366</v>
      </c>
      <c r="C34" s="27" t="n">
        <v>34571410992</v>
      </c>
      <c r="D34" s="27" t="n">
        <v>44906872830</v>
      </c>
      <c r="E34" s="26" t="n">
        <v>2028</v>
      </c>
      <c r="F34" s="27" t="n">
        <v>822402370958.6156</v>
      </c>
      <c r="G34" s="27" t="n">
        <v>205600592739.6539</v>
      </c>
      <c r="H34" s="27" t="n">
        <v>137846294829.627</v>
      </c>
      <c r="I34" s="26" t="inlineStr">
        <is>
          <t>한솔케미칼</t>
        </is>
      </c>
      <c r="J34" s="28" t="n">
        <v>3.616106474130175</v>
      </c>
      <c r="K34" s="28" t="n">
        <v>21.57848446387584</v>
      </c>
      <c r="L34" s="28" t="n">
        <v>2.715209593567741</v>
      </c>
    </row>
    <row r="35" ht="24" customHeight="1">
      <c r="A35" s="26" t="n">
        <v>2024</v>
      </c>
      <c r="B35" s="27" t="n">
        <v>558917191547</v>
      </c>
      <c r="C35" s="27" t="n">
        <v>255391604854</v>
      </c>
      <c r="D35" s="27" t="n">
        <v>141113901982</v>
      </c>
      <c r="E35" s="26" t="n">
        <v>2029</v>
      </c>
      <c r="F35" s="27" t="n">
        <v>865167294248.4636</v>
      </c>
      <c r="G35" s="27" t="n">
        <v>216291823562.1159</v>
      </c>
      <c r="H35" s="27" t="n">
        <v>126921271811.5867</v>
      </c>
      <c r="I35" s="26" t="inlineStr">
        <is>
          <t>덕산테코피아</t>
        </is>
      </c>
      <c r="J35" s="28" t="n">
        <v>3.745305922385903</v>
      </c>
      <c r="K35" s="28" t="n">
        <v>-3.976960053229746</v>
      </c>
      <c r="L35" s="28" t="n">
        <v>3.942403960830914</v>
      </c>
    </row>
    <row r="36" ht="24" customHeight="1">
      <c r="A36" s="26" t="n">
        <v>2025</v>
      </c>
      <c r="B36" s="27" t="n">
        <v>576684619527</v>
      </c>
      <c r="C36" s="27" t="n">
        <v>251390142142</v>
      </c>
      <c r="D36" s="27" t="n">
        <v>209512898063</v>
      </c>
      <c r="E36" s="26" t="n">
        <v>2030</v>
      </c>
      <c r="F36" s="27" t="n">
        <v>878144803662.1906</v>
      </c>
      <c r="G36" s="27" t="n">
        <v>219536200915.5476</v>
      </c>
      <c r="H36" s="27" t="n">
        <v>112751943313.2731</v>
      </c>
      <c r="I36" s="26" t="inlineStr">
        <is>
          <t>엘티씨</t>
        </is>
      </c>
      <c r="J36" s="28" t="n">
        <v>1.363125214740484</v>
      </c>
      <c r="K36" s="28" t="n">
        <v>23.26011122627931</v>
      </c>
      <c r="L36" s="28" t="n">
        <v>1.891011579832559</v>
      </c>
    </row>
  </sheetData>
  <mergeCells count="79">
    <mergeCell ref="C6:D6"/>
    <mergeCell ref="A15:B15"/>
    <mergeCell ref="C15:D15"/>
    <mergeCell ref="B22:L22"/>
    <mergeCell ref="E8:F8"/>
    <mergeCell ref="A7:B7"/>
    <mergeCell ref="B21:L21"/>
    <mergeCell ref="B23:L23"/>
    <mergeCell ref="I13:J13"/>
    <mergeCell ref="A9:B9"/>
    <mergeCell ref="K13:L13"/>
    <mergeCell ref="E12:F12"/>
    <mergeCell ref="G12:H12"/>
    <mergeCell ref="I6:J6"/>
    <mergeCell ref="I15:J15"/>
    <mergeCell ref="A11:B11"/>
    <mergeCell ref="K15:L15"/>
    <mergeCell ref="C5:D5"/>
    <mergeCell ref="E5:F5"/>
    <mergeCell ref="C14:D14"/>
    <mergeCell ref="E14:F14"/>
    <mergeCell ref="C4:D4"/>
    <mergeCell ref="E4:F4"/>
    <mergeCell ref="G7:H7"/>
    <mergeCell ref="I7:J7"/>
    <mergeCell ref="I8:J8"/>
    <mergeCell ref="A8:B8"/>
    <mergeCell ref="C8:D8"/>
    <mergeCell ref="I10:J10"/>
    <mergeCell ref="A10:B10"/>
    <mergeCell ref="K10:L10"/>
    <mergeCell ref="K6:L6"/>
    <mergeCell ref="G9:H9"/>
    <mergeCell ref="I9:J9"/>
    <mergeCell ref="G11:H11"/>
    <mergeCell ref="K9:L9"/>
    <mergeCell ref="I11:J11"/>
    <mergeCell ref="K5:L5"/>
    <mergeCell ref="A2:L2"/>
    <mergeCell ref="K11:L11"/>
    <mergeCell ref="E13:F13"/>
    <mergeCell ref="G13:H13"/>
    <mergeCell ref="A12:B12"/>
    <mergeCell ref="C12:D12"/>
    <mergeCell ref="E6:F6"/>
    <mergeCell ref="E15:F15"/>
    <mergeCell ref="K8:L8"/>
    <mergeCell ref="G15:H15"/>
    <mergeCell ref="A5:B5"/>
    <mergeCell ref="A14:B14"/>
    <mergeCell ref="A4:B4"/>
    <mergeCell ref="K7:L7"/>
    <mergeCell ref="C7:D7"/>
    <mergeCell ref="E7:F7"/>
    <mergeCell ref="B20:L20"/>
    <mergeCell ref="G8:H8"/>
    <mergeCell ref="A6:B6"/>
    <mergeCell ref="C10:D10"/>
    <mergeCell ref="E10:F10"/>
    <mergeCell ref="G10:H10"/>
    <mergeCell ref="G6:H6"/>
    <mergeCell ref="C9:D9"/>
    <mergeCell ref="E9:F9"/>
    <mergeCell ref="I12:J12"/>
    <mergeCell ref="K12:L12"/>
    <mergeCell ref="A19:L19"/>
    <mergeCell ref="C11:D11"/>
    <mergeCell ref="E11:F11"/>
    <mergeCell ref="G5:H5"/>
    <mergeCell ref="I5:J5"/>
    <mergeCell ref="G14:H14"/>
    <mergeCell ref="I14:J14"/>
    <mergeCell ref="K14:L14"/>
    <mergeCell ref="G4:H4"/>
    <mergeCell ref="I4:J4"/>
    <mergeCell ref="A1:L1"/>
    <mergeCell ref="A13:B13"/>
    <mergeCell ref="C13:D13"/>
    <mergeCell ref="K4:L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한미반도체 Valuation Agent Workbook</t>
        </is>
      </c>
    </row>
    <row r="2" ht="28" customHeight="1">
      <c r="A2" s="17" t="inlineStr">
        <is>
          <t>독립 데이터 intake → 모델링 → 검증 → 대시보드 export</t>
        </is>
      </c>
    </row>
    <row r="3" ht="24" customHeight="1"/>
    <row r="4" ht="24" customHeight="1">
      <c r="A4" s="22" t="inlineStr">
        <is>
          <t>사용 안내</t>
        </is>
      </c>
    </row>
    <row r="5" ht="24" customHeight="1">
      <c r="A5" s="25" t="inlineStr">
        <is>
          <t>항목</t>
        </is>
      </c>
      <c r="B5" s="25" t="inlineStr">
        <is>
          <t>내용</t>
        </is>
      </c>
    </row>
    <row r="6" ht="24" customHeight="1">
      <c r="A6" s="24" t="inlineStr">
        <is>
          <t>목적</t>
        </is>
      </c>
      <c r="B6" s="24" t="inlineStr">
        <is>
          <t>DART/주가/발행주식 수/피어 데이터를 intake하여 WACC·DCF·Peer·ML overlay·대시보드 payload를 자동 생성</t>
        </is>
      </c>
    </row>
    <row r="7" ht="24" customHeight="1">
      <c r="A7" s="29" t="inlineStr">
        <is>
          <t>Finance Agent와 관계</t>
        </is>
      </c>
      <c r="B7" s="29" t="inlineStr">
        <is>
          <t>finance_agent 산출물을 읽지 않음. valuation/intake 폴더의 자체 데이터만 사용</t>
        </is>
      </c>
    </row>
    <row r="8" ht="24" customHeight="1">
      <c r="A8" s="24" t="inlineStr">
        <is>
          <t>모델링 구조</t>
        </is>
      </c>
      <c r="B8" s="24" t="inlineStr">
        <is>
          <t>업로드한 파이낸셜 모델링 파일의 sheet archetype을 코드화하여 workbook 구조로 반영</t>
        </is>
      </c>
    </row>
    <row r="9" ht="24" customHeight="1">
      <c r="A9" s="29" t="inlineStr">
        <is>
          <t>PSR/208개 Universe</t>
        </is>
      </c>
      <c r="B9" s="29" t="inlineStr">
        <is>
          <t>Live peer P/S와 208개 반도체 reference universe를 별도 시트와 대시보드 payload로 제공</t>
        </is>
      </c>
    </row>
    <row r="10" ht="24" customHeight="1">
      <c r="A10" s="24" t="inlineStr">
        <is>
          <t>단위</t>
        </is>
      </c>
      <c r="B10" s="24" t="inlineStr">
        <is>
          <t>원천 데이터는 KRW actuals, 요약 표시는 억원/원/배수/비율 형식</t>
        </is>
      </c>
    </row>
    <row r="11" ht="24" customHeight="1">
      <c r="A11" s="29" t="inlineStr">
        <is>
          <t>색상 규칙</t>
        </is>
      </c>
      <c r="B11" s="29" t="inlineStr">
        <is>
          <t>노란색/파란 글씨는 조정 가능한 입력값, 검은 글씨는 공식, 진한 남색은 섹션/헤더</t>
        </is>
      </c>
    </row>
  </sheetData>
  <autoFilter ref="A5:B11"/>
  <mergeCells count="3">
    <mergeCell ref="A2:H2"/>
    <mergeCell ref="A4:F4"/>
    <mergeCell ref="A1:H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22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40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데이터 출처 맵</t>
        </is>
      </c>
    </row>
    <row r="2" ht="24" customHeight="1">
      <c r="A2" s="25" t="inlineStr">
        <is>
          <t>created_at</t>
        </is>
      </c>
      <c r="B2" s="25" t="inlineStr">
        <is>
          <t>기업명</t>
        </is>
      </c>
      <c r="C2" s="25" t="inlineStr">
        <is>
          <t>기업코드</t>
        </is>
      </c>
      <c r="D2" s="25" t="inlineStr">
        <is>
          <t>종목코드</t>
        </is>
      </c>
      <c r="E2" s="25" t="inlineStr">
        <is>
          <t>principle</t>
        </is>
      </c>
      <c r="F2" s="25" t="inlineStr">
        <is>
          <t>template_design_seed</t>
        </is>
      </c>
      <c r="G2" s="25" t="inlineStr">
        <is>
          <t>canonical_workbook_tabs</t>
        </is>
      </c>
      <c r="H2" s="25" t="inlineStr">
        <is>
          <t>files</t>
        </is>
      </c>
      <c r="I2" s="25" t="inlineStr">
        <is>
          <t>diagnostics</t>
        </is>
      </c>
      <c r="J2" s="25" t="inlineStr">
        <is>
          <t>loader_diagnostics</t>
        </is>
      </c>
    </row>
    <row r="3" ht="24" customHeight="1">
      <c r="A3" s="24" t="inlineStr">
        <is>
          <t>2026-05-20T10:31:29</t>
        </is>
      </c>
      <c r="B3" s="24" t="inlineStr">
        <is>
          <t>한미반도체</t>
        </is>
      </c>
      <c r="C3" s="24" t="inlineStr">
        <is>
          <t>hanmi</t>
        </is>
      </c>
      <c r="D3" s="24" t="inlineStr">
        <is>
          <t>042700</t>
        </is>
      </c>
      <c r="E3" s="24" t="inlineStr">
        <is>
          <t>independent_valuation_agent_intake_only; does not read finance_agent outputs</t>
        </is>
      </c>
      <c r="F3" s="24" t="inlineStr">
        <is>
          <t>uploaded_financial_modeling_packs_distilled_to_blueprints</t>
        </is>
      </c>
      <c r="G3" s="24" t="inlineStr">
        <is>
          <t>["00_대시보드", "01_사용안내", "02_출처맵", "03_원천_DART", "04_주가_데이터", "05_정규재무제표", "06_핵심비율", "07_WACC", "08_FCF_추정", "09_DCF_가치평가", "10_피어비교", "11_ML_보조판단", "12_민감도", "13_검증체크", "14_대시보드_JSON", "15_감사추적", "16_모델링_설계", "17_투자자요약", "18_밸류에이션_유니버스", "19_가치평가_브릿지", "20_시나리오_요약", "21_품질_커버리지"]</t>
        </is>
      </c>
      <c r="H3" s="24" t="inlineStr">
        <is>
          <t>{"template_catalog_csv": "data/반도체/한미반도체/valuation/intake/valuation_modeling_template_catalog.csv", "template_catalog_json": "data/반도체/한미반도체/valuation/intake/valuation_modeling_template_catalog.json", "raw_dart_accounts_csv": "data/반도체/한미반도체/valuation/intake/valuation_raw_dart_accounts.csv", "normalized_financials_csv": "data/반도체/한미반도체/valuation/intake/valuation_normalized_financials.csv", "price_history_csv": "data/반도체/한미반도체/valuation/intake/valuation_price_history.csv", "share_count_csv": "data/반도체/한미반도체/valuation/intake/valuation_share_count.csv", "price_summary_json": "data/반도체/한미반도체/valuation/intake/valuation_price_summary.json", "market_snapshot_json": "data/반도체/한미반도체/valuation/intake/valuation_market_snapshot.json", "market_snapshot_csv": "data/반도체/한미반도체/valuation/intake/valuation_market_snapshot.csv", "peer_input_csv": "data/반도체/한미반도체/valuation/intake/valuation_peer_input.csv", "assumptions_json": "data/반도체/한미반도체/valuation/intake/valuation_assumptions.json", "reference_universe_208_csv": "data/반도체/한미반도체/valuation/intake/valuation_reference_universe_208.csv", "reference_universe_focus_csv": "data/반도체/한미반도체/valuation/intake/valuation_reference_universe_focus.csv", "reference_universe_summary_json": "data/반도체/한미반도체/valuation/intake/valuation_reference_universe_summary.json"}</t>
        </is>
      </c>
      <c r="I3" s="24" t="inlineStr">
        <is>
          <t>["DART API key detected for valuation intake.", "DART corp_code resolved from cache for 한미반도체/042700.", "DART financial rows collected: 2021=219, 2022=223, 2023=226, 2024=202, 2025=244", "yfinance price rows for 042700.KS: 1222", "price provider selected: yfinance, rows=1222", "DART corp_code resolved from cache for 한미반도체/042700.", "Naver market snapshot collected: per_naver, pbr_naver, eps_naver, dividend_yield_pct_naver, bps_naver", "peer:nepes: price provider selected: yfinance, rows=728", "peer:nepes: DART corp_code resolved from cache for 네패스/033640.", "peer:hanmi: price provider selected: yfinance, rows=728", "peer:hanmi: DART corp_code resolved from cache for 한미반도체/042700.", "peer:hansol: price provider selected: yfinance, rows=728", "peer:hansol: DART corp_code resolved from cache for 한솔케미칼/014680.", "peer:duksan: price provider selected: yfinance, rows=728", "peer:duksan: DART corp_code resolved from cache for 덕산테코피아/317330.", "peer:ltc: price provider selected: yfinance, rows=727", "peer:ltc: DART corp_code resolved from cache for 엘티씨/170920.", "Market snapshot enriched with live/derived metrics count=19."]</t>
        </is>
      </c>
      <c r="J3" s="24" t="inlineStr">
        <is>
          <t>{"price_history_loaded_rows": 1222, "price_history_loaded_from": "C:\\Agent_6.8\\data\\반도체\\한미반도체\\valuation\\intake\\valuation_price_history.csv"}</t>
        </is>
      </c>
    </row>
    <row r="4" ht="24" customHeight="1"/>
    <row r="5" ht="24" customHeight="1"/>
    <row r="6" ht="24" customHeight="1">
      <c r="A6" s="22" t="inlineStr">
        <is>
          <t>발행주식 수 intake</t>
        </is>
      </c>
    </row>
    <row r="7" ht="24" customHeight="1">
      <c r="A7" s="25" t="inlineStr">
        <is>
          <t>출처</t>
        </is>
      </c>
      <c r="B7" s="25" t="inlineStr">
        <is>
          <t>DART 고유번호</t>
        </is>
      </c>
      <c r="C7" s="25" t="inlineStr">
        <is>
          <t>기업명</t>
        </is>
      </c>
      <c r="D7" s="25" t="inlineStr">
        <is>
          <t>기업코드</t>
        </is>
      </c>
      <c r="E7" s="25" t="inlineStr">
        <is>
          <t>종목코드</t>
        </is>
      </c>
      <c r="F7" s="25" t="inlineStr">
        <is>
          <t>연도</t>
        </is>
      </c>
      <c r="G7" s="25" t="inlineStr">
        <is>
          <t>share_class</t>
        </is>
      </c>
      <c r="H7" s="25" t="inlineStr">
        <is>
          <t>발행주식 수</t>
        </is>
      </c>
      <c r="I7" s="25" t="inlineStr">
        <is>
          <t>raw</t>
        </is>
      </c>
    </row>
    <row r="8" ht="24" customHeight="1">
      <c r="A8" s="24" t="inlineStr">
        <is>
          <t>OpenDART_stockTotqySttus</t>
        </is>
      </c>
      <c r="B8" s="24" t="inlineStr">
        <is>
          <t>00161383</t>
        </is>
      </c>
      <c r="C8" s="24" t="inlineStr">
        <is>
          <t>한미반도체</t>
        </is>
      </c>
      <c r="D8" s="24" t="inlineStr">
        <is>
          <t>hanmi</t>
        </is>
      </c>
      <c r="E8" s="24" t="inlineStr">
        <is>
          <t>042700</t>
        </is>
      </c>
      <c r="F8" s="24" t="inlineStr">
        <is>
          <t>2021</t>
        </is>
      </c>
      <c r="G8" s="24" t="inlineStr">
        <is>
          <t>보통주식</t>
        </is>
      </c>
      <c r="H8" s="24" t="inlineStr">
        <is>
          <t>49459877.0</t>
        </is>
      </c>
      <c r="I8" s="24" t="inlineStr">
        <is>
          <t>{"rcept_no": "20220415000576", "corp_cls": "Y", "corp_code": "00161383", "corp_name": "한미반도체", "se": "보통주식", "isu_stock_totqy": "150,000,000", "now_to_isu_stock_totqy": "63,582,100", "now_to_dcrs_stock_totqy": "14,122,223", "redc": "-", "profit_incnr": "14,122,223", "rdmstk_repy": "-", "etc": "-", "istc_totqy": "49,459,877", "tesstk_co": "-", "distb_stock_co": "49,459,877", "stlm_dt": "2021-12-31"}</t>
        </is>
      </c>
    </row>
    <row r="9" ht="24" customHeight="1">
      <c r="A9" s="29" t="inlineStr">
        <is>
          <t>OpenDART_stockTotqySttus</t>
        </is>
      </c>
      <c r="B9" s="29" t="inlineStr">
        <is>
          <t>00161383</t>
        </is>
      </c>
      <c r="C9" s="29" t="inlineStr">
        <is>
          <t>한미반도체</t>
        </is>
      </c>
      <c r="D9" s="29" t="inlineStr">
        <is>
          <t>hanmi</t>
        </is>
      </c>
      <c r="E9" s="29" t="inlineStr">
        <is>
          <t>042700</t>
        </is>
      </c>
      <c r="F9" s="29" t="inlineStr">
        <is>
          <t>2021</t>
        </is>
      </c>
      <c r="G9" s="29" t="inlineStr">
        <is>
          <t>종류주식</t>
        </is>
      </c>
      <c r="H9" s="29" t="inlineStr">
        <is>
          <t>해당 없음</t>
        </is>
      </c>
      <c r="I9" s="29" t="inlineStr">
        <is>
          <t>{"rcept_no": "20220415000576", "corp_cls": "Y", "corp_code": "00161383", "corp_name": "한미반도체", "se": "종류주식", "isu_stock_totqy": "-", "now_to_isu_stock_totqy": "-", "now_to_dcrs_stock_totqy": "-", "redc": "-", "profit_incnr": "-", "rdmstk_repy": "-", "etc": "-", "istc_totqy": "-", "tesstk_co": "-", "distb_stock_co": "-", "stlm_dt": "2021-12-31"}</t>
        </is>
      </c>
    </row>
    <row r="10" ht="24" customHeight="1">
      <c r="A10" s="24" t="inlineStr">
        <is>
          <t>OpenDART_stockTotqySttus</t>
        </is>
      </c>
      <c r="B10" s="24" t="inlineStr">
        <is>
          <t>00161383</t>
        </is>
      </c>
      <c r="C10" s="24" t="inlineStr">
        <is>
          <t>한미반도체</t>
        </is>
      </c>
      <c r="D10" s="24" t="inlineStr">
        <is>
          <t>hanmi</t>
        </is>
      </c>
      <c r="E10" s="24" t="inlineStr">
        <is>
          <t>042700</t>
        </is>
      </c>
      <c r="F10" s="24" t="inlineStr">
        <is>
          <t>2021</t>
        </is>
      </c>
      <c r="G10" s="24" t="inlineStr">
        <is>
          <t>합계</t>
        </is>
      </c>
      <c r="H10" s="24" t="inlineStr">
        <is>
          <t>49459877.0</t>
        </is>
      </c>
      <c r="I10" s="24" t="inlineStr">
        <is>
          <t>{"rcept_no": "20220415000576", "corp_cls": "Y", "corp_code": "00161383", "corp_name": "한미반도체", "se": "합계", "isu_stock_totqy": "150,000,000", "now_to_isu_stock_totqy": "63,582,100", "now_to_dcrs_stock_totqy": "14,122,223", "redc": "-", "profit_incnr": "14,122,223", "rdmstk_repy": "-", "etc": "-", "istc_totqy": "49,459,877", "tesstk_co": "-", "distb_stock_co": "49,459,877", "stlm_dt": "2021-12-31"}</t>
        </is>
      </c>
    </row>
    <row r="11" ht="24" customHeight="1">
      <c r="A11" s="29" t="inlineStr">
        <is>
          <t>OpenDART_stockTotqySttus</t>
        </is>
      </c>
      <c r="B11" s="29" t="inlineStr">
        <is>
          <t>00161383</t>
        </is>
      </c>
      <c r="C11" s="29" t="inlineStr">
        <is>
          <t>한미반도체</t>
        </is>
      </c>
      <c r="D11" s="29" t="inlineStr">
        <is>
          <t>hanmi</t>
        </is>
      </c>
      <c r="E11" s="29" t="inlineStr">
        <is>
          <t>042700</t>
        </is>
      </c>
      <c r="F11" s="29" t="inlineStr">
        <is>
          <t>2021</t>
        </is>
      </c>
      <c r="G11" s="29" t="inlineStr">
        <is>
          <t>비고</t>
        </is>
      </c>
      <c r="H11" s="29" t="inlineStr">
        <is>
          <t>해당 없음</t>
        </is>
      </c>
      <c r="I11" s="29" t="inlineStr">
        <is>
          <t>{"rcept_no": "20220415000576", "corp_cls": "Y", "corp_code": "00161383", "corp_name": "한미반도체", "se": "비고", "isu_stock_totqy": "-", "now_to_isu_stock_totqy": "액면가 200원", "now_to_dcrs_stock_totqy": "-", "redc": "-", "profit_incnr": "아래, ※ 참고", "rdmstk_repy": "-", "etc": "-", "istc_totqy": "-", "tesstk_co": "-", "distb_stock_co": "-", "stlm_dt": "2021-12-31"}</t>
        </is>
      </c>
    </row>
    <row r="12" ht="24" customHeight="1">
      <c r="A12" s="24" t="inlineStr">
        <is>
          <t>OpenDART_stockTotqySttus</t>
        </is>
      </c>
      <c r="B12" s="24" t="inlineStr">
        <is>
          <t>00161383</t>
        </is>
      </c>
      <c r="C12" s="24" t="inlineStr">
        <is>
          <t>한미반도체</t>
        </is>
      </c>
      <c r="D12" s="24" t="inlineStr">
        <is>
          <t>hanmi</t>
        </is>
      </c>
      <c r="E12" s="24" t="inlineStr">
        <is>
          <t>042700</t>
        </is>
      </c>
      <c r="F12" s="24" t="inlineStr">
        <is>
          <t>2022</t>
        </is>
      </c>
      <c r="G12" s="24" t="inlineStr">
        <is>
          <t>보통주식</t>
        </is>
      </c>
      <c r="H12" s="24" t="inlineStr">
        <is>
          <t>97339302.0</t>
        </is>
      </c>
      <c r="I12" s="24" t="inlineStr">
        <is>
          <t>{"rcept_no": "20230316001554", "corp_cls": "Y", "corp_code": "00161383", "corp_name": "한미반도체", "se": "보통주식", "isu_stock_totqy": "300,000,000", "now_to_isu_stock_totqy": "98,919,754", "now_to_dcrs_stock_totqy": "1,580,452", "redc": "-", "profit_incnr": "1,580,452", "rdmstk_repy": "-", "etc": "-", "istc_totqy": "97,339,302", "tesstk_co": "-", "distb_stock_co": "97,339,302", "stlm_dt": "2022-12-31"}</t>
        </is>
      </c>
    </row>
    <row r="13" ht="24" customHeight="1">
      <c r="A13" s="29" t="inlineStr">
        <is>
          <t>OpenDART_stockTotqySttus</t>
        </is>
      </c>
      <c r="B13" s="29" t="inlineStr">
        <is>
          <t>00161383</t>
        </is>
      </c>
      <c r="C13" s="29" t="inlineStr">
        <is>
          <t>한미반도체</t>
        </is>
      </c>
      <c r="D13" s="29" t="inlineStr">
        <is>
          <t>hanmi</t>
        </is>
      </c>
      <c r="E13" s="29" t="inlineStr">
        <is>
          <t>042700</t>
        </is>
      </c>
      <c r="F13" s="29" t="inlineStr">
        <is>
          <t>2022</t>
        </is>
      </c>
      <c r="G13" s="29" t="inlineStr">
        <is>
          <t>종류주식</t>
        </is>
      </c>
      <c r="H13" s="29" t="inlineStr">
        <is>
          <t>해당 없음</t>
        </is>
      </c>
      <c r="I13" s="29" t="inlineStr">
        <is>
          <t>{"rcept_no": "20230316001554", "corp_cls": "Y", "corp_code": "00161383", "corp_name": "한미반도체", "se": "종류주식", "isu_stock_totqy": "-", "now_to_isu_stock_totqy": "-", "now_to_dcrs_stock_totqy": "-", "redc": "-", "profit_incnr": "-", "rdmstk_repy": "-", "etc": "-", "istc_totqy": "-", "tesstk_co": "-", "distb_stock_co": "-", "stlm_dt": "2022-12-31"}</t>
        </is>
      </c>
    </row>
    <row r="14" ht="24" customHeight="1">
      <c r="A14" s="24" t="inlineStr">
        <is>
          <t>OpenDART_stockTotqySttus</t>
        </is>
      </c>
      <c r="B14" s="24" t="inlineStr">
        <is>
          <t>00161383</t>
        </is>
      </c>
      <c r="C14" s="24" t="inlineStr">
        <is>
          <t>한미반도체</t>
        </is>
      </c>
      <c r="D14" s="24" t="inlineStr">
        <is>
          <t>hanmi</t>
        </is>
      </c>
      <c r="E14" s="24" t="inlineStr">
        <is>
          <t>042700</t>
        </is>
      </c>
      <c r="F14" s="24" t="inlineStr">
        <is>
          <t>2022</t>
        </is>
      </c>
      <c r="G14" s="24" t="inlineStr">
        <is>
          <t>합계</t>
        </is>
      </c>
      <c r="H14" s="24" t="inlineStr">
        <is>
          <t>97339302.0</t>
        </is>
      </c>
      <c r="I14" s="24" t="inlineStr">
        <is>
          <t>{"rcept_no": "20230316001554", "corp_cls": "Y", "corp_code": "00161383", "corp_name": "한미반도체", "se": "합계", "isu_stock_totqy": "300,000,000", "now_to_isu_stock_totqy": "98,919,754", "now_to_dcrs_stock_totqy": "1,580,452", "redc": "-", "profit_incnr": "1,580,452", "rdmstk_repy": "-", "etc": "-", "istc_totqy": "97,339,302", "tesstk_co": "-", "distb_stock_co": "97,339,302", "stlm_dt": "2022-12-31"}</t>
        </is>
      </c>
    </row>
    <row r="15" ht="24" customHeight="1">
      <c r="A15" s="29" t="inlineStr">
        <is>
          <t>OpenDART_stockTotqySttus</t>
        </is>
      </c>
      <c r="B15" s="29" t="inlineStr">
        <is>
          <t>00161383</t>
        </is>
      </c>
      <c r="C15" s="29" t="inlineStr">
        <is>
          <t>한미반도체</t>
        </is>
      </c>
      <c r="D15" s="29" t="inlineStr">
        <is>
          <t>hanmi</t>
        </is>
      </c>
      <c r="E15" s="29" t="inlineStr">
        <is>
          <t>042700</t>
        </is>
      </c>
      <c r="F15" s="29" t="inlineStr">
        <is>
          <t>2022</t>
        </is>
      </c>
      <c r="G15" s="29" t="inlineStr">
        <is>
          <t>비고</t>
        </is>
      </c>
      <c r="H15" s="29" t="inlineStr">
        <is>
          <t>해당 없음</t>
        </is>
      </c>
      <c r="I15" s="29" t="inlineStr">
        <is>
          <t>{"rcept_no": "20230316001554", "corp_cls": "Y", "corp_code": "00161383", "corp_name": "한미반도체", "se": "비고", "isu_stock_totqy": "주1)", "now_to_isu_stock_totqy": "주2)", "now_to_dcrs_stock_totqy": "주3)", "redc": "-", "profit_incnr": "-", "rdmstk_repy": "-", "etc": "-", "istc_totqy": "-", "tesstk_co": "-", "distb_stock_co": "-", "stlm_dt": "2022-12-31"}</t>
        </is>
      </c>
    </row>
    <row r="16" ht="24" customHeight="1">
      <c r="A16" s="24" t="inlineStr">
        <is>
          <t>OpenDART_stockTotqySttus</t>
        </is>
      </c>
      <c r="B16" s="24" t="inlineStr">
        <is>
          <t>00161383</t>
        </is>
      </c>
      <c r="C16" s="24" t="inlineStr">
        <is>
          <t>한미반도체</t>
        </is>
      </c>
      <c r="D16" s="24" t="inlineStr">
        <is>
          <t>hanmi</t>
        </is>
      </c>
      <c r="E16" s="24" t="inlineStr">
        <is>
          <t>042700</t>
        </is>
      </c>
      <c r="F16" s="24" t="inlineStr">
        <is>
          <t>2023</t>
        </is>
      </c>
      <c r="G16" s="24" t="inlineStr">
        <is>
          <t>보통주식</t>
        </is>
      </c>
      <c r="H16" s="24" t="inlineStr">
        <is>
          <t>97339302.0</t>
        </is>
      </c>
      <c r="I16" s="24" t="inlineStr">
        <is>
          <t>{"rcept_no": "20240314001257", "corp_cls": "Y", "corp_code": "00161383", "corp_name": "한미반도체", "se": "보통주식", "isu_stock_totqy": "300,000,000", "now_to_isu_stock_totqy": "98,919,754", "now_to_dcrs_stock_totqy": "1,580,452", "redc": "-", "profit_incnr": "1,580,452", "rdmstk_repy": "-", "etc": "-", "istc_totqy": "97,339,302", "tesstk_co": "-", "distb_stock_co": "97,339,302", "stlm_dt": "2023-12-31"}</t>
        </is>
      </c>
    </row>
    <row r="17" ht="24" customHeight="1">
      <c r="A17" s="29" t="inlineStr">
        <is>
          <t>OpenDART_stockTotqySttus</t>
        </is>
      </c>
      <c r="B17" s="29" t="inlineStr">
        <is>
          <t>00161383</t>
        </is>
      </c>
      <c r="C17" s="29" t="inlineStr">
        <is>
          <t>한미반도체</t>
        </is>
      </c>
      <c r="D17" s="29" t="inlineStr">
        <is>
          <t>hanmi</t>
        </is>
      </c>
      <c r="E17" s="29" t="inlineStr">
        <is>
          <t>042700</t>
        </is>
      </c>
      <c r="F17" s="29" t="inlineStr">
        <is>
          <t>2023</t>
        </is>
      </c>
      <c r="G17" s="29" t="inlineStr">
        <is>
          <t>종류주식</t>
        </is>
      </c>
      <c r="H17" s="29" t="inlineStr">
        <is>
          <t>해당 없음</t>
        </is>
      </c>
      <c r="I17" s="29" t="inlineStr">
        <is>
          <t>{"rcept_no": "20240314001257", "corp_cls": "Y", "corp_code": "00161383", "corp_name": "한미반도체", "se": "종류주식", "isu_stock_totqy": "-", "now_to_isu_stock_totqy": "-", "now_to_dcrs_stock_totqy": "-", "redc": "-", "profit_incnr": "-", "rdmstk_repy": "-", "etc": "-", "istc_totqy": "-", "tesstk_co": "-", "distb_stock_co": "-", "stlm_dt": "2023-12-31"}</t>
        </is>
      </c>
    </row>
    <row r="18" ht="24" customHeight="1">
      <c r="A18" s="24" t="inlineStr">
        <is>
          <t>OpenDART_stockTotqySttus</t>
        </is>
      </c>
      <c r="B18" s="24" t="inlineStr">
        <is>
          <t>00161383</t>
        </is>
      </c>
      <c r="C18" s="24" t="inlineStr">
        <is>
          <t>한미반도체</t>
        </is>
      </c>
      <c r="D18" s="24" t="inlineStr">
        <is>
          <t>hanmi</t>
        </is>
      </c>
      <c r="E18" s="24" t="inlineStr">
        <is>
          <t>042700</t>
        </is>
      </c>
      <c r="F18" s="24" t="inlineStr">
        <is>
          <t>2023</t>
        </is>
      </c>
      <c r="G18" s="24" t="inlineStr">
        <is>
          <t>합계</t>
        </is>
      </c>
      <c r="H18" s="24" t="inlineStr">
        <is>
          <t>97339302.0</t>
        </is>
      </c>
      <c r="I18" s="24" t="inlineStr">
        <is>
          <t>{"rcept_no": "20240314001257", "corp_cls": "Y", "corp_code": "00161383", "corp_name": "한미반도체", "se": "합계", "isu_stock_totqy": "300,000,000", "now_to_isu_stock_totqy": "98,919,754", "now_to_dcrs_stock_totqy": "1,580,452", "redc": "-", "profit_incnr": "1,580,452", "rdmstk_repy": "-", "etc": "-", "istc_totqy": "97,339,302", "tesstk_co": "-", "distb_stock_co": "97,339,302", "stlm_dt": "2023-12-31"}</t>
        </is>
      </c>
    </row>
    <row r="19" ht="24" customHeight="1">
      <c r="A19" s="29" t="inlineStr">
        <is>
          <t>OpenDART_stockTotqySttus</t>
        </is>
      </c>
      <c r="B19" s="29" t="inlineStr">
        <is>
          <t>00161383</t>
        </is>
      </c>
      <c r="C19" s="29" t="inlineStr">
        <is>
          <t>한미반도체</t>
        </is>
      </c>
      <c r="D19" s="29" t="inlineStr">
        <is>
          <t>hanmi</t>
        </is>
      </c>
      <c r="E19" s="29" t="inlineStr">
        <is>
          <t>042700</t>
        </is>
      </c>
      <c r="F19" s="29" t="inlineStr">
        <is>
          <t>2023</t>
        </is>
      </c>
      <c r="G19" s="29" t="inlineStr">
        <is>
          <t>비고</t>
        </is>
      </c>
      <c r="H19" s="29" t="inlineStr">
        <is>
          <t>해당 없음</t>
        </is>
      </c>
      <c r="I19" s="29" t="inlineStr">
        <is>
          <t>{"rcept_no": "20240314001257", "corp_cls": "Y", "corp_code": "00161383", "corp_name": "한미반도체", "se": "비고", "isu_stock_totqy": "-", "now_to_isu_stock_totqy": "-", "now_to_dcrs_stock_totqy": "-", "redc": "-", "profit_incnr": "-", "rdmstk_repy": "-", "etc": "-", "istc_totqy": "-", "tesstk_co": "-", "distb_stock_co": "-", "stlm_dt": "2023-12-31"}</t>
        </is>
      </c>
    </row>
    <row r="20" ht="24" customHeight="1">
      <c r="A20" s="24" t="inlineStr">
        <is>
          <t>OpenDART_stockTotqySttus</t>
        </is>
      </c>
      <c r="B20" s="24" t="inlineStr">
        <is>
          <t>00161383</t>
        </is>
      </c>
      <c r="C20" s="24" t="inlineStr">
        <is>
          <t>한미반도체</t>
        </is>
      </c>
      <c r="D20" s="24" t="inlineStr">
        <is>
          <t>hanmi</t>
        </is>
      </c>
      <c r="E20" s="24" t="inlineStr">
        <is>
          <t>042700</t>
        </is>
      </c>
      <c r="F20" s="24" t="inlineStr">
        <is>
          <t>2024</t>
        </is>
      </c>
      <c r="G20" s="24" t="inlineStr">
        <is>
          <t>보통주식</t>
        </is>
      </c>
      <c r="H20" s="24" t="inlineStr">
        <is>
          <t>96614259.0</t>
        </is>
      </c>
      <c r="I20" s="24" t="inlineStr">
        <is>
          <t>{"rcept_no": "20250313001171", "corp_cls": "Y", "corp_code": "00161383", "corp_name": "한미반도체", "se": "보통주식", "isu_stock_totqy": "300,000,000", "now_to_isu_stock_totqy": "96,614,259", "now_to_dcrs_stock_totqy": "-", "redc": "-", "profit_incnr": "-", "rdmstk_repy": "-", "etc": "-", "istc_totqy": "96,614,259", "tesstk_co": "1,691,157", "distb_stock_co": "94,923,102", "stlm_dt": "2024-12-31"}</t>
        </is>
      </c>
    </row>
    <row r="21" ht="24" customHeight="1">
      <c r="A21" s="29" t="inlineStr">
        <is>
          <t>OpenDART_stockTotqySttus</t>
        </is>
      </c>
      <c r="B21" s="29" t="inlineStr">
        <is>
          <t>00161383</t>
        </is>
      </c>
      <c r="C21" s="29" t="inlineStr">
        <is>
          <t>한미반도체</t>
        </is>
      </c>
      <c r="D21" s="29" t="inlineStr">
        <is>
          <t>hanmi</t>
        </is>
      </c>
      <c r="E21" s="29" t="inlineStr">
        <is>
          <t>042700</t>
        </is>
      </c>
      <c r="F21" s="29" t="inlineStr">
        <is>
          <t>2024</t>
        </is>
      </c>
      <c r="G21" s="29" t="inlineStr">
        <is>
          <t>종류주식</t>
        </is>
      </c>
      <c r="H21" s="29" t="inlineStr">
        <is>
          <t>해당 없음</t>
        </is>
      </c>
      <c r="I21" s="29" t="inlineStr">
        <is>
          <t>{"rcept_no": "20250313001171", "corp_cls": "Y", "corp_code": "00161383", "corp_name": "한미반도체", "se": "종류주식", "isu_stock_totqy": "-", "now_to_isu_stock_totqy": "-", "now_to_dcrs_stock_totqy": "-", "redc": "-", "profit_incnr": "-", "rdmstk_repy": "-", "etc": "-", "istc_totqy": "-", "tesstk_co": "-", "distb_stock_co": "-", "stlm_dt": "2024-12-31"}</t>
        </is>
      </c>
    </row>
    <row r="22" ht="24" customHeight="1">
      <c r="A22" s="24" t="inlineStr">
        <is>
          <t>OpenDART_stockTotqySttus</t>
        </is>
      </c>
      <c r="B22" s="24" t="inlineStr">
        <is>
          <t>00161383</t>
        </is>
      </c>
      <c r="C22" s="24" t="inlineStr">
        <is>
          <t>한미반도체</t>
        </is>
      </c>
      <c r="D22" s="24" t="inlineStr">
        <is>
          <t>hanmi</t>
        </is>
      </c>
      <c r="E22" s="24" t="inlineStr">
        <is>
          <t>042700</t>
        </is>
      </c>
      <c r="F22" s="24" t="inlineStr">
        <is>
          <t>2024</t>
        </is>
      </c>
      <c r="G22" s="24" t="inlineStr">
        <is>
          <t>합계</t>
        </is>
      </c>
      <c r="H22" s="24" t="inlineStr">
        <is>
          <t>96614259.0</t>
        </is>
      </c>
      <c r="I22" s="24" t="inlineStr">
        <is>
          <t>{"rcept_no": "20250313001171", "corp_cls": "Y", "corp_code": "00161383", "corp_name": "한미반도체", "se": "합계", "isu_stock_totqy": "300,000,000", "now_to_isu_stock_totqy": "96,614,259", "now_to_dcrs_stock_totqy": "-", "redc": "-", "profit_incnr": "-", "rdmstk_repy": "-", "etc": "-", "istc_totqy": "96,614,259", "tesstk_co": "1,691,157", "distb_stock_co": "94,923,102", "stlm_dt": "2024-12-31"}</t>
        </is>
      </c>
    </row>
    <row r="23" ht="24" customHeight="1">
      <c r="A23" s="29" t="inlineStr">
        <is>
          <t>OpenDART_stockTotqySttus</t>
        </is>
      </c>
      <c r="B23" s="29" t="inlineStr">
        <is>
          <t>00161383</t>
        </is>
      </c>
      <c r="C23" s="29" t="inlineStr">
        <is>
          <t>한미반도체</t>
        </is>
      </c>
      <c r="D23" s="29" t="inlineStr">
        <is>
          <t>hanmi</t>
        </is>
      </c>
      <c r="E23" s="29" t="inlineStr">
        <is>
          <t>042700</t>
        </is>
      </c>
      <c r="F23" s="29" t="inlineStr">
        <is>
          <t>2024</t>
        </is>
      </c>
      <c r="G23" s="29" t="inlineStr">
        <is>
          <t>비고</t>
        </is>
      </c>
      <c r="H23" s="29" t="inlineStr">
        <is>
          <t>해당 없음</t>
        </is>
      </c>
      <c r="I23" s="29" t="inlineStr">
        <is>
          <t>{"rcept_no": "20250313001171", "corp_cls": "Y", "corp_code": "00161383", "corp_name": "한미반도체", "se": "비고", "isu_stock_totqy": "-", "now_to_isu_stock_totqy": "-", "now_to_dcrs_stock_totqy": "-", "redc": "-", "profit_incnr": "-", "rdmstk_repy": "-", "etc": "-", "istc_totqy": "-", "tesstk_co": "-", "distb_stock_co": "-", "stlm_dt": "2024-12-31"}</t>
        </is>
      </c>
    </row>
    <row r="24" ht="24" customHeight="1">
      <c r="A24" s="24" t="inlineStr">
        <is>
          <t>OpenDART_stockTotqySttus</t>
        </is>
      </c>
      <c r="B24" s="24" t="inlineStr">
        <is>
          <t>00161383</t>
        </is>
      </c>
      <c r="C24" s="24" t="inlineStr">
        <is>
          <t>한미반도체</t>
        </is>
      </c>
      <c r="D24" s="24" t="inlineStr">
        <is>
          <t>hanmi</t>
        </is>
      </c>
      <c r="E24" s="24" t="inlineStr">
        <is>
          <t>042700</t>
        </is>
      </c>
      <c r="F24" s="24" t="inlineStr">
        <is>
          <t>2025</t>
        </is>
      </c>
      <c r="G24" s="24" t="inlineStr">
        <is>
          <t>보통주식</t>
        </is>
      </c>
      <c r="H24" s="24" t="inlineStr">
        <is>
          <t>95312200.0</t>
        </is>
      </c>
      <c r="I24" s="24" t="inlineStr">
        <is>
          <t>{"rcept_no": "20260312001230", "corp_cls": "Y", "corp_code": "00161383", "corp_name": "한미반도체", "se": "보통주식", "isu_stock_totqy": "300,000,000", "now_to_isu_stock_totqy": "95,312,200", "now_to_dcrs_stock_totqy": "-", "redc": "-", "profit_incnr": "-", "rdmstk_repy": "-", "etc": "-", "istc_totqy": "95,312,200", "tesstk_co": "459,198", "distb_stock_co": "94,853,002", "stlm_dt": "2025-12-31"}</t>
        </is>
      </c>
    </row>
    <row r="25" ht="24" customHeight="1">
      <c r="A25" s="29" t="inlineStr">
        <is>
          <t>OpenDART_stockTotqySttus</t>
        </is>
      </c>
      <c r="B25" s="29" t="inlineStr">
        <is>
          <t>00161383</t>
        </is>
      </c>
      <c r="C25" s="29" t="inlineStr">
        <is>
          <t>한미반도체</t>
        </is>
      </c>
      <c r="D25" s="29" t="inlineStr">
        <is>
          <t>hanmi</t>
        </is>
      </c>
      <c r="E25" s="29" t="inlineStr">
        <is>
          <t>042700</t>
        </is>
      </c>
      <c r="F25" s="29" t="inlineStr">
        <is>
          <t>2025</t>
        </is>
      </c>
      <c r="G25" s="29" t="inlineStr">
        <is>
          <t>종류주식</t>
        </is>
      </c>
      <c r="H25" s="29" t="inlineStr">
        <is>
          <t>해당 없음</t>
        </is>
      </c>
      <c r="I25" s="29" t="inlineStr">
        <is>
          <t>{"rcept_no": "20260312001230", "corp_cls": "Y", "corp_code": "00161383", "corp_name": "한미반도체", "se": "종류주식", "isu_stock_totqy": "-", "now_to_isu_stock_totqy": "-", "now_to_dcrs_stock_totqy": "-", "redc": "-", "profit_incnr": "-", "rdmstk_repy": "-", "etc": "-", "istc_totqy": "-", "tesstk_co": "-", "distb_stock_co": "-", "stlm_dt": "2025-12-31"}</t>
        </is>
      </c>
    </row>
    <row r="26" ht="24" customHeight="1">
      <c r="A26" s="24" t="inlineStr">
        <is>
          <t>OpenDART_stockTotqySttus</t>
        </is>
      </c>
      <c r="B26" s="24" t="inlineStr">
        <is>
          <t>00161383</t>
        </is>
      </c>
      <c r="C26" s="24" t="inlineStr">
        <is>
          <t>한미반도체</t>
        </is>
      </c>
      <c r="D26" s="24" t="inlineStr">
        <is>
          <t>hanmi</t>
        </is>
      </c>
      <c r="E26" s="24" t="inlineStr">
        <is>
          <t>042700</t>
        </is>
      </c>
      <c r="F26" s="24" t="inlineStr">
        <is>
          <t>2025</t>
        </is>
      </c>
      <c r="G26" s="24" t="inlineStr">
        <is>
          <t>합계</t>
        </is>
      </c>
      <c r="H26" s="24" t="inlineStr">
        <is>
          <t>95312200.0</t>
        </is>
      </c>
      <c r="I26" s="24" t="inlineStr">
        <is>
          <t>{"rcept_no": "20260312001230", "corp_cls": "Y", "corp_code": "00161383", "corp_name": "한미반도체", "se": "합계", "isu_stock_totqy": "300,000,000", "now_to_isu_stock_totqy": "95,312,200", "now_to_dcrs_stock_totqy": "-", "redc": "-", "profit_incnr": "-", "rdmstk_repy": "-", "etc": "-", "istc_totqy": "95,312,200", "tesstk_co": "459,198", "distb_stock_co": "94,853,002", "stlm_dt": "2025-12-31"}</t>
        </is>
      </c>
    </row>
    <row r="27" ht="24" customHeight="1">
      <c r="A27" s="29" t="inlineStr">
        <is>
          <t>OpenDART_stockTotqySttus</t>
        </is>
      </c>
      <c r="B27" s="29" t="inlineStr">
        <is>
          <t>00161383</t>
        </is>
      </c>
      <c r="C27" s="29" t="inlineStr">
        <is>
          <t>한미반도체</t>
        </is>
      </c>
      <c r="D27" s="29" t="inlineStr">
        <is>
          <t>hanmi</t>
        </is>
      </c>
      <c r="E27" s="29" t="inlineStr">
        <is>
          <t>042700</t>
        </is>
      </c>
      <c r="F27" s="29" t="inlineStr">
        <is>
          <t>2025</t>
        </is>
      </c>
      <c r="G27" s="29" t="inlineStr">
        <is>
          <t>비고</t>
        </is>
      </c>
      <c r="H27" s="29" t="inlineStr">
        <is>
          <t>해당 없음</t>
        </is>
      </c>
      <c r="I27" s="29" t="inlineStr">
        <is>
          <t>{"rcept_no": "20260312001230", "corp_cls": "Y", "corp_code": "00161383", "corp_name": "한미반도체", "se": "비고", "isu_stock_totqy": "-", "now_to_isu_stock_totqy": "-", "now_to_dcrs_stock_totqy": "-", "redc": "-", "profit_incnr": "-", "rdmstk_repy": "-", "etc": "-", "istc_totqy": "-", "tesstk_co": "-", "distb_stock_co": "-", "stlm_dt": "2025-12-31"}</t>
        </is>
      </c>
    </row>
  </sheetData>
  <autoFilter ref="A7:I27"/>
  <mergeCells count="2">
    <mergeCell ref="A6:F6"/>
    <mergeCell ref="A1:F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11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22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DART 원천 계정</t>
        </is>
      </c>
    </row>
    <row r="2" ht="24" customHeight="1">
      <c r="A2" s="25" t="inlineStr">
        <is>
          <t>출처</t>
        </is>
      </c>
      <c r="B2" s="25" t="inlineStr">
        <is>
          <t>DART 고유번호</t>
        </is>
      </c>
      <c r="C2" s="25" t="inlineStr">
        <is>
          <t>기업명</t>
        </is>
      </c>
      <c r="D2" s="25" t="inlineStr">
        <is>
          <t>기업코드</t>
        </is>
      </c>
      <c r="E2" s="25" t="inlineStr">
        <is>
          <t>종목코드</t>
        </is>
      </c>
      <c r="F2" s="25" t="inlineStr">
        <is>
          <t>연도</t>
        </is>
      </c>
      <c r="G2" s="25" t="inlineStr">
        <is>
          <t>재무제표 구분</t>
        </is>
      </c>
      <c r="H2" s="25" t="inlineStr">
        <is>
          <t>재무제표 코드</t>
        </is>
      </c>
      <c r="I2" s="25" t="inlineStr">
        <is>
          <t>재무제표명</t>
        </is>
      </c>
      <c r="J2" s="25" t="inlineStr">
        <is>
          <t>계정ID</t>
        </is>
      </c>
      <c r="K2" s="25" t="inlineStr">
        <is>
          <t>계정명</t>
        </is>
      </c>
      <c r="L2" s="25" t="inlineStr">
        <is>
          <t>계정상세</t>
        </is>
      </c>
      <c r="M2" s="25" t="inlineStr">
        <is>
          <t>당기명</t>
        </is>
      </c>
      <c r="N2" s="25" t="inlineStr">
        <is>
          <t>금액</t>
        </is>
      </c>
      <c r="O2" s="25" t="inlineStr">
        <is>
          <t>전기금액</t>
        </is>
      </c>
      <c r="P2" s="25" t="inlineStr">
        <is>
          <t>통화</t>
        </is>
      </c>
      <c r="Q2" s="25" t="inlineStr">
        <is>
          <t>정렬순서</t>
        </is>
      </c>
    </row>
    <row r="3" ht="24" customHeight="1">
      <c r="A3" s="24" t="inlineStr">
        <is>
          <t>OpenDART_fnlttSinglAcntAll</t>
        </is>
      </c>
      <c r="B3" s="24" t="inlineStr">
        <is>
          <t>00161383</t>
        </is>
      </c>
      <c r="C3" s="24" t="inlineStr">
        <is>
          <t>한미반도체</t>
        </is>
      </c>
      <c r="D3" s="24" t="inlineStr">
        <is>
          <t>hanmi</t>
        </is>
      </c>
      <c r="E3" s="24" t="inlineStr">
        <is>
          <t>042700</t>
        </is>
      </c>
      <c r="F3" s="24" t="inlineStr">
        <is>
          <t>2021</t>
        </is>
      </c>
      <c r="G3" s="24" t="inlineStr">
        <is>
          <t>CFS</t>
        </is>
      </c>
      <c r="H3" s="24" t="inlineStr">
        <is>
          <t>BS</t>
        </is>
      </c>
      <c r="I3" s="24" t="inlineStr">
        <is>
          <t>재무상태표</t>
        </is>
      </c>
      <c r="J3" s="24" t="inlineStr">
        <is>
          <t>ifrs-full_CurrentAssets</t>
        </is>
      </c>
      <c r="K3" s="24" t="inlineStr">
        <is>
          <t>유동자산</t>
        </is>
      </c>
      <c r="L3" s="24" t="inlineStr">
        <is>
          <t>-</t>
        </is>
      </c>
      <c r="M3" s="24" t="inlineStr">
        <is>
          <t>제 42 기</t>
        </is>
      </c>
      <c r="N3" s="24" t="inlineStr">
        <is>
          <t>249783839880.0</t>
        </is>
      </c>
      <c r="O3" s="24" t="inlineStr">
        <is>
          <t>208937098511.0</t>
        </is>
      </c>
      <c r="P3" s="24" t="inlineStr">
        <is>
          <t>KRW</t>
        </is>
      </c>
      <c r="Q3" s="24" t="inlineStr">
        <is>
          <t>1</t>
        </is>
      </c>
    </row>
    <row r="4" ht="24" customHeight="1">
      <c r="A4" s="29" t="inlineStr">
        <is>
          <t>OpenDART_fnlttSinglAcntAll</t>
        </is>
      </c>
      <c r="B4" s="29" t="inlineStr">
        <is>
          <t>00161383</t>
        </is>
      </c>
      <c r="C4" s="29" t="inlineStr">
        <is>
          <t>한미반도체</t>
        </is>
      </c>
      <c r="D4" s="29" t="inlineStr">
        <is>
          <t>hanmi</t>
        </is>
      </c>
      <c r="E4" s="29" t="inlineStr">
        <is>
          <t>042700</t>
        </is>
      </c>
      <c r="F4" s="29" t="inlineStr">
        <is>
          <t>2021</t>
        </is>
      </c>
      <c r="G4" s="29" t="inlineStr">
        <is>
          <t>CFS</t>
        </is>
      </c>
      <c r="H4" s="29" t="inlineStr">
        <is>
          <t>BS</t>
        </is>
      </c>
      <c r="I4" s="29" t="inlineStr">
        <is>
          <t>재무상태표</t>
        </is>
      </c>
      <c r="J4" s="29" t="inlineStr">
        <is>
          <t>ifrs-full_CashAndCashEquivalents</t>
        </is>
      </c>
      <c r="K4" s="29" t="inlineStr">
        <is>
          <t>현금및현금성자산</t>
        </is>
      </c>
      <c r="L4" s="29" t="inlineStr">
        <is>
          <t>-</t>
        </is>
      </c>
      <c r="M4" s="29" t="inlineStr">
        <is>
          <t>제 42 기</t>
        </is>
      </c>
      <c r="N4" s="29" t="inlineStr">
        <is>
          <t>49608464797.0</t>
        </is>
      </c>
      <c r="O4" s="29" t="inlineStr">
        <is>
          <t>81154267884.0</t>
        </is>
      </c>
      <c r="P4" s="29" t="inlineStr">
        <is>
          <t>KRW</t>
        </is>
      </c>
      <c r="Q4" s="29" t="inlineStr">
        <is>
          <t>2</t>
        </is>
      </c>
    </row>
    <row r="5" ht="24" customHeight="1">
      <c r="A5" s="24" t="inlineStr">
        <is>
          <t>OpenDART_fnlttSinglAcntAll</t>
        </is>
      </c>
      <c r="B5" s="24" t="inlineStr">
        <is>
          <t>00161383</t>
        </is>
      </c>
      <c r="C5" s="24" t="inlineStr">
        <is>
          <t>한미반도체</t>
        </is>
      </c>
      <c r="D5" s="24" t="inlineStr">
        <is>
          <t>hanmi</t>
        </is>
      </c>
      <c r="E5" s="24" t="inlineStr">
        <is>
          <t>042700</t>
        </is>
      </c>
      <c r="F5" s="24" t="inlineStr">
        <is>
          <t>2021</t>
        </is>
      </c>
      <c r="G5" s="24" t="inlineStr">
        <is>
          <t>CFS</t>
        </is>
      </c>
      <c r="H5" s="24" t="inlineStr">
        <is>
          <t>BS</t>
        </is>
      </c>
      <c r="I5" s="24" t="inlineStr">
        <is>
          <t>재무상태표</t>
        </is>
      </c>
      <c r="J5" s="24" t="inlineStr">
        <is>
          <t>dart_ShortTermTradeReceivable</t>
        </is>
      </c>
      <c r="K5" s="24" t="inlineStr">
        <is>
          <t>매출채권</t>
        </is>
      </c>
      <c r="L5" s="24" t="inlineStr">
        <is>
          <t>-</t>
        </is>
      </c>
      <c r="M5" s="24" t="inlineStr">
        <is>
          <t>제 42 기</t>
        </is>
      </c>
      <c r="N5" s="24" t="inlineStr">
        <is>
          <t>108425177475.0</t>
        </is>
      </c>
      <c r="O5" s="24" t="inlineStr">
        <is>
          <t>76640413056.0</t>
        </is>
      </c>
      <c r="P5" s="24" t="inlineStr">
        <is>
          <t>KRW</t>
        </is>
      </c>
      <c r="Q5" s="24" t="inlineStr">
        <is>
          <t>3</t>
        </is>
      </c>
    </row>
    <row r="6" ht="24" customHeight="1">
      <c r="A6" s="29" t="inlineStr">
        <is>
          <t>OpenDART_fnlttSinglAcntAll</t>
        </is>
      </c>
      <c r="B6" s="29" t="inlineStr">
        <is>
          <t>00161383</t>
        </is>
      </c>
      <c r="C6" s="29" t="inlineStr">
        <is>
          <t>한미반도체</t>
        </is>
      </c>
      <c r="D6" s="29" t="inlineStr">
        <is>
          <t>hanmi</t>
        </is>
      </c>
      <c r="E6" s="29" t="inlineStr">
        <is>
          <t>042700</t>
        </is>
      </c>
      <c r="F6" s="29" t="inlineStr">
        <is>
          <t>2021</t>
        </is>
      </c>
      <c r="G6" s="29" t="inlineStr">
        <is>
          <t>CFS</t>
        </is>
      </c>
      <c r="H6" s="29" t="inlineStr">
        <is>
          <t>BS</t>
        </is>
      </c>
      <c r="I6" s="29" t="inlineStr">
        <is>
          <t>재무상태표</t>
        </is>
      </c>
      <c r="J6" s="29" t="inlineStr">
        <is>
          <t>ifrs-full_Inventories</t>
        </is>
      </c>
      <c r="K6" s="29" t="inlineStr">
        <is>
          <t>재고자산</t>
        </is>
      </c>
      <c r="L6" s="29" t="inlineStr">
        <is>
          <t>-</t>
        </is>
      </c>
      <c r="M6" s="29" t="inlineStr">
        <is>
          <t>제 42 기</t>
        </is>
      </c>
      <c r="N6" s="29" t="inlineStr">
        <is>
          <t>85821570853.0</t>
        </is>
      </c>
      <c r="O6" s="29" t="inlineStr">
        <is>
          <t>48281340155.0</t>
        </is>
      </c>
      <c r="P6" s="29" t="inlineStr">
        <is>
          <t>KRW</t>
        </is>
      </c>
      <c r="Q6" s="29" t="inlineStr">
        <is>
          <t>4</t>
        </is>
      </c>
    </row>
    <row r="7" ht="24" customHeight="1">
      <c r="A7" s="24" t="inlineStr">
        <is>
          <t>OpenDART_fnlttSinglAcntAll</t>
        </is>
      </c>
      <c r="B7" s="24" t="inlineStr">
        <is>
          <t>00161383</t>
        </is>
      </c>
      <c r="C7" s="24" t="inlineStr">
        <is>
          <t>한미반도체</t>
        </is>
      </c>
      <c r="D7" s="24" t="inlineStr">
        <is>
          <t>hanmi</t>
        </is>
      </c>
      <c r="E7" s="24" t="inlineStr">
        <is>
          <t>042700</t>
        </is>
      </c>
      <c r="F7" s="24" t="inlineStr">
        <is>
          <t>2021</t>
        </is>
      </c>
      <c r="G7" s="24" t="inlineStr">
        <is>
          <t>CFS</t>
        </is>
      </c>
      <c r="H7" s="24" t="inlineStr">
        <is>
          <t>BS</t>
        </is>
      </c>
      <c r="I7" s="24" t="inlineStr">
        <is>
          <t>재무상태표</t>
        </is>
      </c>
      <c r="J7" s="24" t="inlineStr">
        <is>
          <t>ifrs-full_OtherCurrentFinancialAssets</t>
        </is>
      </c>
      <c r="K7" s="24" t="inlineStr">
        <is>
          <t>기타유동금융자산</t>
        </is>
      </c>
      <c r="L7" s="24" t="inlineStr">
        <is>
          <t>-</t>
        </is>
      </c>
      <c r="M7" s="24" t="inlineStr">
        <is>
          <t>제 42 기</t>
        </is>
      </c>
      <c r="N7" s="24" t="inlineStr">
        <is>
          <t>5001333934.0</t>
        </is>
      </c>
      <c r="O7" s="24" t="inlineStr">
        <is>
          <t>1926365367.0</t>
        </is>
      </c>
      <c r="P7" s="24" t="inlineStr">
        <is>
          <t>KRW</t>
        </is>
      </c>
      <c r="Q7" s="24" t="inlineStr">
        <is>
          <t>5</t>
        </is>
      </c>
    </row>
    <row r="8" ht="24" customHeight="1">
      <c r="A8" s="29" t="inlineStr">
        <is>
          <t>OpenDART_fnlttSinglAcntAll</t>
        </is>
      </c>
      <c r="B8" s="29" t="inlineStr">
        <is>
          <t>00161383</t>
        </is>
      </c>
      <c r="C8" s="29" t="inlineStr">
        <is>
          <t>한미반도체</t>
        </is>
      </c>
      <c r="D8" s="29" t="inlineStr">
        <is>
          <t>hanmi</t>
        </is>
      </c>
      <c r="E8" s="29" t="inlineStr">
        <is>
          <t>042700</t>
        </is>
      </c>
      <c r="F8" s="29" t="inlineStr">
        <is>
          <t>2021</t>
        </is>
      </c>
      <c r="G8" s="29" t="inlineStr">
        <is>
          <t>CFS</t>
        </is>
      </c>
      <c r="H8" s="29" t="inlineStr">
        <is>
          <t>BS</t>
        </is>
      </c>
      <c r="I8" s="29" t="inlineStr">
        <is>
          <t>재무상태표</t>
        </is>
      </c>
      <c r="J8" s="29" t="inlineStr">
        <is>
          <t>dart_OtherCurrentAssets</t>
        </is>
      </c>
      <c r="K8" s="29" t="inlineStr">
        <is>
          <t>기타유동자산</t>
        </is>
      </c>
      <c r="L8" s="29" t="inlineStr">
        <is>
          <t>-</t>
        </is>
      </c>
      <c r="M8" s="29" t="inlineStr">
        <is>
          <t>제 42 기</t>
        </is>
      </c>
      <c r="N8" s="29" t="inlineStr">
        <is>
          <t>927292821.0</t>
        </is>
      </c>
      <c r="O8" s="29" t="inlineStr">
        <is>
          <t>934712049.0</t>
        </is>
      </c>
      <c r="P8" s="29" t="inlineStr">
        <is>
          <t>KRW</t>
        </is>
      </c>
      <c r="Q8" s="29" t="inlineStr">
        <is>
          <t>6</t>
        </is>
      </c>
    </row>
    <row r="9" ht="24" customHeight="1">
      <c r="A9" s="24" t="inlineStr">
        <is>
          <t>OpenDART_fnlttSinglAcntAll</t>
        </is>
      </c>
      <c r="B9" s="24" t="inlineStr">
        <is>
          <t>00161383</t>
        </is>
      </c>
      <c r="C9" s="24" t="inlineStr">
        <is>
          <t>한미반도체</t>
        </is>
      </c>
      <c r="D9" s="24" t="inlineStr">
        <is>
          <t>hanmi</t>
        </is>
      </c>
      <c r="E9" s="24" t="inlineStr">
        <is>
          <t>042700</t>
        </is>
      </c>
      <c r="F9" s="24" t="inlineStr">
        <is>
          <t>2021</t>
        </is>
      </c>
      <c r="G9" s="24" t="inlineStr">
        <is>
          <t>CFS</t>
        </is>
      </c>
      <c r="H9" s="24" t="inlineStr">
        <is>
          <t>BS</t>
        </is>
      </c>
      <c r="I9" s="24" t="inlineStr">
        <is>
          <t>재무상태표</t>
        </is>
      </c>
      <c r="J9" s="24" t="inlineStr">
        <is>
          <t>ifrs-full_NoncurrentAssets</t>
        </is>
      </c>
      <c r="K9" s="24" t="inlineStr">
        <is>
          <t>비유동자산</t>
        </is>
      </c>
      <c r="L9" s="24" t="inlineStr">
        <is>
          <t>-</t>
        </is>
      </c>
      <c r="M9" s="24" t="inlineStr">
        <is>
          <t>제 42 기</t>
        </is>
      </c>
      <c r="N9" s="24" t="inlineStr">
        <is>
          <t>179501843547.0</t>
        </is>
      </c>
      <c r="O9" s="24" t="inlineStr">
        <is>
          <t>118029769527.0</t>
        </is>
      </c>
      <c r="P9" s="24" t="inlineStr">
        <is>
          <t>KRW</t>
        </is>
      </c>
      <c r="Q9" s="24" t="inlineStr">
        <is>
          <t>7</t>
        </is>
      </c>
    </row>
    <row r="10" ht="24" customHeight="1">
      <c r="A10" s="29" t="inlineStr">
        <is>
          <t>OpenDART_fnlttSinglAcntAll</t>
        </is>
      </c>
      <c r="B10" s="29" t="inlineStr">
        <is>
          <t>00161383</t>
        </is>
      </c>
      <c r="C10" s="29" t="inlineStr">
        <is>
          <t>한미반도체</t>
        </is>
      </c>
      <c r="D10" s="29" t="inlineStr">
        <is>
          <t>hanmi</t>
        </is>
      </c>
      <c r="E10" s="29" t="inlineStr">
        <is>
          <t>042700</t>
        </is>
      </c>
      <c r="F10" s="29" t="inlineStr">
        <is>
          <t>2021</t>
        </is>
      </c>
      <c r="G10" s="29" t="inlineStr">
        <is>
          <t>CFS</t>
        </is>
      </c>
      <c r="H10" s="29" t="inlineStr">
        <is>
          <t>BS</t>
        </is>
      </c>
      <c r="I10" s="29" t="inlineStr">
        <is>
          <t>재무상태표</t>
        </is>
      </c>
      <c r="J10" s="29" t="inlineStr">
        <is>
          <t>dart_LongTermDepositsNotClassifiedAsCashEquivalents</t>
        </is>
      </c>
      <c r="K10" s="29" t="inlineStr">
        <is>
          <t>장기금융상품</t>
        </is>
      </c>
      <c r="L10" s="29" t="inlineStr">
        <is>
          <t>-</t>
        </is>
      </c>
      <c r="M10" s="29" t="inlineStr">
        <is>
          <t>제 42 기</t>
        </is>
      </c>
      <c r="N10" s="29" t="inlineStr">
        <is>
          <t>7184400.0</t>
        </is>
      </c>
      <c r="O10" s="29" t="inlineStr">
        <is>
          <t>5747520.0</t>
        </is>
      </c>
      <c r="P10" s="29" t="inlineStr">
        <is>
          <t>KRW</t>
        </is>
      </c>
      <c r="Q10" s="29" t="inlineStr">
        <is>
          <t>8</t>
        </is>
      </c>
    </row>
    <row r="11" ht="24" customHeight="1">
      <c r="A11" s="24" t="inlineStr">
        <is>
          <t>OpenDART_fnlttSinglAcntAll</t>
        </is>
      </c>
      <c r="B11" s="24" t="inlineStr">
        <is>
          <t>00161383</t>
        </is>
      </c>
      <c r="C11" s="24" t="inlineStr">
        <is>
          <t>한미반도체</t>
        </is>
      </c>
      <c r="D11" s="24" t="inlineStr">
        <is>
          <t>hanmi</t>
        </is>
      </c>
      <c r="E11" s="24" t="inlineStr">
        <is>
          <t>042700</t>
        </is>
      </c>
      <c r="F11" s="24" t="inlineStr">
        <is>
          <t>2021</t>
        </is>
      </c>
      <c r="G11" s="24" t="inlineStr">
        <is>
          <t>CFS</t>
        </is>
      </c>
      <c r="H11" s="24" t="inlineStr">
        <is>
          <t>BS</t>
        </is>
      </c>
      <c r="I11" s="24" t="inlineStr">
        <is>
          <t>재무상태표</t>
        </is>
      </c>
      <c r="J11" s="24" t="inlineStr">
        <is>
          <t>dart_NonCurrentAvailableForSaleFinancialAssets</t>
        </is>
      </c>
      <c r="K11" s="24" t="inlineStr">
        <is>
          <t>기타투자자산</t>
        </is>
      </c>
      <c r="L11" s="24" t="inlineStr">
        <is>
          <t>-</t>
        </is>
      </c>
      <c r="M11" s="24" t="inlineStr">
        <is>
          <t>제 42 기</t>
        </is>
      </c>
      <c r="N11" s="24" t="inlineStr">
        <is>
          <t>11300000.0</t>
        </is>
      </c>
      <c r="O11" s="24" t="inlineStr">
        <is>
          <t>2824100000.0</t>
        </is>
      </c>
      <c r="P11" s="24" t="inlineStr">
        <is>
          <t>KRW</t>
        </is>
      </c>
      <c r="Q11" s="24" t="inlineStr">
        <is>
          <t>9</t>
        </is>
      </c>
    </row>
    <row r="12" ht="24" customHeight="1">
      <c r="A12" s="29" t="inlineStr">
        <is>
          <t>OpenDART_fnlttSinglAcntAll</t>
        </is>
      </c>
      <c r="B12" s="29" t="inlineStr">
        <is>
          <t>00161383</t>
        </is>
      </c>
      <c r="C12" s="29" t="inlineStr">
        <is>
          <t>한미반도체</t>
        </is>
      </c>
      <c r="D12" s="29" t="inlineStr">
        <is>
          <t>hanmi</t>
        </is>
      </c>
      <c r="E12" s="29" t="inlineStr">
        <is>
          <t>042700</t>
        </is>
      </c>
      <c r="F12" s="29" t="inlineStr">
        <is>
          <t>2021</t>
        </is>
      </c>
      <c r="G12" s="29" t="inlineStr">
        <is>
          <t>CFS</t>
        </is>
      </c>
      <c r="H12" s="29" t="inlineStr">
        <is>
          <t>BS</t>
        </is>
      </c>
      <c r="I12" s="29" t="inlineStr">
        <is>
          <t>재무상태표</t>
        </is>
      </c>
      <c r="J12" s="29" t="inlineStr">
        <is>
          <t>ifrs-full_InvestmentsInAssociates</t>
        </is>
      </c>
      <c r="K12" s="29" t="inlineStr">
        <is>
          <t>관계기업투자</t>
        </is>
      </c>
      <c r="L12" s="29" t="inlineStr">
        <is>
          <t>-</t>
        </is>
      </c>
      <c r="M12" s="29" t="inlineStr">
        <is>
          <t>제 42 기</t>
        </is>
      </c>
      <c r="N12" s="29" t="inlineStr">
        <is>
          <t>54668872978.0</t>
        </is>
      </c>
      <c r="O12" s="29" t="inlineStr">
        <is>
          <t>11123201595.0</t>
        </is>
      </c>
      <c r="P12" s="29" t="inlineStr">
        <is>
          <t>KRW</t>
        </is>
      </c>
      <c r="Q12" s="29" t="inlineStr">
        <is>
          <t>10</t>
        </is>
      </c>
    </row>
    <row r="13" ht="24" customHeight="1">
      <c r="A13" s="24" t="inlineStr">
        <is>
          <t>OpenDART_fnlttSinglAcntAll</t>
        </is>
      </c>
      <c r="B13" s="24" t="inlineStr">
        <is>
          <t>00161383</t>
        </is>
      </c>
      <c r="C13" s="24" t="inlineStr">
        <is>
          <t>한미반도체</t>
        </is>
      </c>
      <c r="D13" s="24" t="inlineStr">
        <is>
          <t>hanmi</t>
        </is>
      </c>
      <c r="E13" s="24" t="inlineStr">
        <is>
          <t>042700</t>
        </is>
      </c>
      <c r="F13" s="24" t="inlineStr">
        <is>
          <t>2021</t>
        </is>
      </c>
      <c r="G13" s="24" t="inlineStr">
        <is>
          <t>CFS</t>
        </is>
      </c>
      <c r="H13" s="24" t="inlineStr">
        <is>
          <t>BS</t>
        </is>
      </c>
      <c r="I13" s="24" t="inlineStr">
        <is>
          <t>재무상태표</t>
        </is>
      </c>
      <c r="J13" s="24" t="inlineStr">
        <is>
          <t>ifrs-full_PropertyPlantAndEquipment</t>
        </is>
      </c>
      <c r="K13" s="24" t="inlineStr">
        <is>
          <t>유형자산</t>
        </is>
      </c>
      <c r="L13" s="24" t="inlineStr">
        <is>
          <t>-</t>
        </is>
      </c>
      <c r="M13" s="24" t="inlineStr">
        <is>
          <t>제 42 기</t>
        </is>
      </c>
      <c r="N13" s="24" t="inlineStr">
        <is>
          <t>108127052346.0</t>
        </is>
      </c>
      <c r="O13" s="24" t="inlineStr">
        <is>
          <t>90277285358.0</t>
        </is>
      </c>
      <c r="P13" s="24" t="inlineStr">
        <is>
          <t>KRW</t>
        </is>
      </c>
      <c r="Q13" s="24" t="inlineStr">
        <is>
          <t>11</t>
        </is>
      </c>
    </row>
    <row r="14" ht="24" customHeight="1">
      <c r="A14" s="29" t="inlineStr">
        <is>
          <t>OpenDART_fnlttSinglAcntAll</t>
        </is>
      </c>
      <c r="B14" s="29" t="inlineStr">
        <is>
          <t>00161383</t>
        </is>
      </c>
      <c r="C14" s="29" t="inlineStr">
        <is>
          <t>한미반도체</t>
        </is>
      </c>
      <c r="D14" s="29" t="inlineStr">
        <is>
          <t>hanmi</t>
        </is>
      </c>
      <c r="E14" s="29" t="inlineStr">
        <is>
          <t>042700</t>
        </is>
      </c>
      <c r="F14" s="29" t="inlineStr">
        <is>
          <t>2021</t>
        </is>
      </c>
      <c r="G14" s="29" t="inlineStr">
        <is>
          <t>CFS</t>
        </is>
      </c>
      <c r="H14" s="29" t="inlineStr">
        <is>
          <t>BS</t>
        </is>
      </c>
      <c r="I14" s="29" t="inlineStr">
        <is>
          <t>재무상태표</t>
        </is>
      </c>
      <c r="J14" s="29" t="inlineStr">
        <is>
          <t>ifrs-full_InvestmentProperty</t>
        </is>
      </c>
      <c r="K14" s="29" t="inlineStr">
        <is>
          <t>투자부동산</t>
        </is>
      </c>
      <c r="L14" s="29" t="inlineStr">
        <is>
          <t>-</t>
        </is>
      </c>
      <c r="M14" s="29" t="inlineStr">
        <is>
          <t>제 42 기</t>
        </is>
      </c>
      <c r="N14" s="29" t="inlineStr">
        <is>
          <t>5976717546.0</t>
        </is>
      </c>
      <c r="O14" s="29" t="inlineStr">
        <is>
          <t>6070556743.0</t>
        </is>
      </c>
      <c r="P14" s="29" t="inlineStr">
        <is>
          <t>KRW</t>
        </is>
      </c>
      <c r="Q14" s="29" t="inlineStr">
        <is>
          <t>12</t>
        </is>
      </c>
    </row>
    <row r="15" ht="24" customHeight="1">
      <c r="A15" s="24" t="inlineStr">
        <is>
          <t>OpenDART_fnlttSinglAcntAll</t>
        </is>
      </c>
      <c r="B15" s="24" t="inlineStr">
        <is>
          <t>00161383</t>
        </is>
      </c>
      <c r="C15" s="24" t="inlineStr">
        <is>
          <t>한미반도체</t>
        </is>
      </c>
      <c r="D15" s="24" t="inlineStr">
        <is>
          <t>hanmi</t>
        </is>
      </c>
      <c r="E15" s="24" t="inlineStr">
        <is>
          <t>042700</t>
        </is>
      </c>
      <c r="F15" s="24" t="inlineStr">
        <is>
          <t>2021</t>
        </is>
      </c>
      <c r="G15" s="24" t="inlineStr">
        <is>
          <t>CFS</t>
        </is>
      </c>
      <c r="H15" s="24" t="inlineStr">
        <is>
          <t>BS</t>
        </is>
      </c>
      <c r="I15" s="24" t="inlineStr">
        <is>
          <t>재무상태표</t>
        </is>
      </c>
      <c r="J15" s="24" t="inlineStr">
        <is>
          <t>ifrs-full_IntangibleAssetsOtherThanGoodwill</t>
        </is>
      </c>
      <c r="K15" s="24" t="inlineStr">
        <is>
          <t>무형자산</t>
        </is>
      </c>
      <c r="L15" s="24" t="inlineStr">
        <is>
          <t>-</t>
        </is>
      </c>
      <c r="M15" s="24" t="inlineStr">
        <is>
          <t>제 42 기</t>
        </is>
      </c>
      <c r="N15" s="24" t="inlineStr">
        <is>
          <t>4564320360.0</t>
        </is>
      </c>
      <c r="O15" s="24" t="inlineStr">
        <is>
          <t>3446931420.0</t>
        </is>
      </c>
      <c r="P15" s="24" t="inlineStr">
        <is>
          <t>KRW</t>
        </is>
      </c>
      <c r="Q15" s="24" t="inlineStr">
        <is>
          <t>13</t>
        </is>
      </c>
    </row>
    <row r="16" ht="24" customHeight="1">
      <c r="A16" s="29" t="inlineStr">
        <is>
          <t>OpenDART_fnlttSinglAcntAll</t>
        </is>
      </c>
      <c r="B16" s="29" t="inlineStr">
        <is>
          <t>00161383</t>
        </is>
      </c>
      <c r="C16" s="29" t="inlineStr">
        <is>
          <t>한미반도체</t>
        </is>
      </c>
      <c r="D16" s="29" t="inlineStr">
        <is>
          <t>hanmi</t>
        </is>
      </c>
      <c r="E16" s="29" t="inlineStr">
        <is>
          <t>042700</t>
        </is>
      </c>
      <c r="F16" s="29" t="inlineStr">
        <is>
          <t>2021</t>
        </is>
      </c>
      <c r="G16" s="29" t="inlineStr">
        <is>
          <t>CFS</t>
        </is>
      </c>
      <c r="H16" s="29" t="inlineStr">
        <is>
          <t>BS</t>
        </is>
      </c>
      <c r="I16" s="29" t="inlineStr">
        <is>
          <t>재무상태표</t>
        </is>
      </c>
      <c r="J16" s="29" t="inlineStr">
        <is>
          <t>ifrs-full_OtherNoncurrentFinancialAssets</t>
        </is>
      </c>
      <c r="K16" s="29" t="inlineStr">
        <is>
          <t>기타비유동금융자산</t>
        </is>
      </c>
      <c r="L16" s="29" t="inlineStr">
        <is>
          <t>-</t>
        </is>
      </c>
      <c r="M16" s="29" t="inlineStr">
        <is>
          <t>제 42 기</t>
        </is>
      </c>
      <c r="N16" s="29" t="inlineStr">
        <is>
          <t>806286276.0</t>
        </is>
      </c>
      <c r="O16" s="29" t="inlineStr">
        <is>
          <t>52793472.0</t>
        </is>
      </c>
      <c r="P16" s="29" t="inlineStr">
        <is>
          <t>KRW</t>
        </is>
      </c>
      <c r="Q16" s="29" t="inlineStr">
        <is>
          <t>14</t>
        </is>
      </c>
    </row>
    <row r="17" ht="24" customHeight="1">
      <c r="A17" s="24" t="inlineStr">
        <is>
          <t>OpenDART_fnlttSinglAcntAll</t>
        </is>
      </c>
      <c r="B17" s="24" t="inlineStr">
        <is>
          <t>00161383</t>
        </is>
      </c>
      <c r="C17" s="24" t="inlineStr">
        <is>
          <t>한미반도체</t>
        </is>
      </c>
      <c r="D17" s="24" t="inlineStr">
        <is>
          <t>hanmi</t>
        </is>
      </c>
      <c r="E17" s="24" t="inlineStr">
        <is>
          <t>042700</t>
        </is>
      </c>
      <c r="F17" s="24" t="inlineStr">
        <is>
          <t>2021</t>
        </is>
      </c>
      <c r="G17" s="24" t="inlineStr">
        <is>
          <t>CFS</t>
        </is>
      </c>
      <c r="H17" s="24" t="inlineStr">
        <is>
          <t>BS</t>
        </is>
      </c>
      <c r="I17" s="24" t="inlineStr">
        <is>
          <t>재무상태표</t>
        </is>
      </c>
      <c r="J17" s="24" t="inlineStr">
        <is>
          <t>dart_OtherNonCurrentAssets</t>
        </is>
      </c>
      <c r="K17" s="24" t="inlineStr">
        <is>
          <t>기타비유동자산</t>
        </is>
      </c>
      <c r="L17" s="24" t="inlineStr">
        <is>
          <t>-</t>
        </is>
      </c>
      <c r="M17" s="24" t="inlineStr">
        <is>
          <t>제 42 기</t>
        </is>
      </c>
      <c r="N17" s="24" t="inlineStr">
        <is>
          <t>2030937422.0</t>
        </is>
      </c>
      <c r="O17" s="24" t="inlineStr">
        <is>
          <t>114261545.0</t>
        </is>
      </c>
      <c r="P17" s="24" t="inlineStr">
        <is>
          <t>KRW</t>
        </is>
      </c>
      <c r="Q17" s="24" t="inlineStr">
        <is>
          <t>15</t>
        </is>
      </c>
    </row>
    <row r="18" ht="24" customHeight="1">
      <c r="A18" s="29" t="inlineStr">
        <is>
          <t>OpenDART_fnlttSinglAcntAll</t>
        </is>
      </c>
      <c r="B18" s="29" t="inlineStr">
        <is>
          <t>00161383</t>
        </is>
      </c>
      <c r="C18" s="29" t="inlineStr">
        <is>
          <t>한미반도체</t>
        </is>
      </c>
      <c r="D18" s="29" t="inlineStr">
        <is>
          <t>hanmi</t>
        </is>
      </c>
      <c r="E18" s="29" t="inlineStr">
        <is>
          <t>042700</t>
        </is>
      </c>
      <c r="F18" s="29" t="inlineStr">
        <is>
          <t>2021</t>
        </is>
      </c>
      <c r="G18" s="29" t="inlineStr">
        <is>
          <t>CFS</t>
        </is>
      </c>
      <c r="H18" s="29" t="inlineStr">
        <is>
          <t>BS</t>
        </is>
      </c>
      <c r="I18" s="29" t="inlineStr">
        <is>
          <t>재무상태표</t>
        </is>
      </c>
      <c r="J18" s="29" t="inlineStr">
        <is>
          <t>ifrs-full_DeferredTaxAssets</t>
        </is>
      </c>
      <c r="K18" s="29" t="inlineStr">
        <is>
          <t>이연법인세자산</t>
        </is>
      </c>
      <c r="L18" s="29" t="inlineStr">
        <is>
          <t>-</t>
        </is>
      </c>
      <c r="M18" s="29" t="inlineStr">
        <is>
          <t>제 42 기</t>
        </is>
      </c>
      <c r="N18" s="29" t="inlineStr">
        <is>
          <t>3309172219.0</t>
        </is>
      </c>
      <c r="O18" s="29" t="inlineStr">
        <is>
          <t>4114891874.0</t>
        </is>
      </c>
      <c r="P18" s="29" t="inlineStr">
        <is>
          <t>KRW</t>
        </is>
      </c>
      <c r="Q18" s="29" t="inlineStr">
        <is>
          <t>16</t>
        </is>
      </c>
    </row>
    <row r="19" ht="24" customHeight="1">
      <c r="A19" s="24" t="inlineStr">
        <is>
          <t>OpenDART_fnlttSinglAcntAll</t>
        </is>
      </c>
      <c r="B19" s="24" t="inlineStr">
        <is>
          <t>00161383</t>
        </is>
      </c>
      <c r="C19" s="24" t="inlineStr">
        <is>
          <t>한미반도체</t>
        </is>
      </c>
      <c r="D19" s="24" t="inlineStr">
        <is>
          <t>hanmi</t>
        </is>
      </c>
      <c r="E19" s="24" t="inlineStr">
        <is>
          <t>042700</t>
        </is>
      </c>
      <c r="F19" s="24" t="inlineStr">
        <is>
          <t>2021</t>
        </is>
      </c>
      <c r="G19" s="24" t="inlineStr">
        <is>
          <t>CFS</t>
        </is>
      </c>
      <c r="H19" s="24" t="inlineStr">
        <is>
          <t>BS</t>
        </is>
      </c>
      <c r="I19" s="24" t="inlineStr">
        <is>
          <t>재무상태표</t>
        </is>
      </c>
      <c r="J19" s="24" t="inlineStr">
        <is>
          <t>ifrs-full_Assets</t>
        </is>
      </c>
      <c r="K19" s="24" t="inlineStr">
        <is>
          <t>자산총계</t>
        </is>
      </c>
      <c r="L19" s="24" t="inlineStr">
        <is>
          <t>-</t>
        </is>
      </c>
      <c r="M19" s="24" t="inlineStr">
        <is>
          <t>제 42 기</t>
        </is>
      </c>
      <c r="N19" s="24" t="inlineStr">
        <is>
          <t>429285683427.0</t>
        </is>
      </c>
      <c r="O19" s="24" t="inlineStr">
        <is>
          <t>326966868038.0</t>
        </is>
      </c>
      <c r="P19" s="24" t="inlineStr">
        <is>
          <t>KRW</t>
        </is>
      </c>
      <c r="Q19" s="24" t="inlineStr">
        <is>
          <t>17</t>
        </is>
      </c>
    </row>
    <row r="20" ht="24" customHeight="1">
      <c r="A20" s="29" t="inlineStr">
        <is>
          <t>OpenDART_fnlttSinglAcntAll</t>
        </is>
      </c>
      <c r="B20" s="29" t="inlineStr">
        <is>
          <t>00161383</t>
        </is>
      </c>
      <c r="C20" s="29" t="inlineStr">
        <is>
          <t>한미반도체</t>
        </is>
      </c>
      <c r="D20" s="29" t="inlineStr">
        <is>
          <t>hanmi</t>
        </is>
      </c>
      <c r="E20" s="29" t="inlineStr">
        <is>
          <t>042700</t>
        </is>
      </c>
      <c r="F20" s="29" t="inlineStr">
        <is>
          <t>2021</t>
        </is>
      </c>
      <c r="G20" s="29" t="inlineStr">
        <is>
          <t>CFS</t>
        </is>
      </c>
      <c r="H20" s="29" t="inlineStr">
        <is>
          <t>BS</t>
        </is>
      </c>
      <c r="I20" s="29" t="inlineStr">
        <is>
          <t>재무상태표</t>
        </is>
      </c>
      <c r="J20" s="29" t="inlineStr">
        <is>
          <t>ifrs-full_CurrentLiabilities</t>
        </is>
      </c>
      <c r="K20" s="29" t="inlineStr">
        <is>
          <t>유동부채</t>
        </is>
      </c>
      <c r="L20" s="29" t="inlineStr">
        <is>
          <t>-</t>
        </is>
      </c>
      <c r="M20" s="29" t="inlineStr">
        <is>
          <t>제 42 기</t>
        </is>
      </c>
      <c r="N20" s="29" t="inlineStr">
        <is>
          <t>80692131621.0</t>
        </is>
      </c>
      <c r="O20" s="29" t="inlineStr">
        <is>
          <t>67572880984.0</t>
        </is>
      </c>
      <c r="P20" s="29" t="inlineStr">
        <is>
          <t>KRW</t>
        </is>
      </c>
      <c r="Q20" s="29" t="inlineStr">
        <is>
          <t>19</t>
        </is>
      </c>
    </row>
    <row r="21" ht="24" customHeight="1">
      <c r="A21" s="24" t="inlineStr">
        <is>
          <t>OpenDART_fnlttSinglAcntAll</t>
        </is>
      </c>
      <c r="B21" s="24" t="inlineStr">
        <is>
          <t>00161383</t>
        </is>
      </c>
      <c r="C21" s="24" t="inlineStr">
        <is>
          <t>한미반도체</t>
        </is>
      </c>
      <c r="D21" s="24" t="inlineStr">
        <is>
          <t>hanmi</t>
        </is>
      </c>
      <c r="E21" s="24" t="inlineStr">
        <is>
          <t>042700</t>
        </is>
      </c>
      <c r="F21" s="24" t="inlineStr">
        <is>
          <t>2021</t>
        </is>
      </c>
      <c r="G21" s="24" t="inlineStr">
        <is>
          <t>CFS</t>
        </is>
      </c>
      <c r="H21" s="24" t="inlineStr">
        <is>
          <t>BS</t>
        </is>
      </c>
      <c r="I21" s="24" t="inlineStr">
        <is>
          <t>재무상태표</t>
        </is>
      </c>
      <c r="J21" s="24" t="inlineStr">
        <is>
          <t>ifrs-full_TradeAndOtherCurrentPayables</t>
        </is>
      </c>
      <c r="K21" s="24" t="inlineStr">
        <is>
          <t>매입채무</t>
        </is>
      </c>
      <c r="L21" s="24" t="inlineStr">
        <is>
          <t>-</t>
        </is>
      </c>
      <c r="M21" s="24" t="inlineStr">
        <is>
          <t>제 42 기</t>
        </is>
      </c>
      <c r="N21" s="24" t="inlineStr">
        <is>
          <t>32636842778.0</t>
        </is>
      </c>
      <c r="O21" s="24" t="inlineStr">
        <is>
          <t>23584326317.0</t>
        </is>
      </c>
      <c r="P21" s="24" t="inlineStr">
        <is>
          <t>KRW</t>
        </is>
      </c>
      <c r="Q21" s="24" t="inlineStr">
        <is>
          <t>20</t>
        </is>
      </c>
    </row>
    <row r="22" ht="24" customHeight="1">
      <c r="A22" s="29" t="inlineStr">
        <is>
          <t>OpenDART_fnlttSinglAcntAll</t>
        </is>
      </c>
      <c r="B22" s="29" t="inlineStr">
        <is>
          <t>00161383</t>
        </is>
      </c>
      <c r="C22" s="29" t="inlineStr">
        <is>
          <t>한미반도체</t>
        </is>
      </c>
      <c r="D22" s="29" t="inlineStr">
        <is>
          <t>hanmi</t>
        </is>
      </c>
      <c r="E22" s="29" t="inlineStr">
        <is>
          <t>042700</t>
        </is>
      </c>
      <c r="F22" s="29" t="inlineStr">
        <is>
          <t>2021</t>
        </is>
      </c>
      <c r="G22" s="29" t="inlineStr">
        <is>
          <t>CFS</t>
        </is>
      </c>
      <c r="H22" s="29" t="inlineStr">
        <is>
          <t>BS</t>
        </is>
      </c>
      <c r="I22" s="29" t="inlineStr">
        <is>
          <t>재무상태표</t>
        </is>
      </c>
      <c r="J22" s="29" t="inlineStr">
        <is>
          <t>dart_PaymentsOfIncomeTaxesPayable</t>
        </is>
      </c>
      <c r="K22" s="29" t="inlineStr">
        <is>
          <t>미지급법인세</t>
        </is>
      </c>
      <c r="L22" s="29" t="inlineStr">
        <is>
          <t>-</t>
        </is>
      </c>
      <c r="M22" s="29" t="inlineStr">
        <is>
          <t>제 42 기</t>
        </is>
      </c>
      <c r="N22" s="29" t="inlineStr">
        <is>
          <t>23810950125.0</t>
        </is>
      </c>
      <c r="O22" s="29" t="inlineStr">
        <is>
          <t>14943101485.0</t>
        </is>
      </c>
      <c r="P22" s="29" t="inlineStr">
        <is>
          <t>KRW</t>
        </is>
      </c>
      <c r="Q22" s="29" t="inlineStr">
        <is>
          <t>21</t>
        </is>
      </c>
    </row>
    <row r="23" ht="24" customHeight="1">
      <c r="A23" s="24" t="inlineStr">
        <is>
          <t>OpenDART_fnlttSinglAcntAll</t>
        </is>
      </c>
      <c r="B23" s="24" t="inlineStr">
        <is>
          <t>00161383</t>
        </is>
      </c>
      <c r="C23" s="24" t="inlineStr">
        <is>
          <t>한미반도체</t>
        </is>
      </c>
      <c r="D23" s="24" t="inlineStr">
        <is>
          <t>hanmi</t>
        </is>
      </c>
      <c r="E23" s="24" t="inlineStr">
        <is>
          <t>042700</t>
        </is>
      </c>
      <c r="F23" s="24" t="inlineStr">
        <is>
          <t>2021</t>
        </is>
      </c>
      <c r="G23" s="24" t="inlineStr">
        <is>
          <t>CFS</t>
        </is>
      </c>
      <c r="H23" s="24" t="inlineStr">
        <is>
          <t>BS</t>
        </is>
      </c>
      <c r="I23" s="24" t="inlineStr">
        <is>
          <t>재무상태표</t>
        </is>
      </c>
      <c r="J23" s="24" t="inlineStr">
        <is>
          <t>ifrs-full_CurrentProvisions</t>
        </is>
      </c>
      <c r="K23" s="24" t="inlineStr">
        <is>
          <t>충당부채</t>
        </is>
      </c>
      <c r="L23" s="24" t="inlineStr">
        <is>
          <t>-</t>
        </is>
      </c>
      <c r="M23" s="24" t="inlineStr">
        <is>
          <t>제 42 기</t>
        </is>
      </c>
      <c r="N23" s="24" t="inlineStr">
        <is>
          <t>3792340070.0</t>
        </is>
      </c>
      <c r="O23" s="24" t="inlineStr">
        <is>
          <t>2792424477.0</t>
        </is>
      </c>
      <c r="P23" s="24" t="inlineStr">
        <is>
          <t>KRW</t>
        </is>
      </c>
      <c r="Q23" s="24" t="inlineStr">
        <is>
          <t>22</t>
        </is>
      </c>
    </row>
    <row r="24" ht="24" customHeight="1">
      <c r="A24" s="29" t="inlineStr">
        <is>
          <t>OpenDART_fnlttSinglAcntAll</t>
        </is>
      </c>
      <c r="B24" s="29" t="inlineStr">
        <is>
          <t>00161383</t>
        </is>
      </c>
      <c r="C24" s="29" t="inlineStr">
        <is>
          <t>한미반도체</t>
        </is>
      </c>
      <c r="D24" s="29" t="inlineStr">
        <is>
          <t>hanmi</t>
        </is>
      </c>
      <c r="E24" s="29" t="inlineStr">
        <is>
          <t>042700</t>
        </is>
      </c>
      <c r="F24" s="29" t="inlineStr">
        <is>
          <t>2021</t>
        </is>
      </c>
      <c r="G24" s="29" t="inlineStr">
        <is>
          <t>CFS</t>
        </is>
      </c>
      <c r="H24" s="29" t="inlineStr">
        <is>
          <t>BS</t>
        </is>
      </c>
      <c r="I24" s="29" t="inlineStr">
        <is>
          <t>재무상태표</t>
        </is>
      </c>
      <c r="J24" s="29" t="inlineStr">
        <is>
          <t>ifrs-full_CurrentLeaseLiabilities</t>
        </is>
      </c>
      <c r="K24" s="29" t="inlineStr">
        <is>
          <t>리스부채</t>
        </is>
      </c>
      <c r="L24" s="29" t="inlineStr">
        <is>
          <t>-</t>
        </is>
      </c>
      <c r="M24" s="29" t="inlineStr">
        <is>
          <t>제 42 기</t>
        </is>
      </c>
      <c r="N24" s="29" t="inlineStr">
        <is>
          <t>293076421.0</t>
        </is>
      </c>
      <c r="O24" s="29" t="inlineStr">
        <is>
          <t>91033693.0</t>
        </is>
      </c>
      <c r="P24" s="29" t="inlineStr">
        <is>
          <t>KRW</t>
        </is>
      </c>
      <c r="Q24" s="29" t="inlineStr">
        <is>
          <t>23</t>
        </is>
      </c>
    </row>
    <row r="25" ht="24" customHeight="1">
      <c r="A25" s="24" t="inlineStr">
        <is>
          <t>OpenDART_fnlttSinglAcntAll</t>
        </is>
      </c>
      <c r="B25" s="24" t="inlineStr">
        <is>
          <t>00161383</t>
        </is>
      </c>
      <c r="C25" s="24" t="inlineStr">
        <is>
          <t>한미반도체</t>
        </is>
      </c>
      <c r="D25" s="24" t="inlineStr">
        <is>
          <t>hanmi</t>
        </is>
      </c>
      <c r="E25" s="24" t="inlineStr">
        <is>
          <t>042700</t>
        </is>
      </c>
      <c r="F25" s="24" t="inlineStr">
        <is>
          <t>2021</t>
        </is>
      </c>
      <c r="G25" s="24" t="inlineStr">
        <is>
          <t>CFS</t>
        </is>
      </c>
      <c r="H25" s="24" t="inlineStr">
        <is>
          <t>BS</t>
        </is>
      </c>
      <c r="I25" s="24" t="inlineStr">
        <is>
          <t>재무상태표</t>
        </is>
      </c>
      <c r="J25" s="24" t="inlineStr">
        <is>
          <t>ifrs-full_OtherCurrentFinancialLiabilities</t>
        </is>
      </c>
      <c r="K25" s="24" t="inlineStr">
        <is>
          <t>기타유동금융부채</t>
        </is>
      </c>
      <c r="L25" s="24" t="inlineStr">
        <is>
          <t>-</t>
        </is>
      </c>
      <c r="M25" s="24" t="inlineStr">
        <is>
          <t>제 42 기</t>
        </is>
      </c>
      <c r="N25" s="24" t="inlineStr">
        <is>
          <t>10912809524.0</t>
        </is>
      </c>
      <c r="O25" s="24" t="inlineStr">
        <is>
          <t>14900056544.0</t>
        </is>
      </c>
      <c r="P25" s="24" t="inlineStr">
        <is>
          <t>KRW</t>
        </is>
      </c>
      <c r="Q25" s="24" t="inlineStr">
        <is>
          <t>24</t>
        </is>
      </c>
    </row>
    <row r="26" ht="24" customHeight="1">
      <c r="A26" s="29" t="inlineStr">
        <is>
          <t>OpenDART_fnlttSinglAcntAll</t>
        </is>
      </c>
      <c r="B26" s="29" t="inlineStr">
        <is>
          <t>00161383</t>
        </is>
      </c>
      <c r="C26" s="29" t="inlineStr">
        <is>
          <t>한미반도체</t>
        </is>
      </c>
      <c r="D26" s="29" t="inlineStr">
        <is>
          <t>hanmi</t>
        </is>
      </c>
      <c r="E26" s="29" t="inlineStr">
        <is>
          <t>042700</t>
        </is>
      </c>
      <c r="F26" s="29" t="inlineStr">
        <is>
          <t>2021</t>
        </is>
      </c>
      <c r="G26" s="29" t="inlineStr">
        <is>
          <t>CFS</t>
        </is>
      </c>
      <c r="H26" s="29" t="inlineStr">
        <is>
          <t>BS</t>
        </is>
      </c>
      <c r="I26" s="29" t="inlineStr">
        <is>
          <t>재무상태표</t>
        </is>
      </c>
      <c r="J26" s="29" t="inlineStr">
        <is>
          <t>dart_OtherCurrentLiabilities</t>
        </is>
      </c>
      <c r="K26" s="29" t="inlineStr">
        <is>
          <t>기타유동부채</t>
        </is>
      </c>
      <c r="L26" s="29" t="inlineStr">
        <is>
          <t>-</t>
        </is>
      </c>
      <c r="M26" s="29" t="inlineStr">
        <is>
          <t>제 42 기</t>
        </is>
      </c>
      <c r="N26" s="29" t="inlineStr">
        <is>
          <t>9246112703.0</t>
        </is>
      </c>
      <c r="O26" s="29" t="inlineStr">
        <is>
          <t>11261938468.0</t>
        </is>
      </c>
      <c r="P26" s="29" t="inlineStr">
        <is>
          <t>KRW</t>
        </is>
      </c>
      <c r="Q26" s="29" t="inlineStr">
        <is>
          <t>25</t>
        </is>
      </c>
    </row>
    <row r="27" ht="24" customHeight="1">
      <c r="A27" s="24" t="inlineStr">
        <is>
          <t>OpenDART_fnlttSinglAcntAll</t>
        </is>
      </c>
      <c r="B27" s="24" t="inlineStr">
        <is>
          <t>00161383</t>
        </is>
      </c>
      <c r="C27" s="24" t="inlineStr">
        <is>
          <t>한미반도체</t>
        </is>
      </c>
      <c r="D27" s="24" t="inlineStr">
        <is>
          <t>hanmi</t>
        </is>
      </c>
      <c r="E27" s="24" t="inlineStr">
        <is>
          <t>042700</t>
        </is>
      </c>
      <c r="F27" s="24" t="inlineStr">
        <is>
          <t>2021</t>
        </is>
      </c>
      <c r="G27" s="24" t="inlineStr">
        <is>
          <t>CFS</t>
        </is>
      </c>
      <c r="H27" s="24" t="inlineStr">
        <is>
          <t>BS</t>
        </is>
      </c>
      <c r="I27" s="24" t="inlineStr">
        <is>
          <t>재무상태표</t>
        </is>
      </c>
      <c r="J27" s="24" t="inlineStr">
        <is>
          <t>ifrs-full_NoncurrentLiabilities</t>
        </is>
      </c>
      <c r="K27" s="24" t="inlineStr">
        <is>
          <t>비유동부채</t>
        </is>
      </c>
      <c r="L27" s="24" t="inlineStr">
        <is>
          <t>-</t>
        </is>
      </c>
      <c r="M27" s="24" t="inlineStr">
        <is>
          <t>제 42 기</t>
        </is>
      </c>
      <c r="N27" s="24" t="inlineStr">
        <is>
          <t>1781509529.0</t>
        </is>
      </c>
      <c r="O27" s="24" t="inlineStr">
        <is>
          <t>2303444251.0</t>
        </is>
      </c>
      <c r="P27" s="24" t="inlineStr">
        <is>
          <t>KRW</t>
        </is>
      </c>
      <c r="Q27" s="24" t="inlineStr">
        <is>
          <t>26</t>
        </is>
      </c>
    </row>
    <row r="28" ht="24" customHeight="1">
      <c r="A28" s="29" t="inlineStr">
        <is>
          <t>OpenDART_fnlttSinglAcntAll</t>
        </is>
      </c>
      <c r="B28" s="29" t="inlineStr">
        <is>
          <t>00161383</t>
        </is>
      </c>
      <c r="C28" s="29" t="inlineStr">
        <is>
          <t>한미반도체</t>
        </is>
      </c>
      <c r="D28" s="29" t="inlineStr">
        <is>
          <t>hanmi</t>
        </is>
      </c>
      <c r="E28" s="29" t="inlineStr">
        <is>
          <t>042700</t>
        </is>
      </c>
      <c r="F28" s="29" t="inlineStr">
        <is>
          <t>2021</t>
        </is>
      </c>
      <c r="G28" s="29" t="inlineStr">
        <is>
          <t>CFS</t>
        </is>
      </c>
      <c r="H28" s="29" t="inlineStr">
        <is>
          <t>BS</t>
        </is>
      </c>
      <c r="I28" s="29" t="inlineStr">
        <is>
          <t>재무상태표</t>
        </is>
      </c>
      <c r="J28" s="29" t="inlineStr">
        <is>
          <t>dart_PostemploymentBenefitObligations</t>
        </is>
      </c>
      <c r="K28" s="29" t="inlineStr">
        <is>
          <t>퇴직급여채무</t>
        </is>
      </c>
      <c r="L28" s="29" t="inlineStr">
        <is>
          <t>-</t>
        </is>
      </c>
      <c r="M28" s="29" t="inlineStr">
        <is>
          <t>제 42 기</t>
        </is>
      </c>
      <c r="N28" s="29" t="inlineStr">
        <is>
          <t>1256522.0</t>
        </is>
      </c>
      <c r="O28" s="29" t="inlineStr">
        <is>
          <t>229468793.0</t>
        </is>
      </c>
      <c r="P28" s="29" t="inlineStr">
        <is>
          <t>KRW</t>
        </is>
      </c>
      <c r="Q28" s="29" t="inlineStr">
        <is>
          <t>27</t>
        </is>
      </c>
    </row>
    <row r="29" ht="24" customHeight="1">
      <c r="A29" s="24" t="inlineStr">
        <is>
          <t>OpenDART_fnlttSinglAcntAll</t>
        </is>
      </c>
      <c r="B29" s="24" t="inlineStr">
        <is>
          <t>00161383</t>
        </is>
      </c>
      <c r="C29" s="24" t="inlineStr">
        <is>
          <t>한미반도체</t>
        </is>
      </c>
      <c r="D29" s="24" t="inlineStr">
        <is>
          <t>hanmi</t>
        </is>
      </c>
      <c r="E29" s="24" t="inlineStr">
        <is>
          <t>042700</t>
        </is>
      </c>
      <c r="F29" s="24" t="inlineStr">
        <is>
          <t>2021</t>
        </is>
      </c>
      <c r="G29" s="24" t="inlineStr">
        <is>
          <t>CFS</t>
        </is>
      </c>
      <c r="H29" s="24" t="inlineStr">
        <is>
          <t>BS</t>
        </is>
      </c>
      <c r="I29" s="24" t="inlineStr">
        <is>
          <t>재무상태표</t>
        </is>
      </c>
      <c r="J29" s="24" t="inlineStr">
        <is>
          <t>ifrs-full_NoncurrentLeaseLiabilities</t>
        </is>
      </c>
      <c r="K29" s="24" t="inlineStr">
        <is>
          <t>리스부채</t>
        </is>
      </c>
      <c r="L29" s="24" t="inlineStr">
        <is>
          <t>-</t>
        </is>
      </c>
      <c r="M29" s="24" t="inlineStr">
        <is>
          <t>제 42 기</t>
        </is>
      </c>
      <c r="N29" s="24" t="inlineStr">
        <is>
          <t>342203828.0</t>
        </is>
      </c>
      <c r="O29" s="24" t="inlineStr">
        <is>
          <t>190551423.0</t>
        </is>
      </c>
      <c r="P29" s="24" t="inlineStr">
        <is>
          <t>KRW</t>
        </is>
      </c>
      <c r="Q29" s="24" t="inlineStr">
        <is>
          <t>28</t>
        </is>
      </c>
    </row>
    <row r="30" ht="24" customHeight="1">
      <c r="A30" s="29" t="inlineStr">
        <is>
          <t>OpenDART_fnlttSinglAcntAll</t>
        </is>
      </c>
      <c r="B30" s="29" t="inlineStr">
        <is>
          <t>00161383</t>
        </is>
      </c>
      <c r="C30" s="29" t="inlineStr">
        <is>
          <t>한미반도체</t>
        </is>
      </c>
      <c r="D30" s="29" t="inlineStr">
        <is>
          <t>hanmi</t>
        </is>
      </c>
      <c r="E30" s="29" t="inlineStr">
        <is>
          <t>042700</t>
        </is>
      </c>
      <c r="F30" s="29" t="inlineStr">
        <is>
          <t>2021</t>
        </is>
      </c>
      <c r="G30" s="29" t="inlineStr">
        <is>
          <t>CFS</t>
        </is>
      </c>
      <c r="H30" s="29" t="inlineStr">
        <is>
          <t>BS</t>
        </is>
      </c>
      <c r="I30" s="29" t="inlineStr">
        <is>
          <t>재무상태표</t>
        </is>
      </c>
      <c r="J30" s="29" t="inlineStr">
        <is>
          <t>ifrs-full_OtherNoncurrentFinancialLiabilities</t>
        </is>
      </c>
      <c r="K30" s="29" t="inlineStr">
        <is>
          <t>기타비유동금융부채</t>
        </is>
      </c>
      <c r="L30" s="29" t="inlineStr">
        <is>
          <t>-</t>
        </is>
      </c>
      <c r="M30" s="29" t="inlineStr">
        <is>
          <t>제 42 기</t>
        </is>
      </c>
      <c r="N30" s="29" t="inlineStr">
        <is>
          <t>415793602.0</t>
        </is>
      </c>
      <c r="O30" s="29" t="inlineStr">
        <is>
          <t>344561440.0</t>
        </is>
      </c>
      <c r="P30" s="29" t="inlineStr">
        <is>
          <t>KRW</t>
        </is>
      </c>
      <c r="Q30" s="29" t="inlineStr">
        <is>
          <t>29</t>
        </is>
      </c>
    </row>
    <row r="31" ht="24" customHeight="1">
      <c r="A31" s="24" t="inlineStr">
        <is>
          <t>OpenDART_fnlttSinglAcntAll</t>
        </is>
      </c>
      <c r="B31" s="24" t="inlineStr">
        <is>
          <t>00161383</t>
        </is>
      </c>
      <c r="C31" s="24" t="inlineStr">
        <is>
          <t>한미반도체</t>
        </is>
      </c>
      <c r="D31" s="24" t="inlineStr">
        <is>
          <t>hanmi</t>
        </is>
      </c>
      <c r="E31" s="24" t="inlineStr">
        <is>
          <t>042700</t>
        </is>
      </c>
      <c r="F31" s="24" t="inlineStr">
        <is>
          <t>2021</t>
        </is>
      </c>
      <c r="G31" s="24" t="inlineStr">
        <is>
          <t>CFS</t>
        </is>
      </c>
      <c r="H31" s="24" t="inlineStr">
        <is>
          <t>BS</t>
        </is>
      </c>
      <c r="I31" s="24" t="inlineStr">
        <is>
          <t>재무상태표</t>
        </is>
      </c>
      <c r="J31" s="24" t="inlineStr">
        <is>
          <t>ifrs-full_NoncurrentProvisions</t>
        </is>
      </c>
      <c r="K31" s="24" t="inlineStr">
        <is>
          <t>충당부채</t>
        </is>
      </c>
      <c r="L31" s="24" t="inlineStr">
        <is>
          <t>-</t>
        </is>
      </c>
      <c r="M31" s="24" t="inlineStr">
        <is>
          <t>제 42 기</t>
        </is>
      </c>
      <c r="N31" s="24" t="inlineStr">
        <is>
          <t>523391152.0</t>
        </is>
      </c>
      <c r="O31" s="24" t="inlineStr">
        <is>
          <t>523391152.0</t>
        </is>
      </c>
      <c r="P31" s="24" t="inlineStr">
        <is>
          <t>KRW</t>
        </is>
      </c>
      <c r="Q31" s="24" t="inlineStr">
        <is>
          <t>30</t>
        </is>
      </c>
    </row>
    <row r="32" ht="24" customHeight="1">
      <c r="A32" s="29" t="inlineStr">
        <is>
          <t>OpenDART_fnlttSinglAcntAll</t>
        </is>
      </c>
      <c r="B32" s="29" t="inlineStr">
        <is>
          <t>00161383</t>
        </is>
      </c>
      <c r="C32" s="29" t="inlineStr">
        <is>
          <t>한미반도체</t>
        </is>
      </c>
      <c r="D32" s="29" t="inlineStr">
        <is>
          <t>hanmi</t>
        </is>
      </c>
      <c r="E32" s="29" t="inlineStr">
        <is>
          <t>042700</t>
        </is>
      </c>
      <c r="F32" s="29" t="inlineStr">
        <is>
          <t>2021</t>
        </is>
      </c>
      <c r="G32" s="29" t="inlineStr">
        <is>
          <t>CFS</t>
        </is>
      </c>
      <c r="H32" s="29" t="inlineStr">
        <is>
          <t>BS</t>
        </is>
      </c>
      <c r="I32" s="29" t="inlineStr">
        <is>
          <t>재무상태표</t>
        </is>
      </c>
      <c r="J32" s="29" t="inlineStr">
        <is>
          <t>dart_OtherNonCurrentLiabilities</t>
        </is>
      </c>
      <c r="K32" s="29" t="inlineStr">
        <is>
          <t>기타비유동부채</t>
        </is>
      </c>
      <c r="L32" s="29" t="inlineStr">
        <is>
          <t>-</t>
        </is>
      </c>
      <c r="M32" s="29" t="inlineStr">
        <is>
          <t>제 42 기</t>
        </is>
      </c>
      <c r="N32" s="29" t="inlineStr">
        <is>
          <t>498864425.0</t>
        </is>
      </c>
      <c r="O32" s="29" t="inlineStr">
        <is>
          <t>1008290695.0</t>
        </is>
      </c>
      <c r="P32" s="29" t="inlineStr">
        <is>
          <t>KRW</t>
        </is>
      </c>
      <c r="Q32" s="29" t="inlineStr">
        <is>
          <t>31</t>
        </is>
      </c>
    </row>
    <row r="33" ht="24" customHeight="1">
      <c r="A33" s="24" t="inlineStr">
        <is>
          <t>OpenDART_fnlttSinglAcntAll</t>
        </is>
      </c>
      <c r="B33" s="24" t="inlineStr">
        <is>
          <t>00161383</t>
        </is>
      </c>
      <c r="C33" s="24" t="inlineStr">
        <is>
          <t>한미반도체</t>
        </is>
      </c>
      <c r="D33" s="24" t="inlineStr">
        <is>
          <t>hanmi</t>
        </is>
      </c>
      <c r="E33" s="24" t="inlineStr">
        <is>
          <t>042700</t>
        </is>
      </c>
      <c r="F33" s="24" t="inlineStr">
        <is>
          <t>2021</t>
        </is>
      </c>
      <c r="G33" s="24" t="inlineStr">
        <is>
          <t>CFS</t>
        </is>
      </c>
      <c r="H33" s="24" t="inlineStr">
        <is>
          <t>BS</t>
        </is>
      </c>
      <c r="I33" s="24" t="inlineStr">
        <is>
          <t>재무상태표</t>
        </is>
      </c>
      <c r="J33" s="24" t="inlineStr">
        <is>
          <t>ifrs-full_DeferredTaxLiabilities</t>
        </is>
      </c>
      <c r="K33" s="24" t="inlineStr">
        <is>
          <t>이연법인세부채</t>
        </is>
      </c>
      <c r="L33" s="24" t="inlineStr">
        <is>
          <t>-</t>
        </is>
      </c>
      <c r="M33" s="24" t="inlineStr">
        <is>
          <t>제 42 기</t>
        </is>
      </c>
      <c r="N33" s="24" t="inlineStr">
        <is>
          <t>0.0</t>
        </is>
      </c>
      <c r="O33" s="24" t="inlineStr">
        <is>
          <t>7180748.0</t>
        </is>
      </c>
      <c r="P33" s="24" t="inlineStr">
        <is>
          <t>KRW</t>
        </is>
      </c>
      <c r="Q33" s="24" t="inlineStr">
        <is>
          <t>32</t>
        </is>
      </c>
    </row>
    <row r="34" ht="24" customHeight="1">
      <c r="A34" s="29" t="inlineStr">
        <is>
          <t>OpenDART_fnlttSinglAcntAll</t>
        </is>
      </c>
      <c r="B34" s="29" t="inlineStr">
        <is>
          <t>00161383</t>
        </is>
      </c>
      <c r="C34" s="29" t="inlineStr">
        <is>
          <t>한미반도체</t>
        </is>
      </c>
      <c r="D34" s="29" t="inlineStr">
        <is>
          <t>hanmi</t>
        </is>
      </c>
      <c r="E34" s="29" t="inlineStr">
        <is>
          <t>042700</t>
        </is>
      </c>
      <c r="F34" s="29" t="inlineStr">
        <is>
          <t>2021</t>
        </is>
      </c>
      <c r="G34" s="29" t="inlineStr">
        <is>
          <t>CFS</t>
        </is>
      </c>
      <c r="H34" s="29" t="inlineStr">
        <is>
          <t>BS</t>
        </is>
      </c>
      <c r="I34" s="29" t="inlineStr">
        <is>
          <t>재무상태표</t>
        </is>
      </c>
      <c r="J34" s="29" t="inlineStr">
        <is>
          <t>ifrs-full_Liabilities</t>
        </is>
      </c>
      <c r="K34" s="29" t="inlineStr">
        <is>
          <t>부채총계</t>
        </is>
      </c>
      <c r="L34" s="29" t="inlineStr">
        <is>
          <t>-</t>
        </is>
      </c>
      <c r="M34" s="29" t="inlineStr">
        <is>
          <t>제 42 기</t>
        </is>
      </c>
      <c r="N34" s="29" t="inlineStr">
        <is>
          <t>82473641150.0</t>
        </is>
      </c>
      <c r="O34" s="29" t="inlineStr">
        <is>
          <t>69876325235.0</t>
        </is>
      </c>
      <c r="P34" s="29" t="inlineStr">
        <is>
          <t>KRW</t>
        </is>
      </c>
      <c r="Q34" s="29" t="inlineStr">
        <is>
          <t>33</t>
        </is>
      </c>
    </row>
    <row r="35" ht="24" customHeight="1">
      <c r="A35" s="24" t="inlineStr">
        <is>
          <t>OpenDART_fnlttSinglAcntAll</t>
        </is>
      </c>
      <c r="B35" s="24" t="inlineStr">
        <is>
          <t>00161383</t>
        </is>
      </c>
      <c r="C35" s="24" t="inlineStr">
        <is>
          <t>한미반도체</t>
        </is>
      </c>
      <c r="D35" s="24" t="inlineStr">
        <is>
          <t>hanmi</t>
        </is>
      </c>
      <c r="E35" s="24" t="inlineStr">
        <is>
          <t>042700</t>
        </is>
      </c>
      <c r="F35" s="24" t="inlineStr">
        <is>
          <t>2021</t>
        </is>
      </c>
      <c r="G35" s="24" t="inlineStr">
        <is>
          <t>CFS</t>
        </is>
      </c>
      <c r="H35" s="24" t="inlineStr">
        <is>
          <t>BS</t>
        </is>
      </c>
      <c r="I35" s="24" t="inlineStr">
        <is>
          <t>재무상태표</t>
        </is>
      </c>
      <c r="J35" s="24" t="inlineStr">
        <is>
          <t>ifrs-full_EquityAttributableToOwnersOfParent</t>
        </is>
      </c>
      <c r="K35" s="24" t="inlineStr">
        <is>
          <t>지배기업지분</t>
        </is>
      </c>
      <c r="L35" s="24" t="inlineStr">
        <is>
          <t>-</t>
        </is>
      </c>
      <c r="M35" s="24" t="inlineStr">
        <is>
          <t>제 42 기</t>
        </is>
      </c>
      <c r="N35" s="24" t="inlineStr">
        <is>
          <t>346812042277.0</t>
        </is>
      </c>
      <c r="O35" s="24" t="inlineStr">
        <is>
          <t>257090542803.0</t>
        </is>
      </c>
      <c r="P35" s="24" t="inlineStr">
        <is>
          <t>KRW</t>
        </is>
      </c>
      <c r="Q35" s="24" t="inlineStr">
        <is>
          <t>35</t>
        </is>
      </c>
    </row>
    <row r="36" ht="24" customHeight="1">
      <c r="A36" s="29" t="inlineStr">
        <is>
          <t>OpenDART_fnlttSinglAcntAll</t>
        </is>
      </c>
      <c r="B36" s="29" t="inlineStr">
        <is>
          <t>00161383</t>
        </is>
      </c>
      <c r="C36" s="29" t="inlineStr">
        <is>
          <t>한미반도체</t>
        </is>
      </c>
      <c r="D36" s="29" t="inlineStr">
        <is>
          <t>hanmi</t>
        </is>
      </c>
      <c r="E36" s="29" t="inlineStr">
        <is>
          <t>042700</t>
        </is>
      </c>
      <c r="F36" s="29" t="inlineStr">
        <is>
          <t>2021</t>
        </is>
      </c>
      <c r="G36" s="29" t="inlineStr">
        <is>
          <t>CFS</t>
        </is>
      </c>
      <c r="H36" s="29" t="inlineStr">
        <is>
          <t>BS</t>
        </is>
      </c>
      <c r="I36" s="29" t="inlineStr">
        <is>
          <t>재무상태표</t>
        </is>
      </c>
      <c r="J36" s="29" t="inlineStr">
        <is>
          <t>ifrs-full_IssuedCapital</t>
        </is>
      </c>
      <c r="K36" s="29" t="inlineStr">
        <is>
          <t>자본금</t>
        </is>
      </c>
      <c r="L36" s="29" t="inlineStr">
        <is>
          <t>-</t>
        </is>
      </c>
      <c r="M36" s="29" t="inlineStr">
        <is>
          <t>제 42 기</t>
        </is>
      </c>
      <c r="N36" s="29" t="inlineStr">
        <is>
          <t>12716420500.0</t>
        </is>
      </c>
      <c r="O36" s="29" t="inlineStr">
        <is>
          <t>12716420500.0</t>
        </is>
      </c>
      <c r="P36" s="29" t="inlineStr">
        <is>
          <t>KRW</t>
        </is>
      </c>
      <c r="Q36" s="29" t="inlineStr">
        <is>
          <t>36</t>
        </is>
      </c>
    </row>
    <row r="37" ht="24" customHeight="1">
      <c r="A37" s="24" t="inlineStr">
        <is>
          <t>OpenDART_fnlttSinglAcntAll</t>
        </is>
      </c>
      <c r="B37" s="24" t="inlineStr">
        <is>
          <t>00161383</t>
        </is>
      </c>
      <c r="C37" s="24" t="inlineStr">
        <is>
          <t>한미반도체</t>
        </is>
      </c>
      <c r="D37" s="24" t="inlineStr">
        <is>
          <t>hanmi</t>
        </is>
      </c>
      <c r="E37" s="24" t="inlineStr">
        <is>
          <t>042700</t>
        </is>
      </c>
      <c r="F37" s="24" t="inlineStr">
        <is>
          <t>2021</t>
        </is>
      </c>
      <c r="G37" s="24" t="inlineStr">
        <is>
          <t>CFS</t>
        </is>
      </c>
      <c r="H37" s="24" t="inlineStr">
        <is>
          <t>BS</t>
        </is>
      </c>
      <c r="I37" s="24" t="inlineStr">
        <is>
          <t>재무상태표</t>
        </is>
      </c>
      <c r="J37" s="24" t="inlineStr">
        <is>
          <t>dart_CapitalSurplus</t>
        </is>
      </c>
      <c r="K37" s="24" t="inlineStr">
        <is>
          <t>자본잉여금</t>
        </is>
      </c>
      <c r="L37" s="24" t="inlineStr">
        <is>
          <t>-</t>
        </is>
      </c>
      <c r="M37" s="24" t="inlineStr">
        <is>
          <t>제 42 기</t>
        </is>
      </c>
      <c r="N37" s="24" t="inlineStr">
        <is>
          <t>50917901810.0</t>
        </is>
      </c>
      <c r="O37" s="24" t="inlineStr">
        <is>
          <t>47889958498.0</t>
        </is>
      </c>
      <c r="P37" s="24" t="inlineStr">
        <is>
          <t>KRW</t>
        </is>
      </c>
      <c r="Q37" s="24" t="inlineStr">
        <is>
          <t>37</t>
        </is>
      </c>
    </row>
    <row r="38" ht="24" customHeight="1">
      <c r="A38" s="29" t="inlineStr">
        <is>
          <t>OpenDART_fnlttSinglAcntAll</t>
        </is>
      </c>
      <c r="B38" s="29" t="inlineStr">
        <is>
          <t>00161383</t>
        </is>
      </c>
      <c r="C38" s="29" t="inlineStr">
        <is>
          <t>한미반도체</t>
        </is>
      </c>
      <c r="D38" s="29" t="inlineStr">
        <is>
          <t>hanmi</t>
        </is>
      </c>
      <c r="E38" s="29" t="inlineStr">
        <is>
          <t>042700</t>
        </is>
      </c>
      <c r="F38" s="29" t="inlineStr">
        <is>
          <t>2021</t>
        </is>
      </c>
      <c r="G38" s="29" t="inlineStr">
        <is>
          <t>CFS</t>
        </is>
      </c>
      <c r="H38" s="29" t="inlineStr">
        <is>
          <t>BS</t>
        </is>
      </c>
      <c r="I38" s="29" t="inlineStr">
        <is>
          <t>재무상태표</t>
        </is>
      </c>
      <c r="J38" s="29" t="inlineStr">
        <is>
          <t>dart_ElementsOfOtherStockholdersEquity</t>
        </is>
      </c>
      <c r="K38" s="29" t="inlineStr">
        <is>
          <t>기타자본구성요소</t>
        </is>
      </c>
      <c r="L38" s="29" t="inlineStr">
        <is>
          <t>-</t>
        </is>
      </c>
      <c r="M38" s="29" t="inlineStr">
        <is>
          <t>제 42 기</t>
        </is>
      </c>
      <c r="N38" s="29" t="inlineStr">
        <is>
          <t>403275571.0</t>
        </is>
      </c>
      <c r="O38" s="29" t="inlineStr">
        <is>
          <t>-18615800510.0</t>
        </is>
      </c>
      <c r="P38" s="29" t="inlineStr">
        <is>
          <t>KRW</t>
        </is>
      </c>
      <c r="Q38" s="29" t="inlineStr">
        <is>
          <t>38</t>
        </is>
      </c>
    </row>
    <row r="39" ht="24" customHeight="1">
      <c r="A39" s="24" t="inlineStr">
        <is>
          <t>OpenDART_fnlttSinglAcntAll</t>
        </is>
      </c>
      <c r="B39" s="24" t="inlineStr">
        <is>
          <t>00161383</t>
        </is>
      </c>
      <c r="C39" s="24" t="inlineStr">
        <is>
          <t>한미반도체</t>
        </is>
      </c>
      <c r="D39" s="24" t="inlineStr">
        <is>
          <t>hanmi</t>
        </is>
      </c>
      <c r="E39" s="24" t="inlineStr">
        <is>
          <t>042700</t>
        </is>
      </c>
      <c r="F39" s="24" t="inlineStr">
        <is>
          <t>2021</t>
        </is>
      </c>
      <c r="G39" s="24" t="inlineStr">
        <is>
          <t>CFS</t>
        </is>
      </c>
      <c r="H39" s="24" t="inlineStr">
        <is>
          <t>BS</t>
        </is>
      </c>
      <c r="I39" s="24" t="inlineStr">
        <is>
          <t>재무상태표</t>
        </is>
      </c>
      <c r="J39" s="24" t="inlineStr">
        <is>
          <t>dart_OtherComprehensiveIncomeLossAccumulatedAmount</t>
        </is>
      </c>
      <c r="K39" s="24" t="inlineStr">
        <is>
          <t>기타포괄손익누계액</t>
        </is>
      </c>
      <c r="L39" s="24" t="inlineStr">
        <is>
          <t>-</t>
        </is>
      </c>
      <c r="M39" s="24" t="inlineStr">
        <is>
          <t>제 42 기</t>
        </is>
      </c>
      <c r="N39" s="24" t="inlineStr">
        <is>
          <t>154903951.0</t>
        </is>
      </c>
      <c r="O39" s="24" t="inlineStr">
        <is>
          <t>-135823751.0</t>
        </is>
      </c>
      <c r="P39" s="24" t="inlineStr">
        <is>
          <t>KRW</t>
        </is>
      </c>
      <c r="Q39" s="24" t="inlineStr">
        <is>
          <t>39</t>
        </is>
      </c>
    </row>
    <row r="40" ht="24" customHeight="1">
      <c r="A40" s="29" t="inlineStr">
        <is>
          <t>OpenDART_fnlttSinglAcntAll</t>
        </is>
      </c>
      <c r="B40" s="29" t="inlineStr">
        <is>
          <t>00161383</t>
        </is>
      </c>
      <c r="C40" s="29" t="inlineStr">
        <is>
          <t>한미반도체</t>
        </is>
      </c>
      <c r="D40" s="29" t="inlineStr">
        <is>
          <t>hanmi</t>
        </is>
      </c>
      <c r="E40" s="29" t="inlineStr">
        <is>
          <t>042700</t>
        </is>
      </c>
      <c r="F40" s="29" t="inlineStr">
        <is>
          <t>2021</t>
        </is>
      </c>
      <c r="G40" s="29" t="inlineStr">
        <is>
          <t>CFS</t>
        </is>
      </c>
      <c r="H40" s="29" t="inlineStr">
        <is>
          <t>BS</t>
        </is>
      </c>
      <c r="I40" s="29" t="inlineStr">
        <is>
          <t>재무상태표</t>
        </is>
      </c>
      <c r="J40" s="29" t="inlineStr">
        <is>
          <t>ifrs-full_RetainedEarnings</t>
        </is>
      </c>
      <c r="K40" s="29" t="inlineStr">
        <is>
          <t>이익잉여금</t>
        </is>
      </c>
      <c r="L40" s="29" t="inlineStr">
        <is>
          <t>-</t>
        </is>
      </c>
      <c r="M40" s="29" t="inlineStr">
        <is>
          <t>제 42 기</t>
        </is>
      </c>
      <c r="N40" s="29" t="inlineStr">
        <is>
          <t>282619540445.0</t>
        </is>
      </c>
      <c r="O40" s="29" t="inlineStr">
        <is>
          <t>215235788066.0</t>
        </is>
      </c>
      <c r="P40" s="29" t="inlineStr">
        <is>
          <t>KRW</t>
        </is>
      </c>
      <c r="Q40" s="29" t="inlineStr">
        <is>
          <t>40</t>
        </is>
      </c>
    </row>
    <row r="41" ht="24" customHeight="1">
      <c r="A41" s="24" t="inlineStr">
        <is>
          <t>OpenDART_fnlttSinglAcntAll</t>
        </is>
      </c>
      <c r="B41" s="24" t="inlineStr">
        <is>
          <t>00161383</t>
        </is>
      </c>
      <c r="C41" s="24" t="inlineStr">
        <is>
          <t>한미반도체</t>
        </is>
      </c>
      <c r="D41" s="24" t="inlineStr">
        <is>
          <t>hanmi</t>
        </is>
      </c>
      <c r="E41" s="24" t="inlineStr">
        <is>
          <t>042700</t>
        </is>
      </c>
      <c r="F41" s="24" t="inlineStr">
        <is>
          <t>2021</t>
        </is>
      </c>
      <c r="G41" s="24" t="inlineStr">
        <is>
          <t>CFS</t>
        </is>
      </c>
      <c r="H41" s="24" t="inlineStr">
        <is>
          <t>BS</t>
        </is>
      </c>
      <c r="I41" s="24" t="inlineStr">
        <is>
          <t>재무상태표</t>
        </is>
      </c>
      <c r="J41" s="24" t="inlineStr">
        <is>
          <t>ifrs-full_NoncontrollingInterests</t>
        </is>
      </c>
      <c r="K41" s="24" t="inlineStr">
        <is>
          <t>비지배지분</t>
        </is>
      </c>
      <c r="L41" s="24" t="inlineStr">
        <is>
          <t>-</t>
        </is>
      </c>
      <c r="M41" s="24" t="inlineStr">
        <is>
          <t>제 42 기</t>
        </is>
      </c>
      <c r="N41" s="24" t="inlineStr">
        <is>
          <t>0.0</t>
        </is>
      </c>
      <c r="O41" s="24" t="inlineStr">
        <is>
          <t>0.0</t>
        </is>
      </c>
      <c r="P41" s="24" t="inlineStr">
        <is>
          <t>KRW</t>
        </is>
      </c>
      <c r="Q41" s="24" t="inlineStr">
        <is>
          <t>41</t>
        </is>
      </c>
    </row>
    <row r="42" ht="24" customHeight="1">
      <c r="A42" s="29" t="inlineStr">
        <is>
          <t>OpenDART_fnlttSinglAcntAll</t>
        </is>
      </c>
      <c r="B42" s="29" t="inlineStr">
        <is>
          <t>00161383</t>
        </is>
      </c>
      <c r="C42" s="29" t="inlineStr">
        <is>
          <t>한미반도체</t>
        </is>
      </c>
      <c r="D42" s="29" t="inlineStr">
        <is>
          <t>hanmi</t>
        </is>
      </c>
      <c r="E42" s="29" t="inlineStr">
        <is>
          <t>042700</t>
        </is>
      </c>
      <c r="F42" s="29" t="inlineStr">
        <is>
          <t>2021</t>
        </is>
      </c>
      <c r="G42" s="29" t="inlineStr">
        <is>
          <t>CFS</t>
        </is>
      </c>
      <c r="H42" s="29" t="inlineStr">
        <is>
          <t>BS</t>
        </is>
      </c>
      <c r="I42" s="29" t="inlineStr">
        <is>
          <t>재무상태표</t>
        </is>
      </c>
      <c r="J42" s="29" t="inlineStr">
        <is>
          <t>ifrs-full_Equity</t>
        </is>
      </c>
      <c r="K42" s="29" t="inlineStr">
        <is>
          <t>자본총계</t>
        </is>
      </c>
      <c r="L42" s="29" t="inlineStr">
        <is>
          <t>-</t>
        </is>
      </c>
      <c r="M42" s="29" t="inlineStr">
        <is>
          <t>제 42 기</t>
        </is>
      </c>
      <c r="N42" s="29" t="inlineStr">
        <is>
          <t>346812042277.0</t>
        </is>
      </c>
      <c r="O42" s="29" t="inlineStr">
        <is>
          <t>257090542803.0</t>
        </is>
      </c>
      <c r="P42" s="29" t="inlineStr">
        <is>
          <t>KRW</t>
        </is>
      </c>
      <c r="Q42" s="29" t="inlineStr">
        <is>
          <t>42</t>
        </is>
      </c>
    </row>
    <row r="43" ht="24" customHeight="1">
      <c r="A43" s="24" t="inlineStr">
        <is>
          <t>OpenDART_fnlttSinglAcntAll</t>
        </is>
      </c>
      <c r="B43" s="24" t="inlineStr">
        <is>
          <t>00161383</t>
        </is>
      </c>
      <c r="C43" s="24" t="inlineStr">
        <is>
          <t>한미반도체</t>
        </is>
      </c>
      <c r="D43" s="24" t="inlineStr">
        <is>
          <t>hanmi</t>
        </is>
      </c>
      <c r="E43" s="24" t="inlineStr">
        <is>
          <t>042700</t>
        </is>
      </c>
      <c r="F43" s="24" t="inlineStr">
        <is>
          <t>2021</t>
        </is>
      </c>
      <c r="G43" s="24" t="inlineStr">
        <is>
          <t>CFS</t>
        </is>
      </c>
      <c r="H43" s="24" t="inlineStr">
        <is>
          <t>BS</t>
        </is>
      </c>
      <c r="I43" s="24" t="inlineStr">
        <is>
          <t>재무상태표</t>
        </is>
      </c>
      <c r="J43" s="24" t="inlineStr">
        <is>
          <t>ifrs-full_EquityAndLiabilities</t>
        </is>
      </c>
      <c r="K43" s="24" t="inlineStr">
        <is>
          <t>부채와자본총계</t>
        </is>
      </c>
      <c r="L43" s="24" t="inlineStr">
        <is>
          <t>-</t>
        </is>
      </c>
      <c r="M43" s="24" t="inlineStr">
        <is>
          <t>제 42 기</t>
        </is>
      </c>
      <c r="N43" s="24" t="inlineStr">
        <is>
          <t>429285683427.0</t>
        </is>
      </c>
      <c r="O43" s="24" t="inlineStr">
        <is>
          <t>326966868038.0</t>
        </is>
      </c>
      <c r="P43" s="24" t="inlineStr">
        <is>
          <t>KRW</t>
        </is>
      </c>
      <c r="Q43" s="24" t="inlineStr">
        <is>
          <t>43</t>
        </is>
      </c>
    </row>
    <row r="44" ht="24" customHeight="1">
      <c r="A44" s="29" t="inlineStr">
        <is>
          <t>OpenDART_fnlttSinglAcntAll</t>
        </is>
      </c>
      <c r="B44" s="29" t="inlineStr">
        <is>
          <t>00161383</t>
        </is>
      </c>
      <c r="C44" s="29" t="inlineStr">
        <is>
          <t>한미반도체</t>
        </is>
      </c>
      <c r="D44" s="29" t="inlineStr">
        <is>
          <t>hanmi</t>
        </is>
      </c>
      <c r="E44" s="29" t="inlineStr">
        <is>
          <t>042700</t>
        </is>
      </c>
      <c r="F44" s="29" t="inlineStr">
        <is>
          <t>2021</t>
        </is>
      </c>
      <c r="G44" s="29" t="inlineStr">
        <is>
          <t>CFS</t>
        </is>
      </c>
      <c r="H44" s="29" t="inlineStr">
        <is>
          <t>CIS</t>
        </is>
      </c>
      <c r="I44" s="29" t="inlineStr">
        <is>
          <t>포괄손익계산서</t>
        </is>
      </c>
      <c r="J44" s="29" t="inlineStr">
        <is>
          <t>ifrs-full_Revenue</t>
        </is>
      </c>
      <c r="K44" s="29" t="inlineStr">
        <is>
          <t>매출액</t>
        </is>
      </c>
      <c r="L44" s="29" t="inlineStr">
        <is>
          <t>-</t>
        </is>
      </c>
      <c r="M44" s="29" t="inlineStr">
        <is>
          <t>제 42 기</t>
        </is>
      </c>
      <c r="N44" s="29" t="inlineStr">
        <is>
          <t>373169401913.0</t>
        </is>
      </c>
      <c r="O44" s="29" t="inlineStr">
        <is>
          <t>257385897660.0</t>
        </is>
      </c>
      <c r="P44" s="29" t="inlineStr">
        <is>
          <t>KRW</t>
        </is>
      </c>
      <c r="Q44" s="29" t="inlineStr">
        <is>
          <t>0</t>
        </is>
      </c>
    </row>
    <row r="45" ht="24" customHeight="1">
      <c r="A45" s="24" t="inlineStr">
        <is>
          <t>OpenDART_fnlttSinglAcntAll</t>
        </is>
      </c>
      <c r="B45" s="24" t="inlineStr">
        <is>
          <t>00161383</t>
        </is>
      </c>
      <c r="C45" s="24" t="inlineStr">
        <is>
          <t>한미반도체</t>
        </is>
      </c>
      <c r="D45" s="24" t="inlineStr">
        <is>
          <t>hanmi</t>
        </is>
      </c>
      <c r="E45" s="24" t="inlineStr">
        <is>
          <t>042700</t>
        </is>
      </c>
      <c r="F45" s="24" t="inlineStr">
        <is>
          <t>2021</t>
        </is>
      </c>
      <c r="G45" s="24" t="inlineStr">
        <is>
          <t>CFS</t>
        </is>
      </c>
      <c r="H45" s="24" t="inlineStr">
        <is>
          <t>CIS</t>
        </is>
      </c>
      <c r="I45" s="24" t="inlineStr">
        <is>
          <t>포괄손익계산서</t>
        </is>
      </c>
      <c r="J45" s="24" t="inlineStr">
        <is>
          <t>ifrs-full_CostOfSales</t>
        </is>
      </c>
      <c r="K45" s="24" t="inlineStr">
        <is>
          <t>매출원가</t>
        </is>
      </c>
      <c r="L45" s="24" t="inlineStr">
        <is>
          <t>-</t>
        </is>
      </c>
      <c r="M45" s="24" t="inlineStr">
        <is>
          <t>제 42 기</t>
        </is>
      </c>
      <c r="N45" s="24" t="inlineStr">
        <is>
          <t>192924061622.0</t>
        </is>
      </c>
      <c r="O45" s="24" t="inlineStr">
        <is>
          <t>146712110669.0</t>
        </is>
      </c>
      <c r="P45" s="24" t="inlineStr">
        <is>
          <t>KRW</t>
        </is>
      </c>
      <c r="Q45" s="24" t="inlineStr">
        <is>
          <t>1</t>
        </is>
      </c>
    </row>
    <row r="46" ht="24" customHeight="1">
      <c r="A46" s="29" t="inlineStr">
        <is>
          <t>OpenDART_fnlttSinglAcntAll</t>
        </is>
      </c>
      <c r="B46" s="29" t="inlineStr">
        <is>
          <t>00161383</t>
        </is>
      </c>
      <c r="C46" s="29" t="inlineStr">
        <is>
          <t>한미반도체</t>
        </is>
      </c>
      <c r="D46" s="29" t="inlineStr">
        <is>
          <t>hanmi</t>
        </is>
      </c>
      <c r="E46" s="29" t="inlineStr">
        <is>
          <t>042700</t>
        </is>
      </c>
      <c r="F46" s="29" t="inlineStr">
        <is>
          <t>2021</t>
        </is>
      </c>
      <c r="G46" s="29" t="inlineStr">
        <is>
          <t>CFS</t>
        </is>
      </c>
      <c r="H46" s="29" t="inlineStr">
        <is>
          <t>CIS</t>
        </is>
      </c>
      <c r="I46" s="29" t="inlineStr">
        <is>
          <t>포괄손익계산서</t>
        </is>
      </c>
      <c r="J46" s="29" t="inlineStr">
        <is>
          <t>ifrs-full_GrossProfit</t>
        </is>
      </c>
      <c r="K46" s="29" t="inlineStr">
        <is>
          <t>매출총이익</t>
        </is>
      </c>
      <c r="L46" s="29" t="inlineStr">
        <is>
          <t>-</t>
        </is>
      </c>
      <c r="M46" s="29" t="inlineStr">
        <is>
          <t>제 42 기</t>
        </is>
      </c>
      <c r="N46" s="29" t="inlineStr">
        <is>
          <t>180245340291.0</t>
        </is>
      </c>
      <c r="O46" s="29" t="inlineStr">
        <is>
          <t>110673786991.0</t>
        </is>
      </c>
      <c r="P46" s="29" t="inlineStr">
        <is>
          <t>KRW</t>
        </is>
      </c>
      <c r="Q46" s="29" t="inlineStr">
        <is>
          <t>2</t>
        </is>
      </c>
    </row>
    <row r="47" ht="24" customHeight="1">
      <c r="A47" s="24" t="inlineStr">
        <is>
          <t>OpenDART_fnlttSinglAcntAll</t>
        </is>
      </c>
      <c r="B47" s="24" t="inlineStr">
        <is>
          <t>00161383</t>
        </is>
      </c>
      <c r="C47" s="24" t="inlineStr">
        <is>
          <t>한미반도체</t>
        </is>
      </c>
      <c r="D47" s="24" t="inlineStr">
        <is>
          <t>hanmi</t>
        </is>
      </c>
      <c r="E47" s="24" t="inlineStr">
        <is>
          <t>042700</t>
        </is>
      </c>
      <c r="F47" s="24" t="inlineStr">
        <is>
          <t>2021</t>
        </is>
      </c>
      <c r="G47" s="24" t="inlineStr">
        <is>
          <t>CFS</t>
        </is>
      </c>
      <c r="H47" s="24" t="inlineStr">
        <is>
          <t>CIS</t>
        </is>
      </c>
      <c r="I47" s="24" t="inlineStr">
        <is>
          <t>포괄손익계산서</t>
        </is>
      </c>
      <c r="J47" s="24" t="inlineStr">
        <is>
          <t>dart_TotalSellingGeneralAdministrativeExpenses</t>
        </is>
      </c>
      <c r="K47" s="24" t="inlineStr">
        <is>
          <t>판매비와관리비</t>
        </is>
      </c>
      <c r="L47" s="24" t="inlineStr">
        <is>
          <t>-</t>
        </is>
      </c>
      <c r="M47" s="24" t="inlineStr">
        <is>
          <t>제 42 기</t>
        </is>
      </c>
      <c r="N47" s="24" t="inlineStr">
        <is>
          <t>39544571970.0</t>
        </is>
      </c>
      <c r="O47" s="24" t="inlineStr">
        <is>
          <t>32191017641.0</t>
        </is>
      </c>
      <c r="P47" s="24" t="inlineStr">
        <is>
          <t>KRW</t>
        </is>
      </c>
      <c r="Q47" s="24" t="inlineStr">
        <is>
          <t>3</t>
        </is>
      </c>
    </row>
    <row r="48" ht="24" customHeight="1">
      <c r="A48" s="29" t="inlineStr">
        <is>
          <t>OpenDART_fnlttSinglAcntAll</t>
        </is>
      </c>
      <c r="B48" s="29" t="inlineStr">
        <is>
          <t>00161383</t>
        </is>
      </c>
      <c r="C48" s="29" t="inlineStr">
        <is>
          <t>한미반도체</t>
        </is>
      </c>
      <c r="D48" s="29" t="inlineStr">
        <is>
          <t>hanmi</t>
        </is>
      </c>
      <c r="E48" s="29" t="inlineStr">
        <is>
          <t>042700</t>
        </is>
      </c>
      <c r="F48" s="29" t="inlineStr">
        <is>
          <t>2021</t>
        </is>
      </c>
      <c r="G48" s="29" t="inlineStr">
        <is>
          <t>CFS</t>
        </is>
      </c>
      <c r="H48" s="29" t="inlineStr">
        <is>
          <t>CIS</t>
        </is>
      </c>
      <c r="I48" s="29" t="inlineStr">
        <is>
          <t>포괄손익계산서</t>
        </is>
      </c>
      <c r="J48" s="29" t="inlineStr">
        <is>
          <t>-표준계정코드 미사용-</t>
        </is>
      </c>
      <c r="K48" s="29" t="inlineStr">
        <is>
          <t>연구개발비</t>
        </is>
      </c>
      <c r="L48" s="29" t="inlineStr">
        <is>
          <t>-</t>
        </is>
      </c>
      <c r="M48" s="29" t="inlineStr">
        <is>
          <t>제 42 기</t>
        </is>
      </c>
      <c r="N48" s="29" t="inlineStr">
        <is>
          <t>18281302821.0</t>
        </is>
      </c>
      <c r="O48" s="29" t="inlineStr">
        <is>
          <t>11833303035.0</t>
        </is>
      </c>
      <c r="P48" s="29" t="inlineStr">
        <is>
          <t>KRW</t>
        </is>
      </c>
      <c r="Q48" s="29" t="inlineStr">
        <is>
          <t>4</t>
        </is>
      </c>
    </row>
    <row r="49" ht="24" customHeight="1">
      <c r="A49" s="24" t="inlineStr">
        <is>
          <t>OpenDART_fnlttSinglAcntAll</t>
        </is>
      </c>
      <c r="B49" s="24" t="inlineStr">
        <is>
          <t>00161383</t>
        </is>
      </c>
      <c r="C49" s="24" t="inlineStr">
        <is>
          <t>한미반도체</t>
        </is>
      </c>
      <c r="D49" s="24" t="inlineStr">
        <is>
          <t>hanmi</t>
        </is>
      </c>
      <c r="E49" s="24" t="inlineStr">
        <is>
          <t>042700</t>
        </is>
      </c>
      <c r="F49" s="24" t="inlineStr">
        <is>
          <t>2021</t>
        </is>
      </c>
      <c r="G49" s="24" t="inlineStr">
        <is>
          <t>CFS</t>
        </is>
      </c>
      <c r="H49" s="24" t="inlineStr">
        <is>
          <t>CIS</t>
        </is>
      </c>
      <c r="I49" s="24" t="inlineStr">
        <is>
          <t>포괄손익계산서</t>
        </is>
      </c>
      <c r="J49" s="24" t="inlineStr">
        <is>
          <t>dart_OperatingIncomeLoss</t>
        </is>
      </c>
      <c r="K49" s="24" t="inlineStr">
        <is>
          <t>영업이익</t>
        </is>
      </c>
      <c r="L49" s="24" t="inlineStr">
        <is>
          <t>-</t>
        </is>
      </c>
      <c r="M49" s="24" t="inlineStr">
        <is>
          <t>제 42 기</t>
        </is>
      </c>
      <c r="N49" s="24" t="inlineStr">
        <is>
          <t>122419465500.0</t>
        </is>
      </c>
      <c r="O49" s="24" t="inlineStr">
        <is>
          <t>66649466315.0</t>
        </is>
      </c>
      <c r="P49" s="24" t="inlineStr">
        <is>
          <t>KRW</t>
        </is>
      </c>
      <c r="Q49" s="24" t="inlineStr">
        <is>
          <t>5</t>
        </is>
      </c>
    </row>
    <row r="50" ht="24" customHeight="1">
      <c r="A50" s="29" t="inlineStr">
        <is>
          <t>OpenDART_fnlttSinglAcntAll</t>
        </is>
      </c>
      <c r="B50" s="29" t="inlineStr">
        <is>
          <t>00161383</t>
        </is>
      </c>
      <c r="C50" s="29" t="inlineStr">
        <is>
          <t>한미반도체</t>
        </is>
      </c>
      <c r="D50" s="29" t="inlineStr">
        <is>
          <t>hanmi</t>
        </is>
      </c>
      <c r="E50" s="29" t="inlineStr">
        <is>
          <t>042700</t>
        </is>
      </c>
      <c r="F50" s="29" t="inlineStr">
        <is>
          <t>2021</t>
        </is>
      </c>
      <c r="G50" s="29" t="inlineStr">
        <is>
          <t>CFS</t>
        </is>
      </c>
      <c r="H50" s="29" t="inlineStr">
        <is>
          <t>CIS</t>
        </is>
      </c>
      <c r="I50" s="29" t="inlineStr">
        <is>
          <t>포괄손익계산서</t>
        </is>
      </c>
      <c r="J50" s="29" t="inlineStr">
        <is>
          <t>dart_OtherGains</t>
        </is>
      </c>
      <c r="K50" s="29" t="inlineStr">
        <is>
          <t>기타영업외수익</t>
        </is>
      </c>
      <c r="L50" s="29" t="inlineStr">
        <is>
          <t>-</t>
        </is>
      </c>
      <c r="M50" s="29" t="inlineStr">
        <is>
          <t>제 42 기</t>
        </is>
      </c>
      <c r="N50" s="29" t="inlineStr">
        <is>
          <t>1065468187.0</t>
        </is>
      </c>
      <c r="O50" s="29" t="inlineStr">
        <is>
          <t>5057147077.0</t>
        </is>
      </c>
      <c r="P50" s="29" t="inlineStr">
        <is>
          <t>KRW</t>
        </is>
      </c>
      <c r="Q50" s="29" t="inlineStr">
        <is>
          <t>6</t>
        </is>
      </c>
    </row>
    <row r="51" ht="24" customHeight="1">
      <c r="A51" s="24" t="inlineStr">
        <is>
          <t>OpenDART_fnlttSinglAcntAll</t>
        </is>
      </c>
      <c r="B51" s="24" t="inlineStr">
        <is>
          <t>00161383</t>
        </is>
      </c>
      <c r="C51" s="24" t="inlineStr">
        <is>
          <t>한미반도체</t>
        </is>
      </c>
      <c r="D51" s="24" t="inlineStr">
        <is>
          <t>hanmi</t>
        </is>
      </c>
      <c r="E51" s="24" t="inlineStr">
        <is>
          <t>042700</t>
        </is>
      </c>
      <c r="F51" s="24" t="inlineStr">
        <is>
          <t>2021</t>
        </is>
      </c>
      <c r="G51" s="24" t="inlineStr">
        <is>
          <t>CFS</t>
        </is>
      </c>
      <c r="H51" s="24" t="inlineStr">
        <is>
          <t>CIS</t>
        </is>
      </c>
      <c r="I51" s="24" t="inlineStr">
        <is>
          <t>포괄손익계산서</t>
        </is>
      </c>
      <c r="J51" s="24" t="inlineStr">
        <is>
          <t>-표준계정코드 미사용-</t>
        </is>
      </c>
      <c r="K51" s="24" t="inlineStr">
        <is>
          <t>기타영업외비용</t>
        </is>
      </c>
      <c r="L51" s="24" t="inlineStr">
        <is>
          <t>-</t>
        </is>
      </c>
      <c r="M51" s="24" t="inlineStr">
        <is>
          <t>제 42 기</t>
        </is>
      </c>
      <c r="N51" s="24" t="inlineStr">
        <is>
          <t>200002755.0</t>
        </is>
      </c>
      <c r="O51" s="24" t="inlineStr">
        <is>
          <t>609378815.0</t>
        </is>
      </c>
      <c r="P51" s="24" t="inlineStr">
        <is>
          <t>KRW</t>
        </is>
      </c>
      <c r="Q51" s="24" t="inlineStr">
        <is>
          <t>7</t>
        </is>
      </c>
    </row>
    <row r="52" ht="24" customHeight="1">
      <c r="A52" s="29" t="inlineStr">
        <is>
          <t>OpenDART_fnlttSinglAcntAll</t>
        </is>
      </c>
      <c r="B52" s="29" t="inlineStr">
        <is>
          <t>00161383</t>
        </is>
      </c>
      <c r="C52" s="29" t="inlineStr">
        <is>
          <t>한미반도체</t>
        </is>
      </c>
      <c r="D52" s="29" t="inlineStr">
        <is>
          <t>hanmi</t>
        </is>
      </c>
      <c r="E52" s="29" t="inlineStr">
        <is>
          <t>042700</t>
        </is>
      </c>
      <c r="F52" s="29" t="inlineStr">
        <is>
          <t>2021</t>
        </is>
      </c>
      <c r="G52" s="29" t="inlineStr">
        <is>
          <t>CFS</t>
        </is>
      </c>
      <c r="H52" s="29" t="inlineStr">
        <is>
          <t>CIS</t>
        </is>
      </c>
      <c r="I52" s="29" t="inlineStr">
        <is>
          <t>포괄손익계산서</t>
        </is>
      </c>
      <c r="J52" s="29" t="inlineStr">
        <is>
          <t>ifrs-full_FinanceIncome</t>
        </is>
      </c>
      <c r="K52" s="29" t="inlineStr">
        <is>
          <t>금융수익</t>
        </is>
      </c>
      <c r="L52" s="29" t="inlineStr">
        <is>
          <t>-</t>
        </is>
      </c>
      <c r="M52" s="29" t="inlineStr">
        <is>
          <t>제 42 기</t>
        </is>
      </c>
      <c r="N52" s="29" t="inlineStr">
        <is>
          <t>12415171107.0</t>
        </is>
      </c>
      <c r="O52" s="29" t="inlineStr">
        <is>
          <t>5473945396.0</t>
        </is>
      </c>
      <c r="P52" s="29" t="inlineStr">
        <is>
          <t>KRW</t>
        </is>
      </c>
      <c r="Q52" s="29" t="inlineStr">
        <is>
          <t>8</t>
        </is>
      </c>
    </row>
    <row r="53" ht="24" customHeight="1">
      <c r="A53" s="24" t="inlineStr">
        <is>
          <t>OpenDART_fnlttSinglAcntAll</t>
        </is>
      </c>
      <c r="B53" s="24" t="inlineStr">
        <is>
          <t>00161383</t>
        </is>
      </c>
      <c r="C53" s="24" t="inlineStr">
        <is>
          <t>한미반도체</t>
        </is>
      </c>
      <c r="D53" s="24" t="inlineStr">
        <is>
          <t>hanmi</t>
        </is>
      </c>
      <c r="E53" s="24" t="inlineStr">
        <is>
          <t>042700</t>
        </is>
      </c>
      <c r="F53" s="24" t="inlineStr">
        <is>
          <t>2021</t>
        </is>
      </c>
      <c r="G53" s="24" t="inlineStr">
        <is>
          <t>CFS</t>
        </is>
      </c>
      <c r="H53" s="24" t="inlineStr">
        <is>
          <t>CIS</t>
        </is>
      </c>
      <c r="I53" s="24" t="inlineStr">
        <is>
          <t>포괄손익계산서</t>
        </is>
      </c>
      <c r="J53" s="24" t="inlineStr">
        <is>
          <t>ifrs-full_FinanceCosts</t>
        </is>
      </c>
      <c r="K53" s="24" t="inlineStr">
        <is>
          <t>금융비용</t>
        </is>
      </c>
      <c r="L53" s="24" t="inlineStr">
        <is>
          <t>-</t>
        </is>
      </c>
      <c r="M53" s="24" t="inlineStr">
        <is>
          <t>제 42 기</t>
        </is>
      </c>
      <c r="N53" s="24" t="inlineStr">
        <is>
          <t>5525202196.0</t>
        </is>
      </c>
      <c r="O53" s="24" t="inlineStr">
        <is>
          <t>12093396915.0</t>
        </is>
      </c>
      <c r="P53" s="24" t="inlineStr">
        <is>
          <t>KRW</t>
        </is>
      </c>
      <c r="Q53" s="24" t="inlineStr">
        <is>
          <t>9</t>
        </is>
      </c>
    </row>
    <row r="54" ht="24" customHeight="1">
      <c r="A54" s="29" t="inlineStr">
        <is>
          <t>OpenDART_fnlttSinglAcntAll</t>
        </is>
      </c>
      <c r="B54" s="29" t="inlineStr">
        <is>
          <t>00161383</t>
        </is>
      </c>
      <c r="C54" s="29" t="inlineStr">
        <is>
          <t>한미반도체</t>
        </is>
      </c>
      <c r="D54" s="29" t="inlineStr">
        <is>
          <t>hanmi</t>
        </is>
      </c>
      <c r="E54" s="29" t="inlineStr">
        <is>
          <t>042700</t>
        </is>
      </c>
      <c r="F54" s="29" t="inlineStr">
        <is>
          <t>2021</t>
        </is>
      </c>
      <c r="G54" s="29" t="inlineStr">
        <is>
          <t>CFS</t>
        </is>
      </c>
      <c r="H54" s="29" t="inlineStr">
        <is>
          <t>CIS</t>
        </is>
      </c>
      <c r="I54" s="29" t="inlineStr">
        <is>
          <t>포괄손익계산서</t>
        </is>
      </c>
      <c r="J54" s="29" t="inlineStr">
        <is>
          <t>-표준계정코드 미사용-</t>
        </is>
      </c>
      <c r="K54" s="29" t="inlineStr">
        <is>
          <t>관계기업투자이익</t>
        </is>
      </c>
      <c r="L54" s="29" t="inlineStr">
        <is>
          <t>-</t>
        </is>
      </c>
      <c r="M54" s="29" t="inlineStr">
        <is>
          <t>제 42 기</t>
        </is>
      </c>
      <c r="N54" s="29" t="inlineStr">
        <is>
          <t>6076657647.0</t>
        </is>
      </c>
      <c r="O54" s="29" t="inlineStr">
        <is>
          <t>1169193937.0</t>
        </is>
      </c>
      <c r="P54" s="29" t="inlineStr">
        <is>
          <t>KRW</t>
        </is>
      </c>
      <c r="Q54" s="29" t="inlineStr">
        <is>
          <t>10</t>
        </is>
      </c>
    </row>
    <row r="55" ht="24" customHeight="1">
      <c r="A55" s="24" t="inlineStr">
        <is>
          <t>OpenDART_fnlttSinglAcntAll</t>
        </is>
      </c>
      <c r="B55" s="24" t="inlineStr">
        <is>
          <t>00161383</t>
        </is>
      </c>
      <c r="C55" s="24" t="inlineStr">
        <is>
          <t>한미반도체</t>
        </is>
      </c>
      <c r="D55" s="24" t="inlineStr">
        <is>
          <t>hanmi</t>
        </is>
      </c>
      <c r="E55" s="24" t="inlineStr">
        <is>
          <t>042700</t>
        </is>
      </c>
      <c r="F55" s="24" t="inlineStr">
        <is>
          <t>2021</t>
        </is>
      </c>
      <c r="G55" s="24" t="inlineStr">
        <is>
          <t>CFS</t>
        </is>
      </c>
      <c r="H55" s="24" t="inlineStr">
        <is>
          <t>CIS</t>
        </is>
      </c>
      <c r="I55" s="24" t="inlineStr">
        <is>
          <t>포괄손익계산서</t>
        </is>
      </c>
      <c r="J55" s="24" t="inlineStr">
        <is>
          <t>ifrs-full_ProfitLossBeforeTax</t>
        </is>
      </c>
      <c r="K55" s="24" t="inlineStr">
        <is>
          <t>법인세비용차감전순이익</t>
        </is>
      </c>
      <c r="L55" s="24" t="inlineStr">
        <is>
          <t>-</t>
        </is>
      </c>
      <c r="M55" s="24" t="inlineStr">
        <is>
          <t>제 42 기</t>
        </is>
      </c>
      <c r="N55" s="24" t="inlineStr">
        <is>
          <t>136251557490.0</t>
        </is>
      </c>
      <c r="O55" s="24" t="inlineStr">
        <is>
          <t>65646976995.0</t>
        </is>
      </c>
      <c r="P55" s="24" t="inlineStr">
        <is>
          <t>KRW</t>
        </is>
      </c>
      <c r="Q55" s="24" t="inlineStr">
        <is>
          <t>11</t>
        </is>
      </c>
    </row>
    <row r="56" ht="24" customHeight="1">
      <c r="A56" s="29" t="inlineStr">
        <is>
          <t>OpenDART_fnlttSinglAcntAll</t>
        </is>
      </c>
      <c r="B56" s="29" t="inlineStr">
        <is>
          <t>00161383</t>
        </is>
      </c>
      <c r="C56" s="29" t="inlineStr">
        <is>
          <t>한미반도체</t>
        </is>
      </c>
      <c r="D56" s="29" t="inlineStr">
        <is>
          <t>hanmi</t>
        </is>
      </c>
      <c r="E56" s="29" t="inlineStr">
        <is>
          <t>042700</t>
        </is>
      </c>
      <c r="F56" s="29" t="inlineStr">
        <is>
          <t>2021</t>
        </is>
      </c>
      <c r="G56" s="29" t="inlineStr">
        <is>
          <t>CFS</t>
        </is>
      </c>
      <c r="H56" s="29" t="inlineStr">
        <is>
          <t>CIS</t>
        </is>
      </c>
      <c r="I56" s="29" t="inlineStr">
        <is>
          <t>포괄손익계산서</t>
        </is>
      </c>
      <c r="J56" s="29" t="inlineStr">
        <is>
          <t>ifrs-full_IncomeTaxExpenseContinuingOperations</t>
        </is>
      </c>
      <c r="K56" s="29" t="inlineStr">
        <is>
          <t>법인세비용</t>
        </is>
      </c>
      <c r="L56" s="29" t="inlineStr">
        <is>
          <t>-</t>
        </is>
      </c>
      <c r="M56" s="29" t="inlineStr">
        <is>
          <t>제 42 기</t>
        </is>
      </c>
      <c r="N56" s="29" t="inlineStr">
        <is>
          <t>31813253225.0</t>
        </is>
      </c>
      <c r="O56" s="29" t="inlineStr">
        <is>
          <t>15515491631.0</t>
        </is>
      </c>
      <c r="P56" s="29" t="inlineStr">
        <is>
          <t>KRW</t>
        </is>
      </c>
      <c r="Q56" s="29" t="inlineStr">
        <is>
          <t>12</t>
        </is>
      </c>
    </row>
    <row r="57" ht="24" customHeight="1">
      <c r="A57" s="24" t="inlineStr">
        <is>
          <t>OpenDART_fnlttSinglAcntAll</t>
        </is>
      </c>
      <c r="B57" s="24" t="inlineStr">
        <is>
          <t>00161383</t>
        </is>
      </c>
      <c r="C57" s="24" t="inlineStr">
        <is>
          <t>한미반도체</t>
        </is>
      </c>
      <c r="D57" s="24" t="inlineStr">
        <is>
          <t>hanmi</t>
        </is>
      </c>
      <c r="E57" s="24" t="inlineStr">
        <is>
          <t>042700</t>
        </is>
      </c>
      <c r="F57" s="24" t="inlineStr">
        <is>
          <t>2021</t>
        </is>
      </c>
      <c r="G57" s="24" t="inlineStr">
        <is>
          <t>CFS</t>
        </is>
      </c>
      <c r="H57" s="24" t="inlineStr">
        <is>
          <t>CIS</t>
        </is>
      </c>
      <c r="I57" s="24" t="inlineStr">
        <is>
          <t>포괄손익계산서</t>
        </is>
      </c>
      <c r="J57" s="24" t="inlineStr">
        <is>
          <t>ifrs-full_ProfitLoss</t>
        </is>
      </c>
      <c r="K57" s="24" t="inlineStr">
        <is>
          <t>당기순이익</t>
        </is>
      </c>
      <c r="L57" s="24" t="inlineStr">
        <is>
          <t>-</t>
        </is>
      </c>
      <c r="M57" s="24" t="inlineStr">
        <is>
          <t>제 42 기</t>
        </is>
      </c>
      <c r="N57" s="24" t="inlineStr">
        <is>
          <t>104438304265.0</t>
        </is>
      </c>
      <c r="O57" s="24" t="inlineStr">
        <is>
          <t>50131485364.0</t>
        </is>
      </c>
      <c r="P57" s="24" t="inlineStr">
        <is>
          <t>KRW</t>
        </is>
      </c>
      <c r="Q57" s="24" t="inlineStr">
        <is>
          <t>13</t>
        </is>
      </c>
    </row>
    <row r="58" ht="24" customHeight="1">
      <c r="A58" s="29" t="inlineStr">
        <is>
          <t>OpenDART_fnlttSinglAcntAll</t>
        </is>
      </c>
      <c r="B58" s="29" t="inlineStr">
        <is>
          <t>00161383</t>
        </is>
      </c>
      <c r="C58" s="29" t="inlineStr">
        <is>
          <t>한미반도체</t>
        </is>
      </c>
      <c r="D58" s="29" t="inlineStr">
        <is>
          <t>hanmi</t>
        </is>
      </c>
      <c r="E58" s="29" t="inlineStr">
        <is>
          <t>042700</t>
        </is>
      </c>
      <c r="F58" s="29" t="inlineStr">
        <is>
          <t>2021</t>
        </is>
      </c>
      <c r="G58" s="29" t="inlineStr">
        <is>
          <t>CFS</t>
        </is>
      </c>
      <c r="H58" s="29" t="inlineStr">
        <is>
          <t>CIS</t>
        </is>
      </c>
      <c r="I58" s="29" t="inlineStr">
        <is>
          <t>포괄손익계산서</t>
        </is>
      </c>
      <c r="J58" s="29" t="inlineStr">
        <is>
          <t>ifrs-full_ProfitLossAttributableToOwnersOfParent</t>
        </is>
      </c>
      <c r="K58" s="29" t="inlineStr">
        <is>
          <t>지배기업지분순이익</t>
        </is>
      </c>
      <c r="L58" s="29" t="inlineStr">
        <is>
          <t>-</t>
        </is>
      </c>
      <c r="M58" s="29" t="inlineStr">
        <is>
          <t>제 42 기</t>
        </is>
      </c>
      <c r="N58" s="29" t="inlineStr">
        <is>
          <t>104438304265.0</t>
        </is>
      </c>
      <c r="O58" s="29" t="inlineStr">
        <is>
          <t>50131485364.0</t>
        </is>
      </c>
      <c r="P58" s="29" t="inlineStr">
        <is>
          <t>KRW</t>
        </is>
      </c>
      <c r="Q58" s="29" t="inlineStr">
        <is>
          <t>15</t>
        </is>
      </c>
    </row>
    <row r="59" ht="24" customHeight="1">
      <c r="A59" s="24" t="inlineStr">
        <is>
          <t>OpenDART_fnlttSinglAcntAll</t>
        </is>
      </c>
      <c r="B59" s="24" t="inlineStr">
        <is>
          <t>00161383</t>
        </is>
      </c>
      <c r="C59" s="24" t="inlineStr">
        <is>
          <t>한미반도체</t>
        </is>
      </c>
      <c r="D59" s="24" t="inlineStr">
        <is>
          <t>hanmi</t>
        </is>
      </c>
      <c r="E59" s="24" t="inlineStr">
        <is>
          <t>042700</t>
        </is>
      </c>
      <c r="F59" s="24" t="inlineStr">
        <is>
          <t>2021</t>
        </is>
      </c>
      <c r="G59" s="24" t="inlineStr">
        <is>
          <t>CFS</t>
        </is>
      </c>
      <c r="H59" s="24" t="inlineStr">
        <is>
          <t>CIS</t>
        </is>
      </c>
      <c r="I59" s="24" t="inlineStr">
        <is>
          <t>포괄손익계산서</t>
        </is>
      </c>
      <c r="J59" s="24" t="inlineStr">
        <is>
          <t>ifrs-full_ProfitLossAttributableToNoncontrollingInterests</t>
        </is>
      </c>
      <c r="K59" s="24" t="inlineStr">
        <is>
          <t>비지배지분순이익</t>
        </is>
      </c>
      <c r="L59" s="24" t="inlineStr">
        <is>
          <t>-</t>
        </is>
      </c>
      <c r="M59" s="24" t="inlineStr">
        <is>
          <t>제 42 기</t>
        </is>
      </c>
      <c r="N59" s="24" t="inlineStr">
        <is>
          <t>0.0</t>
        </is>
      </c>
      <c r="O59" s="24" t="inlineStr">
        <is>
          <t>0.0</t>
        </is>
      </c>
      <c r="P59" s="24" t="inlineStr">
        <is>
          <t>KRW</t>
        </is>
      </c>
      <c r="Q59" s="24" t="inlineStr">
        <is>
          <t>16</t>
        </is>
      </c>
    </row>
    <row r="60" ht="24" customHeight="1">
      <c r="A60" s="29" t="inlineStr">
        <is>
          <t>OpenDART_fnlttSinglAcntAll</t>
        </is>
      </c>
      <c r="B60" s="29" t="inlineStr">
        <is>
          <t>00161383</t>
        </is>
      </c>
      <c r="C60" s="29" t="inlineStr">
        <is>
          <t>한미반도체</t>
        </is>
      </c>
      <c r="D60" s="29" t="inlineStr">
        <is>
          <t>hanmi</t>
        </is>
      </c>
      <c r="E60" s="29" t="inlineStr">
        <is>
          <t>042700</t>
        </is>
      </c>
      <c r="F60" s="29" t="inlineStr">
        <is>
          <t>2021</t>
        </is>
      </c>
      <c r="G60" s="29" t="inlineStr">
        <is>
          <t>CFS</t>
        </is>
      </c>
      <c r="H60" s="29" t="inlineStr">
        <is>
          <t>CIS</t>
        </is>
      </c>
      <c r="I60" s="29" t="inlineStr">
        <is>
          <t>포괄손익계산서</t>
        </is>
      </c>
      <c r="J60" s="29" t="inlineStr">
        <is>
          <t>ifrs-full_OtherComprehensiveIncome</t>
        </is>
      </c>
      <c r="K60" s="29" t="inlineStr">
        <is>
          <t>기타포괄손익</t>
        </is>
      </c>
      <c r="L60" s="29" t="inlineStr">
        <is>
          <t>-</t>
        </is>
      </c>
      <c r="M60" s="29" t="inlineStr">
        <is>
          <t>제 42 기</t>
        </is>
      </c>
      <c r="N60" s="29" t="inlineStr">
        <is>
          <t>-577872224.0</t>
        </is>
      </c>
      <c r="O60" s="29" t="inlineStr">
        <is>
          <t>1171695600.0</t>
        </is>
      </c>
      <c r="P60" s="29" t="inlineStr">
        <is>
          <t>KRW</t>
        </is>
      </c>
      <c r="Q60" s="29" t="inlineStr">
        <is>
          <t>17</t>
        </is>
      </c>
    </row>
    <row r="61" ht="24" customHeight="1">
      <c r="A61" s="24" t="inlineStr">
        <is>
          <t>OpenDART_fnlttSinglAcntAll</t>
        </is>
      </c>
      <c r="B61" s="24" t="inlineStr">
        <is>
          <t>00161383</t>
        </is>
      </c>
      <c r="C61" s="24" t="inlineStr">
        <is>
          <t>한미반도체</t>
        </is>
      </c>
      <c r="D61" s="24" t="inlineStr">
        <is>
          <t>hanmi</t>
        </is>
      </c>
      <c r="E61" s="24" t="inlineStr">
        <is>
          <t>042700</t>
        </is>
      </c>
      <c r="F61" s="24" t="inlineStr">
        <is>
          <t>2021</t>
        </is>
      </c>
      <c r="G61" s="24" t="inlineStr">
        <is>
          <t>CFS</t>
        </is>
      </c>
      <c r="H61" s="24" t="inlineStr">
        <is>
          <t>CIS</t>
        </is>
      </c>
      <c r="I61" s="24" t="inlineStr">
        <is>
          <t>포괄손익계산서</t>
        </is>
      </c>
      <c r="J61" s="24" t="inlineStr">
        <is>
          <t>dart_OtherComprehensiveIncomeThatWillNotBeReclassifiedToProfitOrLossBeforeTax</t>
        </is>
      </c>
      <c r="K61" s="24" t="inlineStr">
        <is>
          <t>후속기간에당기손익으로재분류되지않는항목</t>
        </is>
      </c>
      <c r="L61" s="24" t="inlineStr">
        <is>
          <t>-</t>
        </is>
      </c>
      <c r="M61" s="24" t="inlineStr">
        <is>
          <t>제 42 기</t>
        </is>
      </c>
      <c r="N61" s="24" t="inlineStr">
        <is>
          <t>-899285548.0</t>
        </is>
      </c>
      <c r="O61" s="24" t="inlineStr">
        <is>
          <t>1250137436.0</t>
        </is>
      </c>
      <c r="P61" s="24" t="inlineStr">
        <is>
          <t>KRW</t>
        </is>
      </c>
      <c r="Q61" s="24" t="inlineStr">
        <is>
          <t>18</t>
        </is>
      </c>
    </row>
    <row r="62" ht="24" customHeight="1">
      <c r="A62" s="29" t="inlineStr">
        <is>
          <t>OpenDART_fnlttSinglAcntAll</t>
        </is>
      </c>
      <c r="B62" s="29" t="inlineStr">
        <is>
          <t>00161383</t>
        </is>
      </c>
      <c r="C62" s="29" t="inlineStr">
        <is>
          <t>한미반도체</t>
        </is>
      </c>
      <c r="D62" s="29" t="inlineStr">
        <is>
          <t>hanmi</t>
        </is>
      </c>
      <c r="E62" s="29" t="inlineStr">
        <is>
          <t>042700</t>
        </is>
      </c>
      <c r="F62" s="29" t="inlineStr">
        <is>
          <t>2021</t>
        </is>
      </c>
      <c r="G62" s="29" t="inlineStr">
        <is>
          <t>CFS</t>
        </is>
      </c>
      <c r="H62" s="29" t="inlineStr">
        <is>
          <t>CIS</t>
        </is>
      </c>
      <c r="I62" s="29" t="inlineStr">
        <is>
          <t>포괄손익계산서</t>
        </is>
      </c>
      <c r="J62" s="29" t="inlineStr">
        <is>
          <t>dart_OtherComprehensiveIncomeBeforeTaxGainsLossesOnRemeasurementsOfDefinedBenefitPlans</t>
        </is>
      </c>
      <c r="K62" s="29" t="inlineStr">
        <is>
          <t>확정급여제도의 재측정요소</t>
        </is>
      </c>
      <c r="L62" s="29" t="inlineStr">
        <is>
          <t>-</t>
        </is>
      </c>
      <c r="M62" s="29" t="inlineStr">
        <is>
          <t>제 42 기</t>
        </is>
      </c>
      <c r="N62" s="29" t="inlineStr">
        <is>
          <t>-1145910193.0</t>
        </is>
      </c>
      <c r="O62" s="29" t="inlineStr">
        <is>
          <t>1580521819.0</t>
        </is>
      </c>
      <c r="P62" s="29" t="inlineStr">
        <is>
          <t>KRW</t>
        </is>
      </c>
      <c r="Q62" s="29" t="inlineStr">
        <is>
          <t>19</t>
        </is>
      </c>
    </row>
    <row r="63" ht="24" customHeight="1">
      <c r="A63" s="24" t="inlineStr">
        <is>
          <t>OpenDART_fnlttSinglAcntAll</t>
        </is>
      </c>
      <c r="B63" s="24" t="inlineStr">
        <is>
          <t>00161383</t>
        </is>
      </c>
      <c r="C63" s="24" t="inlineStr">
        <is>
          <t>한미반도체</t>
        </is>
      </c>
      <c r="D63" s="24" t="inlineStr">
        <is>
          <t>hanmi</t>
        </is>
      </c>
      <c r="E63" s="24" t="inlineStr">
        <is>
          <t>042700</t>
        </is>
      </c>
      <c r="F63" s="24" t="inlineStr">
        <is>
          <t>2021</t>
        </is>
      </c>
      <c r="G63" s="24" t="inlineStr">
        <is>
          <t>CFS</t>
        </is>
      </c>
      <c r="H63" s="24" t="inlineStr">
        <is>
          <t>CIS</t>
        </is>
      </c>
      <c r="I63" s="24" t="inlineStr">
        <is>
          <t>포괄손익계산서</t>
        </is>
      </c>
      <c r="J63" s="24" t="inlineStr">
        <is>
          <t>-표준계정코드 미사용-</t>
        </is>
      </c>
      <c r="K63" s="24" t="inlineStr">
        <is>
          <t>법인세효과</t>
        </is>
      </c>
      <c r="L63" s="24" t="inlineStr">
        <is>
          <t>-</t>
        </is>
      </c>
      <c r="M63" s="24" t="inlineStr">
        <is>
          <t>제 42 기</t>
        </is>
      </c>
      <c r="N63" s="24" t="inlineStr">
        <is>
          <t>277310267.0</t>
        </is>
      </c>
      <c r="O63" s="24" t="inlineStr">
        <is>
          <t>-347714800.0</t>
        </is>
      </c>
      <c r="P63" s="24" t="inlineStr">
        <is>
          <t>KRW</t>
        </is>
      </c>
      <c r="Q63" s="24" t="inlineStr">
        <is>
          <t>20</t>
        </is>
      </c>
    </row>
    <row r="64" ht="24" customHeight="1">
      <c r="A64" s="29" t="inlineStr">
        <is>
          <t>OpenDART_fnlttSinglAcntAll</t>
        </is>
      </c>
      <c r="B64" s="29" t="inlineStr">
        <is>
          <t>00161383</t>
        </is>
      </c>
      <c r="C64" s="29" t="inlineStr">
        <is>
          <t>한미반도체</t>
        </is>
      </c>
      <c r="D64" s="29" t="inlineStr">
        <is>
          <t>hanmi</t>
        </is>
      </c>
      <c r="E64" s="29" t="inlineStr">
        <is>
          <t>042700</t>
        </is>
      </c>
      <c r="F64" s="29" t="inlineStr">
        <is>
          <t>2021</t>
        </is>
      </c>
      <c r="G64" s="29" t="inlineStr">
        <is>
          <t>CFS</t>
        </is>
      </c>
      <c r="H64" s="29" t="inlineStr">
        <is>
          <t>CIS</t>
        </is>
      </c>
      <c r="I64" s="29" t="inlineStr">
        <is>
          <t>포괄손익계산서</t>
        </is>
      </c>
      <c r="J64" s="29" t="inlineStr">
        <is>
          <t>dart_ShareOfOtherComprehensiveIncomeOfAssociatesAndJointVenturesAccountedForUsingEquityMethodThatWillNotBeReclassifiedToProfitOrLossBeforeTax</t>
        </is>
      </c>
      <c r="K64" s="29" t="inlineStr">
        <is>
          <t>지분법자본변동</t>
        </is>
      </c>
      <c r="L64" s="29" t="inlineStr">
        <is>
          <t>-</t>
        </is>
      </c>
      <c r="M64" s="29" t="inlineStr">
        <is>
          <t>제 42 기</t>
        </is>
      </c>
      <c r="N64" s="29" t="inlineStr">
        <is>
          <t>-30685622.0</t>
        </is>
      </c>
      <c r="O64" s="29" t="inlineStr">
        <is>
          <t>17330417.0</t>
        </is>
      </c>
      <c r="P64" s="29" t="inlineStr">
        <is>
          <t>KRW</t>
        </is>
      </c>
      <c r="Q64" s="29" t="inlineStr">
        <is>
          <t>21</t>
        </is>
      </c>
    </row>
    <row r="65" ht="24" customHeight="1">
      <c r="A65" s="24" t="inlineStr">
        <is>
          <t>OpenDART_fnlttSinglAcntAll</t>
        </is>
      </c>
      <c r="B65" s="24" t="inlineStr">
        <is>
          <t>00161383</t>
        </is>
      </c>
      <c r="C65" s="24" t="inlineStr">
        <is>
          <t>한미반도체</t>
        </is>
      </c>
      <c r="D65" s="24" t="inlineStr">
        <is>
          <t>hanmi</t>
        </is>
      </c>
      <c r="E65" s="24" t="inlineStr">
        <is>
          <t>042700</t>
        </is>
      </c>
      <c r="F65" s="24" t="inlineStr">
        <is>
          <t>2021</t>
        </is>
      </c>
      <c r="G65" s="24" t="inlineStr">
        <is>
          <t>CFS</t>
        </is>
      </c>
      <c r="H65" s="24" t="inlineStr">
        <is>
          <t>CIS</t>
        </is>
      </c>
      <c r="I65" s="24" t="inlineStr">
        <is>
          <t>포괄손익계산서</t>
        </is>
      </c>
      <c r="J65" s="24" t="inlineStr">
        <is>
          <t>dart_OtherComprehensiveIncomeThatWillBeReclassifiedToProfitOrLossBeforeTax</t>
        </is>
      </c>
      <c r="K65" s="24" t="inlineStr">
        <is>
          <t>후속기간에당기손익으로재분류되는항목</t>
        </is>
      </c>
      <c r="L65" s="24" t="inlineStr">
        <is>
          <t>-</t>
        </is>
      </c>
      <c r="M65" s="24" t="inlineStr">
        <is>
          <t>제 42 기</t>
        </is>
      </c>
      <c r="N65" s="24" t="inlineStr">
        <is>
          <t>321413324.0</t>
        </is>
      </c>
      <c r="O65" s="24" t="inlineStr">
        <is>
          <t>-78441836.0</t>
        </is>
      </c>
      <c r="P65" s="24" t="inlineStr">
        <is>
          <t>KRW</t>
        </is>
      </c>
      <c r="Q65" s="24" t="inlineStr">
        <is>
          <t>22</t>
        </is>
      </c>
    </row>
    <row r="66" ht="24" customHeight="1">
      <c r="A66" s="29" t="inlineStr">
        <is>
          <t>OpenDART_fnlttSinglAcntAll</t>
        </is>
      </c>
      <c r="B66" s="29" t="inlineStr">
        <is>
          <t>00161383</t>
        </is>
      </c>
      <c r="C66" s="29" t="inlineStr">
        <is>
          <t>한미반도체</t>
        </is>
      </c>
      <c r="D66" s="29" t="inlineStr">
        <is>
          <t>hanmi</t>
        </is>
      </c>
      <c r="E66" s="29" t="inlineStr">
        <is>
          <t>042700</t>
        </is>
      </c>
      <c r="F66" s="29" t="inlineStr">
        <is>
          <t>2021</t>
        </is>
      </c>
      <c r="G66" s="29" t="inlineStr">
        <is>
          <t>CFS</t>
        </is>
      </c>
      <c r="H66" s="29" t="inlineStr">
        <is>
          <t>CIS</t>
        </is>
      </c>
      <c r="I66" s="29" t="inlineStr">
        <is>
          <t>포괄손익계산서</t>
        </is>
      </c>
      <c r="J66" s="29" t="inlineStr">
        <is>
          <t>ifrs-full_GainsLossesOnExchangeDifferencesOnTranslationBeforeTax</t>
        </is>
      </c>
      <c r="K66" s="29" t="inlineStr">
        <is>
          <t>해외사업환산손익</t>
        </is>
      </c>
      <c r="L66" s="29" t="inlineStr">
        <is>
          <t>-</t>
        </is>
      </c>
      <c r="M66" s="29" t="inlineStr">
        <is>
          <t>제 42 기</t>
        </is>
      </c>
      <c r="N66" s="29" t="inlineStr">
        <is>
          <t>321413324.0</t>
        </is>
      </c>
      <c r="O66" s="29" t="inlineStr">
        <is>
          <t>-78441836.0</t>
        </is>
      </c>
      <c r="P66" s="29" t="inlineStr">
        <is>
          <t>KRW</t>
        </is>
      </c>
      <c r="Q66" s="29" t="inlineStr">
        <is>
          <t>23</t>
        </is>
      </c>
    </row>
    <row r="67" ht="24" customHeight="1">
      <c r="A67" s="24" t="inlineStr">
        <is>
          <t>OpenDART_fnlttSinglAcntAll</t>
        </is>
      </c>
      <c r="B67" s="24" t="inlineStr">
        <is>
          <t>00161383</t>
        </is>
      </c>
      <c r="C67" s="24" t="inlineStr">
        <is>
          <t>한미반도체</t>
        </is>
      </c>
      <c r="D67" s="24" t="inlineStr">
        <is>
          <t>hanmi</t>
        </is>
      </c>
      <c r="E67" s="24" t="inlineStr">
        <is>
          <t>042700</t>
        </is>
      </c>
      <c r="F67" s="24" t="inlineStr">
        <is>
          <t>2021</t>
        </is>
      </c>
      <c r="G67" s="24" t="inlineStr">
        <is>
          <t>CFS</t>
        </is>
      </c>
      <c r="H67" s="24" t="inlineStr">
        <is>
          <t>CIS</t>
        </is>
      </c>
      <c r="I67" s="24" t="inlineStr">
        <is>
          <t>포괄손익계산서</t>
        </is>
      </c>
      <c r="J67" s="24" t="inlineStr">
        <is>
          <t>ifrs-full_ComprehensiveIncome</t>
        </is>
      </c>
      <c r="K67" s="24" t="inlineStr">
        <is>
          <t>총포괄이익</t>
        </is>
      </c>
      <c r="L67" s="24" t="inlineStr">
        <is>
          <t>-</t>
        </is>
      </c>
      <c r="M67" s="24" t="inlineStr">
        <is>
          <t>제 42 기</t>
        </is>
      </c>
      <c r="N67" s="24" t="inlineStr">
        <is>
          <t>103860432041.0</t>
        </is>
      </c>
      <c r="O67" s="24" t="inlineStr">
        <is>
          <t>51303180964.0</t>
        </is>
      </c>
      <c r="P67" s="24" t="inlineStr">
        <is>
          <t>KRW</t>
        </is>
      </c>
      <c r="Q67" s="24" t="inlineStr">
        <is>
          <t>24</t>
        </is>
      </c>
    </row>
    <row r="68" ht="24" customHeight="1">
      <c r="A68" s="29" t="inlineStr">
        <is>
          <t>OpenDART_fnlttSinglAcntAll</t>
        </is>
      </c>
      <c r="B68" s="29" t="inlineStr">
        <is>
          <t>00161383</t>
        </is>
      </c>
      <c r="C68" s="29" t="inlineStr">
        <is>
          <t>한미반도체</t>
        </is>
      </c>
      <c r="D68" s="29" t="inlineStr">
        <is>
          <t>hanmi</t>
        </is>
      </c>
      <c r="E68" s="29" t="inlineStr">
        <is>
          <t>042700</t>
        </is>
      </c>
      <c r="F68" s="29" t="inlineStr">
        <is>
          <t>2021</t>
        </is>
      </c>
      <c r="G68" s="29" t="inlineStr">
        <is>
          <t>CFS</t>
        </is>
      </c>
      <c r="H68" s="29" t="inlineStr">
        <is>
          <t>CIS</t>
        </is>
      </c>
      <c r="I68" s="29" t="inlineStr">
        <is>
          <t>포괄손익계산서</t>
        </is>
      </c>
      <c r="J68" s="29" t="inlineStr">
        <is>
          <t>ifrs-full_ComprehensiveIncomeAttributableToOwnersOfParent</t>
        </is>
      </c>
      <c r="K68" s="29" t="inlineStr">
        <is>
          <t>지배기업지분포괄이익</t>
        </is>
      </c>
      <c r="L68" s="29" t="inlineStr">
        <is>
          <t>-</t>
        </is>
      </c>
      <c r="M68" s="29" t="inlineStr">
        <is>
          <t>제 42 기</t>
        </is>
      </c>
      <c r="N68" s="29" t="inlineStr">
        <is>
          <t>103860432041.0</t>
        </is>
      </c>
      <c r="O68" s="29" t="inlineStr">
        <is>
          <t>51303180964.0</t>
        </is>
      </c>
      <c r="P68" s="29" t="inlineStr">
        <is>
          <t>KRW</t>
        </is>
      </c>
      <c r="Q68" s="29" t="inlineStr">
        <is>
          <t>26</t>
        </is>
      </c>
    </row>
    <row r="69" ht="24" customHeight="1">
      <c r="A69" s="24" t="inlineStr">
        <is>
          <t>OpenDART_fnlttSinglAcntAll</t>
        </is>
      </c>
      <c r="B69" s="24" t="inlineStr">
        <is>
          <t>00161383</t>
        </is>
      </c>
      <c r="C69" s="24" t="inlineStr">
        <is>
          <t>한미반도체</t>
        </is>
      </c>
      <c r="D69" s="24" t="inlineStr">
        <is>
          <t>hanmi</t>
        </is>
      </c>
      <c r="E69" s="24" t="inlineStr">
        <is>
          <t>042700</t>
        </is>
      </c>
      <c r="F69" s="24" t="inlineStr">
        <is>
          <t>2021</t>
        </is>
      </c>
      <c r="G69" s="24" t="inlineStr">
        <is>
          <t>CFS</t>
        </is>
      </c>
      <c r="H69" s="24" t="inlineStr">
        <is>
          <t>CIS</t>
        </is>
      </c>
      <c r="I69" s="24" t="inlineStr">
        <is>
          <t>포괄손익계산서</t>
        </is>
      </c>
      <c r="J69" s="24" t="inlineStr">
        <is>
          <t>ifrs-full_ComprehensiveIncomeAttributableToNoncontrollingInterests</t>
        </is>
      </c>
      <c r="K69" s="24" t="inlineStr">
        <is>
          <t>비지배지분포괄이익</t>
        </is>
      </c>
      <c r="L69" s="24" t="inlineStr">
        <is>
          <t>-</t>
        </is>
      </c>
      <c r="M69" s="24" t="inlineStr">
        <is>
          <t>제 42 기</t>
        </is>
      </c>
      <c r="N69" s="24" t="inlineStr">
        <is>
          <t>0.0</t>
        </is>
      </c>
      <c r="O69" s="24" t="inlineStr">
        <is>
          <t>0.0</t>
        </is>
      </c>
      <c r="P69" s="24" t="inlineStr">
        <is>
          <t>KRW</t>
        </is>
      </c>
      <c r="Q69" s="24" t="inlineStr">
        <is>
          <t>27</t>
        </is>
      </c>
    </row>
    <row r="70" ht="24" customHeight="1">
      <c r="A70" s="29" t="inlineStr">
        <is>
          <t>OpenDART_fnlttSinglAcntAll</t>
        </is>
      </c>
      <c r="B70" s="29" t="inlineStr">
        <is>
          <t>00161383</t>
        </is>
      </c>
      <c r="C70" s="29" t="inlineStr">
        <is>
          <t>한미반도체</t>
        </is>
      </c>
      <c r="D70" s="29" t="inlineStr">
        <is>
          <t>hanmi</t>
        </is>
      </c>
      <c r="E70" s="29" t="inlineStr">
        <is>
          <t>042700</t>
        </is>
      </c>
      <c r="F70" s="29" t="inlineStr">
        <is>
          <t>2021</t>
        </is>
      </c>
      <c r="G70" s="29" t="inlineStr">
        <is>
          <t>CFS</t>
        </is>
      </c>
      <c r="H70" s="29" t="inlineStr">
        <is>
          <t>CIS</t>
        </is>
      </c>
      <c r="I70" s="29" t="inlineStr">
        <is>
          <t>포괄손익계산서</t>
        </is>
      </c>
      <c r="J70" s="29" t="inlineStr">
        <is>
          <t>ifrs-full_BasicEarningsLossPerShare</t>
        </is>
      </c>
      <c r="K70" s="29" t="inlineStr">
        <is>
          <t>기본주당이익</t>
        </is>
      </c>
      <c r="L70" s="29" t="inlineStr">
        <is>
          <t>-</t>
        </is>
      </c>
      <c r="M70" s="29" t="inlineStr">
        <is>
          <t>제 42 기</t>
        </is>
      </c>
      <c r="N70" s="29" t="inlineStr">
        <is>
          <t>2113.0</t>
        </is>
      </c>
      <c r="O70" s="29" t="inlineStr">
        <is>
          <t>1004.0</t>
        </is>
      </c>
      <c r="P70" s="29" t="inlineStr">
        <is>
          <t>KRW</t>
        </is>
      </c>
      <c r="Q70" s="29" t="inlineStr">
        <is>
          <t>29</t>
        </is>
      </c>
    </row>
    <row r="71" ht="24" customHeight="1">
      <c r="A71" s="24" t="inlineStr">
        <is>
          <t>OpenDART_fnlttSinglAcntAll</t>
        </is>
      </c>
      <c r="B71" s="24" t="inlineStr">
        <is>
          <t>00161383</t>
        </is>
      </c>
      <c r="C71" s="24" t="inlineStr">
        <is>
          <t>한미반도체</t>
        </is>
      </c>
      <c r="D71" s="24" t="inlineStr">
        <is>
          <t>hanmi</t>
        </is>
      </c>
      <c r="E71" s="24" t="inlineStr">
        <is>
          <t>042700</t>
        </is>
      </c>
      <c r="F71" s="24" t="inlineStr">
        <is>
          <t>2021</t>
        </is>
      </c>
      <c r="G71" s="24" t="inlineStr">
        <is>
          <t>CFS</t>
        </is>
      </c>
      <c r="H71" s="24" t="inlineStr">
        <is>
          <t>CIS</t>
        </is>
      </c>
      <c r="I71" s="24" t="inlineStr">
        <is>
          <t>포괄손익계산서</t>
        </is>
      </c>
      <c r="J71" s="24" t="inlineStr">
        <is>
          <t>ifrs-full_DilutedEarningsLossPerShare</t>
        </is>
      </c>
      <c r="K71" s="24" t="inlineStr">
        <is>
          <t>희석주당이익</t>
        </is>
      </c>
      <c r="L71" s="24" t="inlineStr">
        <is>
          <t>-</t>
        </is>
      </c>
      <c r="M71" s="24" t="inlineStr">
        <is>
          <t>제 42 기</t>
        </is>
      </c>
      <c r="N71" s="24" t="inlineStr">
        <is>
          <t>2113.0</t>
        </is>
      </c>
      <c r="O71" s="24" t="inlineStr">
        <is>
          <t>1004.0</t>
        </is>
      </c>
      <c r="P71" s="24" t="inlineStr">
        <is>
          <t>KRW</t>
        </is>
      </c>
      <c r="Q71" s="24" t="inlineStr">
        <is>
          <t>30</t>
        </is>
      </c>
    </row>
    <row r="72" ht="24" customHeight="1">
      <c r="A72" s="29" t="inlineStr">
        <is>
          <t>OpenDART_fnlttSinglAcntAll</t>
        </is>
      </c>
      <c r="B72" s="29" t="inlineStr">
        <is>
          <t>00161383</t>
        </is>
      </c>
      <c r="C72" s="29" t="inlineStr">
        <is>
          <t>한미반도체</t>
        </is>
      </c>
      <c r="D72" s="29" t="inlineStr">
        <is>
          <t>hanmi</t>
        </is>
      </c>
      <c r="E72" s="29" t="inlineStr">
        <is>
          <t>042700</t>
        </is>
      </c>
      <c r="F72" s="29" t="inlineStr">
        <is>
          <t>2021</t>
        </is>
      </c>
      <c r="G72" s="29" t="inlineStr">
        <is>
          <t>CFS</t>
        </is>
      </c>
      <c r="H72" s="29" t="inlineStr">
        <is>
          <t>CF</t>
        </is>
      </c>
      <c r="I72" s="29" t="inlineStr">
        <is>
          <t>현금흐름표</t>
        </is>
      </c>
      <c r="J72" s="29" t="inlineStr">
        <is>
          <t>ifrs-full_CashFlowsFromUsedInOperatingActivities</t>
        </is>
      </c>
      <c r="K72" s="29" t="inlineStr">
        <is>
          <t>영업활동현금흐름</t>
        </is>
      </c>
      <c r="L72" s="29" t="inlineStr">
        <is>
          <t>-</t>
        </is>
      </c>
      <c r="M72" s="29" t="inlineStr">
        <is>
          <t>제 42 기</t>
        </is>
      </c>
      <c r="N72" s="29" t="inlineStr">
        <is>
          <t>52279090690.0</t>
        </is>
      </c>
      <c r="O72" s="29" t="inlineStr">
        <is>
          <t>37483996929.0</t>
        </is>
      </c>
      <c r="P72" s="29" t="inlineStr">
        <is>
          <t>KRW</t>
        </is>
      </c>
      <c r="Q72" s="29" t="inlineStr">
        <is>
          <t>0</t>
        </is>
      </c>
    </row>
    <row r="73" ht="24" customHeight="1">
      <c r="A73" s="24" t="inlineStr">
        <is>
          <t>OpenDART_fnlttSinglAcntAll</t>
        </is>
      </c>
      <c r="B73" s="24" t="inlineStr">
        <is>
          <t>00161383</t>
        </is>
      </c>
      <c r="C73" s="24" t="inlineStr">
        <is>
          <t>한미반도체</t>
        </is>
      </c>
      <c r="D73" s="24" t="inlineStr">
        <is>
          <t>hanmi</t>
        </is>
      </c>
      <c r="E73" s="24" t="inlineStr">
        <is>
          <t>042700</t>
        </is>
      </c>
      <c r="F73" s="24" t="inlineStr">
        <is>
          <t>2021</t>
        </is>
      </c>
      <c r="G73" s="24" t="inlineStr">
        <is>
          <t>CFS</t>
        </is>
      </c>
      <c r="H73" s="24" t="inlineStr">
        <is>
          <t>CF</t>
        </is>
      </c>
      <c r="I73" s="24" t="inlineStr">
        <is>
          <t>현금흐름표</t>
        </is>
      </c>
      <c r="J73" s="24" t="inlineStr">
        <is>
          <t>dart_ProfitLossForStatementOfCashFlows</t>
        </is>
      </c>
      <c r="K73" s="24" t="inlineStr">
        <is>
          <t>당기순이익(손실)</t>
        </is>
      </c>
      <c r="L73" s="24" t="inlineStr">
        <is>
          <t>-</t>
        </is>
      </c>
      <c r="M73" s="24" t="inlineStr">
        <is>
          <t>제 42 기</t>
        </is>
      </c>
      <c r="N73" s="24" t="inlineStr">
        <is>
          <t>104438304265.0</t>
        </is>
      </c>
      <c r="O73" s="24" t="inlineStr">
        <is>
          <t>50131485364.0</t>
        </is>
      </c>
      <c r="P73" s="24" t="inlineStr">
        <is>
          <t>KRW</t>
        </is>
      </c>
      <c r="Q73" s="24" t="inlineStr">
        <is>
          <t>1</t>
        </is>
      </c>
    </row>
    <row r="74" ht="24" customHeight="1">
      <c r="A74" s="29" t="inlineStr">
        <is>
          <t>OpenDART_fnlttSinglAcntAll</t>
        </is>
      </c>
      <c r="B74" s="29" t="inlineStr">
        <is>
          <t>00161383</t>
        </is>
      </c>
      <c r="C74" s="29" t="inlineStr">
        <is>
          <t>한미반도체</t>
        </is>
      </c>
      <c r="D74" s="29" t="inlineStr">
        <is>
          <t>hanmi</t>
        </is>
      </c>
      <c r="E74" s="29" t="inlineStr">
        <is>
          <t>042700</t>
        </is>
      </c>
      <c r="F74" s="29" t="inlineStr">
        <is>
          <t>2021</t>
        </is>
      </c>
      <c r="G74" s="29" t="inlineStr">
        <is>
          <t>CFS</t>
        </is>
      </c>
      <c r="H74" s="29" t="inlineStr">
        <is>
          <t>CF</t>
        </is>
      </c>
      <c r="I74" s="29" t="inlineStr">
        <is>
          <t>현금흐름표</t>
        </is>
      </c>
      <c r="J74" s="29" t="inlineStr">
        <is>
          <t>ifrs-full_AdjustmentsForReconcileProfitLoss</t>
        </is>
      </c>
      <c r="K74" s="29" t="inlineStr">
        <is>
          <t>조정</t>
        </is>
      </c>
      <c r="L74" s="29" t="inlineStr">
        <is>
          <t>-</t>
        </is>
      </c>
      <c r="M74" s="29" t="inlineStr">
        <is>
          <t>제 42 기</t>
        </is>
      </c>
      <c r="N74" s="29" t="inlineStr">
        <is>
          <t>41220740302.0</t>
        </is>
      </c>
      <c r="O74" s="29" t="inlineStr">
        <is>
          <t>24554774350.0</t>
        </is>
      </c>
      <c r="P74" s="29" t="inlineStr">
        <is>
          <t>KRW</t>
        </is>
      </c>
      <c r="Q74" s="29" t="inlineStr">
        <is>
          <t>2</t>
        </is>
      </c>
    </row>
    <row r="75" ht="24" customHeight="1">
      <c r="A75" s="24" t="inlineStr">
        <is>
          <t>OpenDART_fnlttSinglAcntAll</t>
        </is>
      </c>
      <c r="B75" s="24" t="inlineStr">
        <is>
          <t>00161383</t>
        </is>
      </c>
      <c r="C75" s="24" t="inlineStr">
        <is>
          <t>한미반도체</t>
        </is>
      </c>
      <c r="D75" s="24" t="inlineStr">
        <is>
          <t>hanmi</t>
        </is>
      </c>
      <c r="E75" s="24" t="inlineStr">
        <is>
          <t>042700</t>
        </is>
      </c>
      <c r="F75" s="24" t="inlineStr">
        <is>
          <t>2021</t>
        </is>
      </c>
      <c r="G75" s="24" t="inlineStr">
        <is>
          <t>CFS</t>
        </is>
      </c>
      <c r="H75" s="24" t="inlineStr">
        <is>
          <t>CF</t>
        </is>
      </c>
      <c r="I75" s="24" t="inlineStr">
        <is>
          <t>현금흐름표</t>
        </is>
      </c>
      <c r="J75" s="24" t="inlineStr">
        <is>
          <t>dart_AdjustmentsForWritedownsOfInventories</t>
        </is>
      </c>
      <c r="K75" s="24" t="inlineStr">
        <is>
          <t>재고자산평가손실</t>
        </is>
      </c>
      <c r="L75" s="24" t="inlineStr">
        <is>
          <t>-</t>
        </is>
      </c>
      <c r="M75" s="24" t="inlineStr">
        <is>
          <t>제 42 기</t>
        </is>
      </c>
      <c r="N75" s="24" t="inlineStr">
        <is>
          <t>1230680078.0</t>
        </is>
      </c>
      <c r="O75" s="24" t="inlineStr">
        <is>
          <t>2638031669.0</t>
        </is>
      </c>
      <c r="P75" s="24" t="inlineStr">
        <is>
          <t>KRW</t>
        </is>
      </c>
      <c r="Q75" s="24" t="inlineStr">
        <is>
          <t>3</t>
        </is>
      </c>
    </row>
    <row r="76" ht="24" customHeight="1">
      <c r="A76" s="29" t="inlineStr">
        <is>
          <t>OpenDART_fnlttSinglAcntAll</t>
        </is>
      </c>
      <c r="B76" s="29" t="inlineStr">
        <is>
          <t>00161383</t>
        </is>
      </c>
      <c r="C76" s="29" t="inlineStr">
        <is>
          <t>한미반도체</t>
        </is>
      </c>
      <c r="D76" s="29" t="inlineStr">
        <is>
          <t>hanmi</t>
        </is>
      </c>
      <c r="E76" s="29" t="inlineStr">
        <is>
          <t>042700</t>
        </is>
      </c>
      <c r="F76" s="29" t="inlineStr">
        <is>
          <t>2021</t>
        </is>
      </c>
      <c r="G76" s="29" t="inlineStr">
        <is>
          <t>CFS</t>
        </is>
      </c>
      <c r="H76" s="29" t="inlineStr">
        <is>
          <t>CF</t>
        </is>
      </c>
      <c r="I76" s="29" t="inlineStr">
        <is>
          <t>현금흐름표</t>
        </is>
      </c>
      <c r="J76" s="29" t="inlineStr">
        <is>
          <t>dart_AdjustmentsForProvisionForSeveranceIndemnities</t>
        </is>
      </c>
      <c r="K76" s="29" t="inlineStr">
        <is>
          <t>퇴직급여</t>
        </is>
      </c>
      <c r="L76" s="29" t="inlineStr">
        <is>
          <t>-</t>
        </is>
      </c>
      <c r="M76" s="29" t="inlineStr">
        <is>
          <t>제 42 기</t>
        </is>
      </c>
      <c r="N76" s="29" t="inlineStr">
        <is>
          <t>1855379796.0</t>
        </is>
      </c>
      <c r="O76" s="29" t="inlineStr">
        <is>
          <t>1947285336.0</t>
        </is>
      </c>
      <c r="P76" s="29" t="inlineStr">
        <is>
          <t>KRW</t>
        </is>
      </c>
      <c r="Q76" s="29" t="inlineStr">
        <is>
          <t>4</t>
        </is>
      </c>
    </row>
    <row r="77" ht="24" customHeight="1">
      <c r="A77" s="24" t="inlineStr">
        <is>
          <t>OpenDART_fnlttSinglAcntAll</t>
        </is>
      </c>
      <c r="B77" s="24" t="inlineStr">
        <is>
          <t>00161383</t>
        </is>
      </c>
      <c r="C77" s="24" t="inlineStr">
        <is>
          <t>한미반도체</t>
        </is>
      </c>
      <c r="D77" s="24" t="inlineStr">
        <is>
          <t>hanmi</t>
        </is>
      </c>
      <c r="E77" s="24" t="inlineStr">
        <is>
          <t>042700</t>
        </is>
      </c>
      <c r="F77" s="24" t="inlineStr">
        <is>
          <t>2021</t>
        </is>
      </c>
      <c r="G77" s="24" t="inlineStr">
        <is>
          <t>CFS</t>
        </is>
      </c>
      <c r="H77" s="24" t="inlineStr">
        <is>
          <t>CF</t>
        </is>
      </c>
      <c r="I77" s="24" t="inlineStr">
        <is>
          <t>현금흐름표</t>
        </is>
      </c>
      <c r="J77" s="24" t="inlineStr">
        <is>
          <t>dart_AdjustmentsForDepreciationExpense</t>
        </is>
      </c>
      <c r="K77" s="24" t="inlineStr">
        <is>
          <t>감가상각비</t>
        </is>
      </c>
      <c r="L77" s="24" t="inlineStr">
        <is>
          <t>-</t>
        </is>
      </c>
      <c r="M77" s="24" t="inlineStr">
        <is>
          <t>제 42 기</t>
        </is>
      </c>
      <c r="N77" s="24" t="inlineStr">
        <is>
          <t>6101121932.0</t>
        </is>
      </c>
      <c r="O77" s="24" t="inlineStr">
        <is>
          <t>5714618954.0</t>
        </is>
      </c>
      <c r="P77" s="24" t="inlineStr">
        <is>
          <t>KRW</t>
        </is>
      </c>
      <c r="Q77" s="24" t="inlineStr">
        <is>
          <t>5</t>
        </is>
      </c>
    </row>
    <row r="78" ht="24" customHeight="1">
      <c r="A78" s="29" t="inlineStr">
        <is>
          <t>OpenDART_fnlttSinglAcntAll</t>
        </is>
      </c>
      <c r="B78" s="29" t="inlineStr">
        <is>
          <t>00161383</t>
        </is>
      </c>
      <c r="C78" s="29" t="inlineStr">
        <is>
          <t>한미반도체</t>
        </is>
      </c>
      <c r="D78" s="29" t="inlineStr">
        <is>
          <t>hanmi</t>
        </is>
      </c>
      <c r="E78" s="29" t="inlineStr">
        <is>
          <t>042700</t>
        </is>
      </c>
      <c r="F78" s="29" t="inlineStr">
        <is>
          <t>2021</t>
        </is>
      </c>
      <c r="G78" s="29" t="inlineStr">
        <is>
          <t>CFS</t>
        </is>
      </c>
      <c r="H78" s="29" t="inlineStr">
        <is>
          <t>CF</t>
        </is>
      </c>
      <c r="I78" s="29" t="inlineStr">
        <is>
          <t>현금흐름표</t>
        </is>
      </c>
      <c r="J78" s="29" t="inlineStr">
        <is>
          <t>dart_AdjustmentsForBadDebtExpenses</t>
        </is>
      </c>
      <c r="K78" s="29" t="inlineStr">
        <is>
          <t>대손상각비(환입)</t>
        </is>
      </c>
      <c r="L78" s="29" t="inlineStr">
        <is>
          <t>-</t>
        </is>
      </c>
      <c r="M78" s="29" t="inlineStr">
        <is>
          <t>제 42 기</t>
        </is>
      </c>
      <c r="N78" s="29" t="inlineStr">
        <is>
          <t>2299386729.0</t>
        </is>
      </c>
      <c r="O78" s="29" t="inlineStr">
        <is>
          <t>805010131.0</t>
        </is>
      </c>
      <c r="P78" s="29" t="inlineStr">
        <is>
          <t>KRW</t>
        </is>
      </c>
      <c r="Q78" s="29" t="inlineStr">
        <is>
          <t>6</t>
        </is>
      </c>
    </row>
    <row r="79" ht="24" customHeight="1">
      <c r="A79" s="24" t="inlineStr">
        <is>
          <t>OpenDART_fnlttSinglAcntAll</t>
        </is>
      </c>
      <c r="B79" s="24" t="inlineStr">
        <is>
          <t>00161383</t>
        </is>
      </c>
      <c r="C79" s="24" t="inlineStr">
        <is>
          <t>한미반도체</t>
        </is>
      </c>
      <c r="D79" s="24" t="inlineStr">
        <is>
          <t>hanmi</t>
        </is>
      </c>
      <c r="E79" s="24" t="inlineStr">
        <is>
          <t>042700</t>
        </is>
      </c>
      <c r="F79" s="24" t="inlineStr">
        <is>
          <t>2021</t>
        </is>
      </c>
      <c r="G79" s="24" t="inlineStr">
        <is>
          <t>CFS</t>
        </is>
      </c>
      <c r="H79" s="24" t="inlineStr">
        <is>
          <t>CF</t>
        </is>
      </c>
      <c r="I79" s="24" t="inlineStr">
        <is>
          <t>현금흐름표</t>
        </is>
      </c>
      <c r="J79" s="24" t="inlineStr">
        <is>
          <t>dart_AdjustmentsForAmortisationExpense</t>
        </is>
      </c>
      <c r="K79" s="24" t="inlineStr">
        <is>
          <t>무형자산상각비</t>
        </is>
      </c>
      <c r="L79" s="24" t="inlineStr">
        <is>
          <t>-</t>
        </is>
      </c>
      <c r="M79" s="24" t="inlineStr">
        <is>
          <t>제 42 기</t>
        </is>
      </c>
      <c r="N79" s="24" t="inlineStr">
        <is>
          <t>372075224.0</t>
        </is>
      </c>
      <c r="O79" s="24" t="inlineStr">
        <is>
          <t>418257974.0</t>
        </is>
      </c>
      <c r="P79" s="24" t="inlineStr">
        <is>
          <t>KRW</t>
        </is>
      </c>
      <c r="Q79" s="24" t="inlineStr">
        <is>
          <t>7</t>
        </is>
      </c>
    </row>
    <row r="80" ht="24" customHeight="1">
      <c r="A80" s="29" t="inlineStr">
        <is>
          <t>OpenDART_fnlttSinglAcntAll</t>
        </is>
      </c>
      <c r="B80" s="29" t="inlineStr">
        <is>
          <t>00161383</t>
        </is>
      </c>
      <c r="C80" s="29" t="inlineStr">
        <is>
          <t>한미반도체</t>
        </is>
      </c>
      <c r="D80" s="29" t="inlineStr">
        <is>
          <t>hanmi</t>
        </is>
      </c>
      <c r="E80" s="29" t="inlineStr">
        <is>
          <t>042700</t>
        </is>
      </c>
      <c r="F80" s="29" t="inlineStr">
        <is>
          <t>2021</t>
        </is>
      </c>
      <c r="G80" s="29" t="inlineStr">
        <is>
          <t>CFS</t>
        </is>
      </c>
      <c r="H80" s="29" t="inlineStr">
        <is>
          <t>CF</t>
        </is>
      </c>
      <c r="I80" s="29" t="inlineStr">
        <is>
          <t>현금흐름표</t>
        </is>
      </c>
      <c r="J80" s="29" t="inlineStr">
        <is>
          <t>dart_AdjustmentsForGainOnDispositionOfTangibleAssets</t>
        </is>
      </c>
      <c r="K80" s="29" t="inlineStr">
        <is>
          <t>유형자산처분이익</t>
        </is>
      </c>
      <c r="L80" s="29" t="inlineStr">
        <is>
          <t>-</t>
        </is>
      </c>
      <c r="M80" s="29" t="inlineStr">
        <is>
          <t>제 42 기</t>
        </is>
      </c>
      <c r="N80" s="29" t="inlineStr">
        <is>
          <t>191067090.0</t>
        </is>
      </c>
      <c r="O80" s="29" t="inlineStr">
        <is>
          <t>65259949.0</t>
        </is>
      </c>
      <c r="P80" s="29" t="inlineStr">
        <is>
          <t>KRW</t>
        </is>
      </c>
      <c r="Q80" s="29" t="inlineStr">
        <is>
          <t>8</t>
        </is>
      </c>
    </row>
    <row r="81" ht="24" customHeight="1">
      <c r="A81" s="24" t="inlineStr">
        <is>
          <t>OpenDART_fnlttSinglAcntAll</t>
        </is>
      </c>
      <c r="B81" s="24" t="inlineStr">
        <is>
          <t>00161383</t>
        </is>
      </c>
      <c r="C81" s="24" t="inlineStr">
        <is>
          <t>한미반도체</t>
        </is>
      </c>
      <c r="D81" s="24" t="inlineStr">
        <is>
          <t>hanmi</t>
        </is>
      </c>
      <c r="E81" s="24" t="inlineStr">
        <is>
          <t>042700</t>
        </is>
      </c>
      <c r="F81" s="24" t="inlineStr">
        <is>
          <t>2021</t>
        </is>
      </c>
      <c r="G81" s="24" t="inlineStr">
        <is>
          <t>CFS</t>
        </is>
      </c>
      <c r="H81" s="24" t="inlineStr">
        <is>
          <t>CF</t>
        </is>
      </c>
      <c r="I81" s="24" t="inlineStr">
        <is>
          <t>현금흐름표</t>
        </is>
      </c>
      <c r="J81" s="24" t="inlineStr">
        <is>
          <t>dart_AdjustmentsForGainsOnDisposalsOfInvestmentProperty</t>
        </is>
      </c>
      <c r="K81" s="24" t="inlineStr">
        <is>
          <t>투자부동산처분이익</t>
        </is>
      </c>
      <c r="L81" s="24" t="inlineStr">
        <is>
          <t>-</t>
        </is>
      </c>
      <c r="M81" s="24" t="inlineStr">
        <is>
          <t>제 42 기</t>
        </is>
      </c>
      <c r="N81" s="24" t="inlineStr">
        <is>
          <t>0.0</t>
        </is>
      </c>
      <c r="O81" s="24" t="inlineStr">
        <is>
          <t>4166883541.0</t>
        </is>
      </c>
      <c r="P81" s="24" t="inlineStr">
        <is>
          <t>KRW</t>
        </is>
      </c>
      <c r="Q81" s="24" t="inlineStr">
        <is>
          <t>9</t>
        </is>
      </c>
    </row>
    <row r="82" ht="24" customHeight="1">
      <c r="A82" s="29" t="inlineStr">
        <is>
          <t>OpenDART_fnlttSinglAcntAll</t>
        </is>
      </c>
      <c r="B82" s="29" t="inlineStr">
        <is>
          <t>00161383</t>
        </is>
      </c>
      <c r="C82" s="29" t="inlineStr">
        <is>
          <t>한미반도체</t>
        </is>
      </c>
      <c r="D82" s="29" t="inlineStr">
        <is>
          <t>hanmi</t>
        </is>
      </c>
      <c r="E82" s="29" t="inlineStr">
        <is>
          <t>042700</t>
        </is>
      </c>
      <c r="F82" s="29" t="inlineStr">
        <is>
          <t>2021</t>
        </is>
      </c>
      <c r="G82" s="29" t="inlineStr">
        <is>
          <t>CFS</t>
        </is>
      </c>
      <c r="H82" s="29" t="inlineStr">
        <is>
          <t>CF</t>
        </is>
      </c>
      <c r="I82" s="29" t="inlineStr">
        <is>
          <t>현금흐름표</t>
        </is>
      </c>
      <c r="J82" s="29" t="inlineStr">
        <is>
          <t>-표준계정코드 미사용-</t>
        </is>
      </c>
      <c r="K82" s="29" t="inlineStr">
        <is>
          <t>리스상환이익</t>
        </is>
      </c>
      <c r="L82" s="29" t="inlineStr">
        <is>
          <t>-</t>
        </is>
      </c>
      <c r="M82" s="29" t="inlineStr">
        <is>
          <t>제 42 기</t>
        </is>
      </c>
      <c r="N82" s="29" t="inlineStr">
        <is>
          <t>34280.0</t>
        </is>
      </c>
      <c r="O82" s="29" t="inlineStr">
        <is>
          <t>2033810.0</t>
        </is>
      </c>
      <c r="P82" s="29" t="inlineStr">
        <is>
          <t>KRW</t>
        </is>
      </c>
      <c r="Q82" s="29" t="inlineStr">
        <is>
          <t>10</t>
        </is>
      </c>
    </row>
    <row r="83" ht="24" customHeight="1">
      <c r="A83" s="24" t="inlineStr">
        <is>
          <t>OpenDART_fnlttSinglAcntAll</t>
        </is>
      </c>
      <c r="B83" s="24" t="inlineStr">
        <is>
          <t>00161383</t>
        </is>
      </c>
      <c r="C83" s="24" t="inlineStr">
        <is>
          <t>한미반도체</t>
        </is>
      </c>
      <c r="D83" s="24" t="inlineStr">
        <is>
          <t>hanmi</t>
        </is>
      </c>
      <c r="E83" s="24" t="inlineStr">
        <is>
          <t>042700</t>
        </is>
      </c>
      <c r="F83" s="24" t="inlineStr">
        <is>
          <t>2021</t>
        </is>
      </c>
      <c r="G83" s="24" t="inlineStr">
        <is>
          <t>CFS</t>
        </is>
      </c>
      <c r="H83" s="24" t="inlineStr">
        <is>
          <t>CF</t>
        </is>
      </c>
      <c r="I83" s="24" t="inlineStr">
        <is>
          <t>현금흐름표</t>
        </is>
      </c>
      <c r="J83" s="24" t="inlineStr">
        <is>
          <t>dart_AdjustmentsForLossesOnDispositionOfPropertyPlantAndEquipment</t>
        </is>
      </c>
      <c r="K83" s="24" t="inlineStr">
        <is>
          <t>유형자산처분손실</t>
        </is>
      </c>
      <c r="L83" s="24" t="inlineStr">
        <is>
          <t>-</t>
        </is>
      </c>
      <c r="M83" s="24" t="inlineStr">
        <is>
          <t>제 42 기</t>
        </is>
      </c>
      <c r="N83" s="24" t="inlineStr">
        <is>
          <t>8300006.0</t>
        </is>
      </c>
      <c r="O83" s="24" t="inlineStr">
        <is>
          <t>48702918.0</t>
        </is>
      </c>
      <c r="P83" s="24" t="inlineStr">
        <is>
          <t>KRW</t>
        </is>
      </c>
      <c r="Q83" s="24" t="inlineStr">
        <is>
          <t>11</t>
        </is>
      </c>
    </row>
    <row r="84" ht="24" customHeight="1">
      <c r="A84" s="29" t="inlineStr">
        <is>
          <t>OpenDART_fnlttSinglAcntAll</t>
        </is>
      </c>
      <c r="B84" s="29" t="inlineStr">
        <is>
          <t>00161383</t>
        </is>
      </c>
      <c r="C84" s="29" t="inlineStr">
        <is>
          <t>한미반도체</t>
        </is>
      </c>
      <c r="D84" s="29" t="inlineStr">
        <is>
          <t>hanmi</t>
        </is>
      </c>
      <c r="E84" s="29" t="inlineStr">
        <is>
          <t>042700</t>
        </is>
      </c>
      <c r="F84" s="29" t="inlineStr">
        <is>
          <t>2021</t>
        </is>
      </c>
      <c r="G84" s="29" t="inlineStr">
        <is>
          <t>CFS</t>
        </is>
      </c>
      <c r="H84" s="29" t="inlineStr">
        <is>
          <t>CF</t>
        </is>
      </c>
      <c r="I84" s="29" t="inlineStr">
        <is>
          <t>현금흐름표</t>
        </is>
      </c>
      <c r="J84" s="29" t="inlineStr">
        <is>
          <t>dart_AdjustmentsForLossesOnDisposalsOfIntangibleAssets</t>
        </is>
      </c>
      <c r="K84" s="29" t="inlineStr">
        <is>
          <t>무형자산처분손실</t>
        </is>
      </c>
      <c r="L84" s="29" t="inlineStr">
        <is>
          <t>-</t>
        </is>
      </c>
      <c r="M84" s="29" t="inlineStr">
        <is>
          <t>제 42 기</t>
        </is>
      </c>
      <c r="N84" s="29" t="inlineStr">
        <is>
          <t>5999.0</t>
        </is>
      </c>
      <c r="O84" s="29" t="inlineStr">
        <is>
          <t>48031.0</t>
        </is>
      </c>
      <c r="P84" s="29" t="inlineStr">
        <is>
          <t>KRW</t>
        </is>
      </c>
      <c r="Q84" s="29" t="inlineStr">
        <is>
          <t>12</t>
        </is>
      </c>
    </row>
    <row r="85" ht="24" customHeight="1">
      <c r="A85" s="24" t="inlineStr">
        <is>
          <t>OpenDART_fnlttSinglAcntAll</t>
        </is>
      </c>
      <c r="B85" s="24" t="inlineStr">
        <is>
          <t>00161383</t>
        </is>
      </c>
      <c r="C85" s="24" t="inlineStr">
        <is>
          <t>한미반도체</t>
        </is>
      </c>
      <c r="D85" s="24" t="inlineStr">
        <is>
          <t>hanmi</t>
        </is>
      </c>
      <c r="E85" s="24" t="inlineStr">
        <is>
          <t>042700</t>
        </is>
      </c>
      <c r="F85" s="24" t="inlineStr">
        <is>
          <t>2021</t>
        </is>
      </c>
      <c r="G85" s="24" t="inlineStr">
        <is>
          <t>CFS</t>
        </is>
      </c>
      <c r="H85" s="24" t="inlineStr">
        <is>
          <t>CF</t>
        </is>
      </c>
      <c r="I85" s="24" t="inlineStr">
        <is>
          <t>현금흐름표</t>
        </is>
      </c>
      <c r="J85" s="24" t="inlineStr">
        <is>
          <t>dart_AdjustmentsForImpairmentLossesOfIntangibleAssets</t>
        </is>
      </c>
      <c r="K85" s="24" t="inlineStr">
        <is>
          <t>무형자산손상차손</t>
        </is>
      </c>
      <c r="L85" s="24" t="inlineStr">
        <is>
          <t>-</t>
        </is>
      </c>
      <c r="M85" s="24" t="inlineStr">
        <is>
          <t>제 42 기</t>
        </is>
      </c>
      <c r="N85" s="24" t="inlineStr">
        <is>
          <t>116596533.0</t>
        </is>
      </c>
      <c r="O85" s="24" t="inlineStr">
        <is>
          <t>0.0</t>
        </is>
      </c>
      <c r="P85" s="24" t="inlineStr">
        <is>
          <t>KRW</t>
        </is>
      </c>
      <c r="Q85" s="24" t="inlineStr">
        <is>
          <t>13</t>
        </is>
      </c>
    </row>
    <row r="86" ht="24" customHeight="1">
      <c r="A86" s="29" t="inlineStr">
        <is>
          <t>OpenDART_fnlttSinglAcntAll</t>
        </is>
      </c>
      <c r="B86" s="29" t="inlineStr">
        <is>
          <t>00161383</t>
        </is>
      </c>
      <c r="C86" s="29" t="inlineStr">
        <is>
          <t>한미반도체</t>
        </is>
      </c>
      <c r="D86" s="29" t="inlineStr">
        <is>
          <t>hanmi</t>
        </is>
      </c>
      <c r="E86" s="29" t="inlineStr">
        <is>
          <t>042700</t>
        </is>
      </c>
      <c r="F86" s="29" t="inlineStr">
        <is>
          <t>2021</t>
        </is>
      </c>
      <c r="G86" s="29" t="inlineStr">
        <is>
          <t>CFS</t>
        </is>
      </c>
      <c r="H86" s="29" t="inlineStr">
        <is>
          <t>CF</t>
        </is>
      </c>
      <c r="I86" s="29" t="inlineStr">
        <is>
          <t>현금흐름표</t>
        </is>
      </c>
      <c r="J86" s="29" t="inlineStr">
        <is>
          <t>dart_AdjustmentsForInterestIncome</t>
        </is>
      </c>
      <c r="K86" s="29" t="inlineStr">
        <is>
          <t>이자수익</t>
        </is>
      </c>
      <c r="L86" s="29" t="inlineStr">
        <is>
          <t>-</t>
        </is>
      </c>
      <c r="M86" s="29" t="inlineStr">
        <is>
          <t>제 42 기</t>
        </is>
      </c>
      <c r="N86" s="29" t="inlineStr">
        <is>
          <t>62325309.0</t>
        </is>
      </c>
      <c r="O86" s="29" t="inlineStr">
        <is>
          <t>339911045.0</t>
        </is>
      </c>
      <c r="P86" s="29" t="inlineStr">
        <is>
          <t>KRW</t>
        </is>
      </c>
      <c r="Q86" s="29" t="inlineStr">
        <is>
          <t>14</t>
        </is>
      </c>
    </row>
    <row r="87" ht="24" customHeight="1">
      <c r="A87" s="24" t="inlineStr">
        <is>
          <t>OpenDART_fnlttSinglAcntAll</t>
        </is>
      </c>
      <c r="B87" s="24" t="inlineStr">
        <is>
          <t>00161383</t>
        </is>
      </c>
      <c r="C87" s="24" t="inlineStr">
        <is>
          <t>한미반도체</t>
        </is>
      </c>
      <c r="D87" s="24" t="inlineStr">
        <is>
          <t>hanmi</t>
        </is>
      </c>
      <c r="E87" s="24" t="inlineStr">
        <is>
          <t>042700</t>
        </is>
      </c>
      <c r="F87" s="24" t="inlineStr">
        <is>
          <t>2021</t>
        </is>
      </c>
      <c r="G87" s="24" t="inlineStr">
        <is>
          <t>CFS</t>
        </is>
      </c>
      <c r="H87" s="24" t="inlineStr">
        <is>
          <t>CF</t>
        </is>
      </c>
      <c r="I87" s="24" t="inlineStr">
        <is>
          <t>현금흐름표</t>
        </is>
      </c>
      <c r="J87" s="24" t="inlineStr">
        <is>
          <t>dart_AdjustmentsForGainsOnEvaluationOfFairValueFinancialAssets</t>
        </is>
      </c>
      <c r="K87" s="24" t="inlineStr">
        <is>
          <t>당기손익인식금융자산평가이익</t>
        </is>
      </c>
      <c r="L87" s="24" t="inlineStr">
        <is>
          <t>-</t>
        </is>
      </c>
      <c r="M87" s="24" t="inlineStr">
        <is>
          <t>제 42 기</t>
        </is>
      </c>
      <c r="N87" s="24" t="inlineStr">
        <is>
          <t>0.0</t>
        </is>
      </c>
      <c r="O87" s="24" t="inlineStr">
        <is>
          <t>0.0</t>
        </is>
      </c>
      <c r="P87" s="24" t="inlineStr">
        <is>
          <t>KRW</t>
        </is>
      </c>
      <c r="Q87" s="24" t="inlineStr">
        <is>
          <t>15</t>
        </is>
      </c>
    </row>
    <row r="88" ht="24" customHeight="1">
      <c r="A88" s="29" t="inlineStr">
        <is>
          <t>OpenDART_fnlttSinglAcntAll</t>
        </is>
      </c>
      <c r="B88" s="29" t="inlineStr">
        <is>
          <t>00161383</t>
        </is>
      </c>
      <c r="C88" s="29" t="inlineStr">
        <is>
          <t>한미반도체</t>
        </is>
      </c>
      <c r="D88" s="29" t="inlineStr">
        <is>
          <t>hanmi</t>
        </is>
      </c>
      <c r="E88" s="29" t="inlineStr">
        <is>
          <t>042700</t>
        </is>
      </c>
      <c r="F88" s="29" t="inlineStr">
        <is>
          <t>2021</t>
        </is>
      </c>
      <c r="G88" s="29" t="inlineStr">
        <is>
          <t>CFS</t>
        </is>
      </c>
      <c r="H88" s="29" t="inlineStr">
        <is>
          <t>CF</t>
        </is>
      </c>
      <c r="I88" s="29" t="inlineStr">
        <is>
          <t>현금흐름표</t>
        </is>
      </c>
      <c r="J88" s="29" t="inlineStr">
        <is>
          <t>dart_AdjustmentsForLossesOnEvaluationOfFairValueFinancialAssets</t>
        </is>
      </c>
      <c r="K88" s="29" t="inlineStr">
        <is>
          <t>당기손익인식금융자산평가손실</t>
        </is>
      </c>
      <c r="L88" s="29" t="inlineStr">
        <is>
          <t>-</t>
        </is>
      </c>
      <c r="M88" s="29" t="inlineStr">
        <is>
          <t>제 42 기</t>
        </is>
      </c>
      <c r="N88" s="29" t="inlineStr">
        <is>
          <t>2812800000.0</t>
        </is>
      </c>
      <c r="O88" s="29" t="inlineStr">
        <is>
          <t>424800000.0</t>
        </is>
      </c>
      <c r="P88" s="29" t="inlineStr">
        <is>
          <t>KRW</t>
        </is>
      </c>
      <c r="Q88" s="29" t="inlineStr">
        <is>
          <t>16</t>
        </is>
      </c>
    </row>
    <row r="89" ht="24" customHeight="1">
      <c r="A89" s="24" t="inlineStr">
        <is>
          <t>OpenDART_fnlttSinglAcntAll</t>
        </is>
      </c>
      <c r="B89" s="24" t="inlineStr">
        <is>
          <t>00161383</t>
        </is>
      </c>
      <c r="C89" s="24" t="inlineStr">
        <is>
          <t>한미반도체</t>
        </is>
      </c>
      <c r="D89" s="24" t="inlineStr">
        <is>
          <t>hanmi</t>
        </is>
      </c>
      <c r="E89" s="24" t="inlineStr">
        <is>
          <t>042700</t>
        </is>
      </c>
      <c r="F89" s="24" t="inlineStr">
        <is>
          <t>2021</t>
        </is>
      </c>
      <c r="G89" s="24" t="inlineStr">
        <is>
          <t>CFS</t>
        </is>
      </c>
      <c r="H89" s="24" t="inlineStr">
        <is>
          <t>CF</t>
        </is>
      </c>
      <c r="I89" s="24" t="inlineStr">
        <is>
          <t>현금흐름표</t>
        </is>
      </c>
      <c r="J89" s="24" t="inlineStr">
        <is>
          <t>dart_AdjustmentsForInterestExpenses</t>
        </is>
      </c>
      <c r="K89" s="24" t="inlineStr">
        <is>
          <t>이자비용</t>
        </is>
      </c>
      <c r="L89" s="24" t="inlineStr">
        <is>
          <t>-</t>
        </is>
      </c>
      <c r="M89" s="24" t="inlineStr">
        <is>
          <t>제 42 기</t>
        </is>
      </c>
      <c r="N89" s="24" t="inlineStr">
        <is>
          <t>27753913.0</t>
        </is>
      </c>
      <c r="O89" s="24" t="inlineStr">
        <is>
          <t>63370030.0</t>
        </is>
      </c>
      <c r="P89" s="24" t="inlineStr">
        <is>
          <t>KRW</t>
        </is>
      </c>
      <c r="Q89" s="24" t="inlineStr">
        <is>
          <t>17</t>
        </is>
      </c>
    </row>
    <row r="90" ht="24" customHeight="1">
      <c r="A90" s="29" t="inlineStr">
        <is>
          <t>OpenDART_fnlttSinglAcntAll</t>
        </is>
      </c>
      <c r="B90" s="29" t="inlineStr">
        <is>
          <t>00161383</t>
        </is>
      </c>
      <c r="C90" s="29" t="inlineStr">
        <is>
          <t>한미반도체</t>
        </is>
      </c>
      <c r="D90" s="29" t="inlineStr">
        <is>
          <t>hanmi</t>
        </is>
      </c>
      <c r="E90" s="29" t="inlineStr">
        <is>
          <t>042700</t>
        </is>
      </c>
      <c r="F90" s="29" t="inlineStr">
        <is>
          <t>2021</t>
        </is>
      </c>
      <c r="G90" s="29" t="inlineStr">
        <is>
          <t>CFS</t>
        </is>
      </c>
      <c r="H90" s="29" t="inlineStr">
        <is>
          <t>CF</t>
        </is>
      </c>
      <c r="I90" s="29" t="inlineStr">
        <is>
          <t>현금흐름표</t>
        </is>
      </c>
      <c r="J90" s="29" t="inlineStr">
        <is>
          <t>-표준계정코드 미사용-</t>
        </is>
      </c>
      <c r="K90" s="29" t="inlineStr">
        <is>
          <t>리스이자비용</t>
        </is>
      </c>
      <c r="L90" s="29" t="inlineStr">
        <is>
          <t>-</t>
        </is>
      </c>
      <c r="M90" s="29" t="inlineStr">
        <is>
          <t>제 42 기</t>
        </is>
      </c>
      <c r="N90" s="29" t="inlineStr">
        <is>
          <t>8883299.0</t>
        </is>
      </c>
      <c r="O90" s="29" t="inlineStr">
        <is>
          <t>4259461.0</t>
        </is>
      </c>
      <c r="P90" s="29" t="inlineStr">
        <is>
          <t>KRW</t>
        </is>
      </c>
      <c r="Q90" s="29" t="inlineStr">
        <is>
          <t>18</t>
        </is>
      </c>
    </row>
    <row r="91" ht="24" customHeight="1">
      <c r="A91" s="24" t="inlineStr">
        <is>
          <t>OpenDART_fnlttSinglAcntAll</t>
        </is>
      </c>
      <c r="B91" s="24" t="inlineStr">
        <is>
          <t>00161383</t>
        </is>
      </c>
      <c r="C91" s="24" t="inlineStr">
        <is>
          <t>한미반도체</t>
        </is>
      </c>
      <c r="D91" s="24" t="inlineStr">
        <is>
          <t>hanmi</t>
        </is>
      </c>
      <c r="E91" s="24" t="inlineStr">
        <is>
          <t>042700</t>
        </is>
      </c>
      <c r="F91" s="24" t="inlineStr">
        <is>
          <t>2021</t>
        </is>
      </c>
      <c r="G91" s="24" t="inlineStr">
        <is>
          <t>CFS</t>
        </is>
      </c>
      <c r="H91" s="24" t="inlineStr">
        <is>
          <t>CF</t>
        </is>
      </c>
      <c r="I91" s="24" t="inlineStr">
        <is>
          <t>현금흐름표</t>
        </is>
      </c>
      <c r="J91" s="24" t="inlineStr">
        <is>
          <t>dart_AdjustmentsForShareBasedPayment</t>
        </is>
      </c>
      <c r="K91" s="24" t="inlineStr">
        <is>
          <t>주식보상비용(환입)</t>
        </is>
      </c>
      <c r="L91" s="24" t="inlineStr">
        <is>
          <t>-</t>
        </is>
      </c>
      <c r="M91" s="24" t="inlineStr">
        <is>
          <t>제 42 기</t>
        </is>
      </c>
      <c r="N91" s="24" t="inlineStr">
        <is>
          <t>3583831429.0</t>
        </is>
      </c>
      <c r="O91" s="24" t="inlineStr">
        <is>
          <t>0.0</t>
        </is>
      </c>
      <c r="P91" s="24" t="inlineStr">
        <is>
          <t>KRW</t>
        </is>
      </c>
      <c r="Q91" s="24" t="inlineStr">
        <is>
          <t>19</t>
        </is>
      </c>
    </row>
    <row r="92" ht="24" customHeight="1">
      <c r="A92" s="29" t="inlineStr">
        <is>
          <t>OpenDART_fnlttSinglAcntAll</t>
        </is>
      </c>
      <c r="B92" s="29" t="inlineStr">
        <is>
          <t>00161383</t>
        </is>
      </c>
      <c r="C92" s="29" t="inlineStr">
        <is>
          <t>한미반도체</t>
        </is>
      </c>
      <c r="D92" s="29" t="inlineStr">
        <is>
          <t>hanmi</t>
        </is>
      </c>
      <c r="E92" s="29" t="inlineStr">
        <is>
          <t>042700</t>
        </is>
      </c>
      <c r="F92" s="29" t="inlineStr">
        <is>
          <t>2021</t>
        </is>
      </c>
      <c r="G92" s="29" t="inlineStr">
        <is>
          <t>CFS</t>
        </is>
      </c>
      <c r="H92" s="29" t="inlineStr">
        <is>
          <t>CF</t>
        </is>
      </c>
      <c r="I92" s="29" t="inlineStr">
        <is>
          <t>현금흐름표</t>
        </is>
      </c>
      <c r="J92" s="29" t="inlineStr">
        <is>
          <t>dart_AdjustmentsForGainOnForeignExchangeTranslations</t>
        </is>
      </c>
      <c r="K92" s="29" t="inlineStr">
        <is>
          <t>외화환산이익</t>
        </is>
      </c>
      <c r="L92" s="29" t="inlineStr">
        <is>
          <t>-</t>
        </is>
      </c>
      <c r="M92" s="29" t="inlineStr">
        <is>
          <t>제 42 기</t>
        </is>
      </c>
      <c r="N92" s="29" t="inlineStr">
        <is>
          <t>3047949428.0</t>
        </is>
      </c>
      <c r="O92" s="29" t="inlineStr">
        <is>
          <t>992484735.0</t>
        </is>
      </c>
      <c r="P92" s="29" t="inlineStr">
        <is>
          <t>KRW</t>
        </is>
      </c>
      <c r="Q92" s="29" t="inlineStr">
        <is>
          <t>20</t>
        </is>
      </c>
    </row>
    <row r="93" ht="24" customHeight="1">
      <c r="A93" s="24" t="inlineStr">
        <is>
          <t>OpenDART_fnlttSinglAcntAll</t>
        </is>
      </c>
      <c r="B93" s="24" t="inlineStr">
        <is>
          <t>00161383</t>
        </is>
      </c>
      <c r="C93" s="24" t="inlineStr">
        <is>
          <t>한미반도체</t>
        </is>
      </c>
      <c r="D93" s="24" t="inlineStr">
        <is>
          <t>hanmi</t>
        </is>
      </c>
      <c r="E93" s="24" t="inlineStr">
        <is>
          <t>042700</t>
        </is>
      </c>
      <c r="F93" s="24" t="inlineStr">
        <is>
          <t>2021</t>
        </is>
      </c>
      <c r="G93" s="24" t="inlineStr">
        <is>
          <t>CFS</t>
        </is>
      </c>
      <c r="H93" s="24" t="inlineStr">
        <is>
          <t>CF</t>
        </is>
      </c>
      <c r="I93" s="24" t="inlineStr">
        <is>
          <t>현금흐름표</t>
        </is>
      </c>
      <c r="J93" s="24" t="inlineStr">
        <is>
          <t>dart_AdjustmentsForLossesOnForeignExchangeTranslations</t>
        </is>
      </c>
      <c r="K93" s="24" t="inlineStr">
        <is>
          <t>외화환산손실</t>
        </is>
      </c>
      <c r="L93" s="24" t="inlineStr">
        <is>
          <t>-</t>
        </is>
      </c>
      <c r="M93" s="24" t="inlineStr">
        <is>
          <t>제 42 기</t>
        </is>
      </c>
      <c r="N93" s="24" t="inlineStr">
        <is>
          <t>378435003.0</t>
        </is>
      </c>
      <c r="O93" s="24" t="inlineStr">
        <is>
          <t>3167084399.0</t>
        </is>
      </c>
      <c r="P93" s="24" t="inlineStr">
        <is>
          <t>KRW</t>
        </is>
      </c>
      <c r="Q93" s="24" t="inlineStr">
        <is>
          <t>21</t>
        </is>
      </c>
    </row>
    <row r="94" ht="24" customHeight="1">
      <c r="A94" s="29" t="inlineStr">
        <is>
          <t>OpenDART_fnlttSinglAcntAll</t>
        </is>
      </c>
      <c r="B94" s="29" t="inlineStr">
        <is>
          <t>00161383</t>
        </is>
      </c>
      <c r="C94" s="29" t="inlineStr">
        <is>
          <t>한미반도체</t>
        </is>
      </c>
      <c r="D94" s="29" t="inlineStr">
        <is>
          <t>hanmi</t>
        </is>
      </c>
      <c r="E94" s="29" t="inlineStr">
        <is>
          <t>042700</t>
        </is>
      </c>
      <c r="F94" s="29" t="inlineStr">
        <is>
          <t>2021</t>
        </is>
      </c>
      <c r="G94" s="29" t="inlineStr">
        <is>
          <t>CFS</t>
        </is>
      </c>
      <c r="H94" s="29" t="inlineStr">
        <is>
          <t>CF</t>
        </is>
      </c>
      <c r="I94" s="29" t="inlineStr">
        <is>
          <t>현금흐름표</t>
        </is>
      </c>
      <c r="J94" s="29" t="inlineStr">
        <is>
          <t>dart_AdjustmentsForProfitsOfAssociatesAndJointVenturesAccountedForUsingEquityMethod</t>
        </is>
      </c>
      <c r="K94" s="29" t="inlineStr">
        <is>
          <t>관계기업투자이익</t>
        </is>
      </c>
      <c r="L94" s="29" t="inlineStr">
        <is>
          <t>-</t>
        </is>
      </c>
      <c r="M94" s="29" t="inlineStr">
        <is>
          <t>제 42 기</t>
        </is>
      </c>
      <c r="N94" s="29" t="inlineStr">
        <is>
          <t>6076657647.0</t>
        </is>
      </c>
      <c r="O94" s="29" t="inlineStr">
        <is>
          <t>1942406462.0</t>
        </is>
      </c>
      <c r="P94" s="29" t="inlineStr">
        <is>
          <t>KRW</t>
        </is>
      </c>
      <c r="Q94" s="29" t="inlineStr">
        <is>
          <t>22</t>
        </is>
      </c>
    </row>
    <row r="95" ht="24" customHeight="1">
      <c r="A95" s="24" t="inlineStr">
        <is>
          <t>OpenDART_fnlttSinglAcntAll</t>
        </is>
      </c>
      <c r="B95" s="24" t="inlineStr">
        <is>
          <t>00161383</t>
        </is>
      </c>
      <c r="C95" s="24" t="inlineStr">
        <is>
          <t>한미반도체</t>
        </is>
      </c>
      <c r="D95" s="24" t="inlineStr">
        <is>
          <t>hanmi</t>
        </is>
      </c>
      <c r="E95" s="24" t="inlineStr">
        <is>
          <t>042700</t>
        </is>
      </c>
      <c r="F95" s="24" t="inlineStr">
        <is>
          <t>2021</t>
        </is>
      </c>
      <c r="G95" s="24" t="inlineStr">
        <is>
          <t>CFS</t>
        </is>
      </c>
      <c r="H95" s="24" t="inlineStr">
        <is>
          <t>CF</t>
        </is>
      </c>
      <c r="I95" s="24" t="inlineStr">
        <is>
          <t>현금흐름표</t>
        </is>
      </c>
      <c r="J95" s="24" t="inlineStr">
        <is>
          <t>dart_AdjustmentsForLossesOfAssociatesAndJointVenturesAccountedForUsingEquityMethod</t>
        </is>
      </c>
      <c r="K95" s="24" t="inlineStr">
        <is>
          <t>관계기업투자손실</t>
        </is>
      </c>
      <c r="L95" s="24" t="inlineStr">
        <is>
          <t>-</t>
        </is>
      </c>
      <c r="M95" s="24" t="inlineStr">
        <is>
          <t>제 42 기</t>
        </is>
      </c>
      <c r="N95" s="24" t="inlineStr">
        <is>
          <t>0.0</t>
        </is>
      </c>
      <c r="O95" s="24" t="inlineStr">
        <is>
          <t>773212525.0</t>
        </is>
      </c>
      <c r="P95" s="24" t="inlineStr">
        <is>
          <t>KRW</t>
        </is>
      </c>
      <c r="Q95" s="24" t="inlineStr">
        <is>
          <t>23</t>
        </is>
      </c>
    </row>
    <row r="96" ht="24" customHeight="1">
      <c r="A96" s="29" t="inlineStr">
        <is>
          <t>OpenDART_fnlttSinglAcntAll</t>
        </is>
      </c>
      <c r="B96" s="29" t="inlineStr">
        <is>
          <t>00161383</t>
        </is>
      </c>
      <c r="C96" s="29" t="inlineStr">
        <is>
          <t>한미반도체</t>
        </is>
      </c>
      <c r="D96" s="29" t="inlineStr">
        <is>
          <t>hanmi</t>
        </is>
      </c>
      <c r="E96" s="29" t="inlineStr">
        <is>
          <t>042700</t>
        </is>
      </c>
      <c r="F96" s="29" t="inlineStr">
        <is>
          <t>2021</t>
        </is>
      </c>
      <c r="G96" s="29" t="inlineStr">
        <is>
          <t>CFS</t>
        </is>
      </c>
      <c r="H96" s="29" t="inlineStr">
        <is>
          <t>CF</t>
        </is>
      </c>
      <c r="I96" s="29" t="inlineStr">
        <is>
          <t>현금흐름표</t>
        </is>
      </c>
      <c r="J96" s="29" t="inlineStr">
        <is>
          <t>ifrs-full_AdjustmentsForIncomeTaxExpense</t>
        </is>
      </c>
      <c r="K96" s="29" t="inlineStr">
        <is>
          <t>법인세비용</t>
        </is>
      </c>
      <c r="L96" s="29" t="inlineStr">
        <is>
          <t>-</t>
        </is>
      </c>
      <c r="M96" s="29" t="inlineStr">
        <is>
          <t>제 42 기</t>
        </is>
      </c>
      <c r="N96" s="29" t="inlineStr">
        <is>
          <t>31813253225.0</t>
        </is>
      </c>
      <c r="O96" s="29" t="inlineStr">
        <is>
          <t>15515491631.0</t>
        </is>
      </c>
      <c r="P96" s="29" t="inlineStr">
        <is>
          <t>KRW</t>
        </is>
      </c>
      <c r="Q96" s="29" t="inlineStr">
        <is>
          <t>24</t>
        </is>
      </c>
    </row>
    <row r="97" ht="24" customHeight="1">
      <c r="A97" s="24" t="inlineStr">
        <is>
          <t>OpenDART_fnlttSinglAcntAll</t>
        </is>
      </c>
      <c r="B97" s="24" t="inlineStr">
        <is>
          <t>00161383</t>
        </is>
      </c>
      <c r="C97" s="24" t="inlineStr">
        <is>
          <t>한미반도체</t>
        </is>
      </c>
      <c r="D97" s="24" t="inlineStr">
        <is>
          <t>hanmi</t>
        </is>
      </c>
      <c r="E97" s="24" t="inlineStr">
        <is>
          <t>042700</t>
        </is>
      </c>
      <c r="F97" s="24" t="inlineStr">
        <is>
          <t>2021</t>
        </is>
      </c>
      <c r="G97" s="24" t="inlineStr">
        <is>
          <t>CFS</t>
        </is>
      </c>
      <c r="H97" s="24" t="inlineStr">
        <is>
          <t>CF</t>
        </is>
      </c>
      <c r="I97" s="24" t="inlineStr">
        <is>
          <t>현금흐름표</t>
        </is>
      </c>
      <c r="J97" s="24" t="inlineStr">
        <is>
          <t>dart_AdjustmentsForOtherLossesWithoutCashFlowOut</t>
        </is>
      </c>
      <c r="K97" s="24" t="inlineStr">
        <is>
          <t>기타 현금의 유출 없는 비용등</t>
        </is>
      </c>
      <c r="L97" s="24" t="inlineStr">
        <is>
          <t>-</t>
        </is>
      </c>
      <c r="M97" s="24" t="inlineStr">
        <is>
          <t>제 42 기</t>
        </is>
      </c>
      <c r="N97" s="24" t="inlineStr">
        <is>
          <t>-9729110.0</t>
        </is>
      </c>
      <c r="O97" s="24" t="inlineStr">
        <is>
          <t>543580833.0</t>
        </is>
      </c>
      <c r="P97" s="24" t="inlineStr">
        <is>
          <t>KRW</t>
        </is>
      </c>
      <c r="Q97" s="24" t="inlineStr">
        <is>
          <t>25</t>
        </is>
      </c>
    </row>
    <row r="98" ht="24" customHeight="1">
      <c r="A98" s="29" t="inlineStr">
        <is>
          <t>OpenDART_fnlttSinglAcntAll</t>
        </is>
      </c>
      <c r="B98" s="29" t="inlineStr">
        <is>
          <t>00161383</t>
        </is>
      </c>
      <c r="C98" s="29" t="inlineStr">
        <is>
          <t>한미반도체</t>
        </is>
      </c>
      <c r="D98" s="29" t="inlineStr">
        <is>
          <t>hanmi</t>
        </is>
      </c>
      <c r="E98" s="29" t="inlineStr">
        <is>
          <t>042700</t>
        </is>
      </c>
      <c r="F98" s="29" t="inlineStr">
        <is>
          <t>2021</t>
        </is>
      </c>
      <c r="G98" s="29" t="inlineStr">
        <is>
          <t>CFS</t>
        </is>
      </c>
      <c r="H98" s="29" t="inlineStr">
        <is>
          <t>CF</t>
        </is>
      </c>
      <c r="I98" s="29" t="inlineStr">
        <is>
          <t>현금흐름표</t>
        </is>
      </c>
      <c r="J98" s="29" t="inlineStr">
        <is>
          <t>dart_AdjustmentsForAssetsLiabilitiesOfOperatingActivities</t>
        </is>
      </c>
      <c r="K98" s="29" t="inlineStr">
        <is>
          <t>자산ㆍ부채의증감</t>
        </is>
      </c>
      <c r="L98" s="29" t="inlineStr">
        <is>
          <t>-</t>
        </is>
      </c>
      <c r="M98" s="29" t="inlineStr">
        <is>
          <t>제 42 기</t>
        </is>
      </c>
      <c r="N98" s="29" t="inlineStr">
        <is>
          <t>-70796754002.0</t>
        </is>
      </c>
      <c r="O98" s="29" t="inlineStr">
        <is>
          <t>-30300570439.0</t>
        </is>
      </c>
      <c r="P98" s="29" t="inlineStr">
        <is>
          <t>KRW</t>
        </is>
      </c>
      <c r="Q98" s="29" t="inlineStr">
        <is>
          <t>26</t>
        </is>
      </c>
    </row>
    <row r="99" ht="24" customHeight="1">
      <c r="A99" s="24" t="inlineStr">
        <is>
          <t>OpenDART_fnlttSinglAcntAll</t>
        </is>
      </c>
      <c r="B99" s="24" t="inlineStr">
        <is>
          <t>00161383</t>
        </is>
      </c>
      <c r="C99" s="24" t="inlineStr">
        <is>
          <t>한미반도체</t>
        </is>
      </c>
      <c r="D99" s="24" t="inlineStr">
        <is>
          <t>hanmi</t>
        </is>
      </c>
      <c r="E99" s="24" t="inlineStr">
        <is>
          <t>042700</t>
        </is>
      </c>
      <c r="F99" s="24" t="inlineStr">
        <is>
          <t>2021</t>
        </is>
      </c>
      <c r="G99" s="24" t="inlineStr">
        <is>
          <t>CFS</t>
        </is>
      </c>
      <c r="H99" s="24" t="inlineStr">
        <is>
          <t>CF</t>
        </is>
      </c>
      <c r="I99" s="24" t="inlineStr">
        <is>
          <t>현금흐름표</t>
        </is>
      </c>
      <c r="J99" s="24" t="inlineStr">
        <is>
          <t>dart_AdjustmentsForIncreasedecreaseInPostemploymentBenefitObligations</t>
        </is>
      </c>
      <c r="K99" s="24" t="inlineStr">
        <is>
          <t>퇴직급여충당부채의증가(감소)</t>
        </is>
      </c>
      <c r="L99" s="24" t="inlineStr">
        <is>
          <t>-</t>
        </is>
      </c>
      <c r="M99" s="24" t="inlineStr">
        <is>
          <t>제 42 기</t>
        </is>
      </c>
      <c r="N99" s="24" t="inlineStr">
        <is>
          <t>-229502260.0</t>
        </is>
      </c>
      <c r="O99" s="24" t="inlineStr">
        <is>
          <t>150809610.0</t>
        </is>
      </c>
      <c r="P99" s="24" t="inlineStr">
        <is>
          <t>KRW</t>
        </is>
      </c>
      <c r="Q99" s="24" t="inlineStr">
        <is>
          <t>27</t>
        </is>
      </c>
    </row>
    <row r="100" ht="24" customHeight="1">
      <c r="A100" s="29" t="inlineStr">
        <is>
          <t>OpenDART_fnlttSinglAcntAll</t>
        </is>
      </c>
      <c r="B100" s="29" t="inlineStr">
        <is>
          <t>00161383</t>
        </is>
      </c>
      <c r="C100" s="29" t="inlineStr">
        <is>
          <t>한미반도체</t>
        </is>
      </c>
      <c r="D100" s="29" t="inlineStr">
        <is>
          <t>hanmi</t>
        </is>
      </c>
      <c r="E100" s="29" t="inlineStr">
        <is>
          <t>042700</t>
        </is>
      </c>
      <c r="F100" s="29" t="inlineStr">
        <is>
          <t>2021</t>
        </is>
      </c>
      <c r="G100" s="29" t="inlineStr">
        <is>
          <t>CFS</t>
        </is>
      </c>
      <c r="H100" s="29" t="inlineStr">
        <is>
          <t>CF</t>
        </is>
      </c>
      <c r="I100" s="29" t="inlineStr">
        <is>
          <t>현금흐름표</t>
        </is>
      </c>
      <c r="J100" s="29" t="inlineStr">
        <is>
          <t>dart_AdjustmentsForDecreaseincreaseInFairValueOfPlanAssets</t>
        </is>
      </c>
      <c r="K100" s="29" t="inlineStr">
        <is>
          <t>사외적립자산의증가</t>
        </is>
      </c>
      <c r="L100" s="29" t="inlineStr">
        <is>
          <t>-</t>
        </is>
      </c>
      <c r="M100" s="29" t="inlineStr">
        <is>
          <t>제 42 기</t>
        </is>
      </c>
      <c r="N100" s="29" t="inlineStr">
        <is>
          <t>-3000000000.0</t>
        </is>
      </c>
      <c r="O100" s="29" t="inlineStr">
        <is>
          <t>-4000000000.0</t>
        </is>
      </c>
      <c r="P100" s="29" t="inlineStr">
        <is>
          <t>KRW</t>
        </is>
      </c>
      <c r="Q100" s="29" t="inlineStr">
        <is>
          <t>28</t>
        </is>
      </c>
    </row>
    <row r="101" ht="24" customHeight="1">
      <c r="A101" s="24" t="inlineStr">
        <is>
          <t>OpenDART_fnlttSinglAcntAll</t>
        </is>
      </c>
      <c r="B101" s="24" t="inlineStr">
        <is>
          <t>00161383</t>
        </is>
      </c>
      <c r="C101" s="24" t="inlineStr">
        <is>
          <t>한미반도체</t>
        </is>
      </c>
      <c r="D101" s="24" t="inlineStr">
        <is>
          <t>hanmi</t>
        </is>
      </c>
      <c r="E101" s="24" t="inlineStr">
        <is>
          <t>042700</t>
        </is>
      </c>
      <c r="F101" s="24" t="inlineStr">
        <is>
          <t>2021</t>
        </is>
      </c>
      <c r="G101" s="24" t="inlineStr">
        <is>
          <t>CFS</t>
        </is>
      </c>
      <c r="H101" s="24" t="inlineStr">
        <is>
          <t>CF</t>
        </is>
      </c>
      <c r="I101" s="24" t="inlineStr">
        <is>
          <t>현금흐름표</t>
        </is>
      </c>
      <c r="J101" s="24" t="inlineStr">
        <is>
          <t>ifrs-full_OtherAdjustmentsForNoncashItems</t>
        </is>
      </c>
      <c r="K101" s="24" t="inlineStr">
        <is>
          <t>국민연금전환금의 감소</t>
        </is>
      </c>
      <c r="L101" s="24" t="inlineStr">
        <is>
          <t>-</t>
        </is>
      </c>
      <c r="M101" s="24" t="inlineStr">
        <is>
          <t>제 42 기</t>
        </is>
      </c>
      <c r="N101" s="24" t="inlineStr">
        <is>
          <t>0.0</t>
        </is>
      </c>
      <c r="O101" s="24" t="inlineStr">
        <is>
          <t>430500.0</t>
        </is>
      </c>
      <c r="P101" s="24" t="inlineStr">
        <is>
          <t>KRW</t>
        </is>
      </c>
      <c r="Q101" s="24" t="inlineStr">
        <is>
          <t>29</t>
        </is>
      </c>
    </row>
    <row r="102" ht="24" customHeight="1">
      <c r="A102" s="29" t="inlineStr">
        <is>
          <t>OpenDART_fnlttSinglAcntAll</t>
        </is>
      </c>
      <c r="B102" s="29" t="inlineStr">
        <is>
          <t>00161383</t>
        </is>
      </c>
      <c r="C102" s="29" t="inlineStr">
        <is>
          <t>한미반도체</t>
        </is>
      </c>
      <c r="D102" s="29" t="inlineStr">
        <is>
          <t>hanmi</t>
        </is>
      </c>
      <c r="E102" s="29" t="inlineStr">
        <is>
          <t>042700</t>
        </is>
      </c>
      <c r="F102" s="29" t="inlineStr">
        <is>
          <t>2021</t>
        </is>
      </c>
      <c r="G102" s="29" t="inlineStr">
        <is>
          <t>CFS</t>
        </is>
      </c>
      <c r="H102" s="29" t="inlineStr">
        <is>
          <t>CF</t>
        </is>
      </c>
      <c r="I102" s="29" t="inlineStr">
        <is>
          <t>현금흐름표</t>
        </is>
      </c>
      <c r="J102" s="29" t="inlineStr">
        <is>
          <t>ifrs-full_AdjustmentsForDecreaseIncreaseInTradeAccountReceivable</t>
        </is>
      </c>
      <c r="K102" s="29" t="inlineStr">
        <is>
          <t>매출채권의 증가(감소)</t>
        </is>
      </c>
      <c r="L102" s="29" t="inlineStr">
        <is>
          <t>-</t>
        </is>
      </c>
      <c r="M102" s="29" t="inlineStr">
        <is>
          <t>제 42 기</t>
        </is>
      </c>
      <c r="N102" s="29" t="inlineStr">
        <is>
          <t>-31831514350.0</t>
        </is>
      </c>
      <c r="O102" s="29" t="inlineStr">
        <is>
          <t>-40331154783.0</t>
        </is>
      </c>
      <c r="P102" s="29" t="inlineStr">
        <is>
          <t>KRW</t>
        </is>
      </c>
      <c r="Q102" s="29" t="inlineStr">
        <is>
          <t>30</t>
        </is>
      </c>
    </row>
    <row r="103" ht="24" customHeight="1">
      <c r="A103" s="24" t="inlineStr">
        <is>
          <t>OpenDART_fnlttSinglAcntAll</t>
        </is>
      </c>
      <c r="B103" s="24" t="inlineStr">
        <is>
          <t>00161383</t>
        </is>
      </c>
      <c r="C103" s="24" t="inlineStr">
        <is>
          <t>한미반도체</t>
        </is>
      </c>
      <c r="D103" s="24" t="inlineStr">
        <is>
          <t>hanmi</t>
        </is>
      </c>
      <c r="E103" s="24" t="inlineStr">
        <is>
          <t>042700</t>
        </is>
      </c>
      <c r="F103" s="24" t="inlineStr">
        <is>
          <t>2021</t>
        </is>
      </c>
      <c r="G103" s="24" t="inlineStr">
        <is>
          <t>CFS</t>
        </is>
      </c>
      <c r="H103" s="24" t="inlineStr">
        <is>
          <t>CF</t>
        </is>
      </c>
      <c r="I103" s="24" t="inlineStr">
        <is>
          <t>현금흐름표</t>
        </is>
      </c>
      <c r="J103" s="24" t="inlineStr">
        <is>
          <t>ifrs-full_AdjustmentsForDecreaseIncreaseInInventories</t>
        </is>
      </c>
      <c r="K103" s="24" t="inlineStr">
        <is>
          <t>재고자산의 감소(증가)</t>
        </is>
      </c>
      <c r="L103" s="24" t="inlineStr">
        <is>
          <t>-</t>
        </is>
      </c>
      <c r="M103" s="24" t="inlineStr">
        <is>
          <t>제 42 기</t>
        </is>
      </c>
      <c r="N103" s="24" t="inlineStr">
        <is>
          <t>-38734091444.0</t>
        </is>
      </c>
      <c r="O103" s="24" t="inlineStr">
        <is>
          <t>-11914652792.0</t>
        </is>
      </c>
      <c r="P103" s="24" t="inlineStr">
        <is>
          <t>KRW</t>
        </is>
      </c>
      <c r="Q103" s="24" t="inlineStr">
        <is>
          <t>31</t>
        </is>
      </c>
    </row>
    <row r="104" ht="24" customHeight="1">
      <c r="A104" s="29" t="inlineStr">
        <is>
          <t>OpenDART_fnlttSinglAcntAll</t>
        </is>
      </c>
      <c r="B104" s="29" t="inlineStr">
        <is>
          <t>00161383</t>
        </is>
      </c>
      <c r="C104" s="29" t="inlineStr">
        <is>
          <t>한미반도체</t>
        </is>
      </c>
      <c r="D104" s="29" t="inlineStr">
        <is>
          <t>hanmi</t>
        </is>
      </c>
      <c r="E104" s="29" t="inlineStr">
        <is>
          <t>042700</t>
        </is>
      </c>
      <c r="F104" s="29" t="inlineStr">
        <is>
          <t>2021</t>
        </is>
      </c>
      <c r="G104" s="29" t="inlineStr">
        <is>
          <t>CFS</t>
        </is>
      </c>
      <c r="H104" s="29" t="inlineStr">
        <is>
          <t>CF</t>
        </is>
      </c>
      <c r="I104" s="29" t="inlineStr">
        <is>
          <t>현금흐름표</t>
        </is>
      </c>
      <c r="J104" s="29" t="inlineStr">
        <is>
          <t>dart_AdjustmentsForDecreaseincreaseInOtherCurrentFinancialAssets</t>
        </is>
      </c>
      <c r="K104" s="29" t="inlineStr">
        <is>
          <t>기타유동금융자산의 감소(증가)</t>
        </is>
      </c>
      <c r="L104" s="29" t="inlineStr">
        <is>
          <t>-</t>
        </is>
      </c>
      <c r="M104" s="29" t="inlineStr">
        <is>
          <t>제 42 기</t>
        </is>
      </c>
      <c r="N104" s="29" t="inlineStr">
        <is>
          <t>-3029527352.0</t>
        </is>
      </c>
      <c r="O104" s="29" t="inlineStr">
        <is>
          <t>-635251332.0</t>
        </is>
      </c>
      <c r="P104" s="29" t="inlineStr">
        <is>
          <t>KRW</t>
        </is>
      </c>
      <c r="Q104" s="29" t="inlineStr">
        <is>
          <t>32</t>
        </is>
      </c>
    </row>
    <row r="105" ht="24" customHeight="1">
      <c r="A105" s="24" t="inlineStr">
        <is>
          <t>OpenDART_fnlttSinglAcntAll</t>
        </is>
      </c>
      <c r="B105" s="24" t="inlineStr">
        <is>
          <t>00161383</t>
        </is>
      </c>
      <c r="C105" s="24" t="inlineStr">
        <is>
          <t>한미반도체</t>
        </is>
      </c>
      <c r="D105" s="24" t="inlineStr">
        <is>
          <t>hanmi</t>
        </is>
      </c>
      <c r="E105" s="24" t="inlineStr">
        <is>
          <t>042700</t>
        </is>
      </c>
      <c r="F105" s="24" t="inlineStr">
        <is>
          <t>2021</t>
        </is>
      </c>
      <c r="G105" s="24" t="inlineStr">
        <is>
          <t>CFS</t>
        </is>
      </c>
      <c r="H105" s="24" t="inlineStr">
        <is>
          <t>CF</t>
        </is>
      </c>
      <c r="I105" s="24" t="inlineStr">
        <is>
          <t>현금흐름표</t>
        </is>
      </c>
      <c r="J105" s="24" t="inlineStr">
        <is>
          <t>dart_AdjustmentsForDecreaseIncreaseInOtherCurrentAssets</t>
        </is>
      </c>
      <c r="K105" s="24" t="inlineStr">
        <is>
          <t>기타유동자산의 감소(증가)</t>
        </is>
      </c>
      <c r="L105" s="24" t="inlineStr">
        <is>
          <t>-</t>
        </is>
      </c>
      <c r="M105" s="24" t="inlineStr">
        <is>
          <t>제 42 기</t>
        </is>
      </c>
      <c r="N105" s="24" t="inlineStr">
        <is>
          <t>26594400.0</t>
        </is>
      </c>
      <c r="O105" s="24" t="inlineStr">
        <is>
          <t>535791214.0</t>
        </is>
      </c>
      <c r="P105" s="24" t="inlineStr">
        <is>
          <t>KRW</t>
        </is>
      </c>
      <c r="Q105" s="24" t="inlineStr">
        <is>
          <t>33</t>
        </is>
      </c>
    </row>
    <row r="106" ht="24" customHeight="1">
      <c r="A106" s="29" t="inlineStr">
        <is>
          <t>OpenDART_fnlttSinglAcntAll</t>
        </is>
      </c>
      <c r="B106" s="29" t="inlineStr">
        <is>
          <t>00161383</t>
        </is>
      </c>
      <c r="C106" s="29" t="inlineStr">
        <is>
          <t>한미반도체</t>
        </is>
      </c>
      <c r="D106" s="29" t="inlineStr">
        <is>
          <t>hanmi</t>
        </is>
      </c>
      <c r="E106" s="29" t="inlineStr">
        <is>
          <t>042700</t>
        </is>
      </c>
      <c r="F106" s="29" t="inlineStr">
        <is>
          <t>2021</t>
        </is>
      </c>
      <c r="G106" s="29" t="inlineStr">
        <is>
          <t>CFS</t>
        </is>
      </c>
      <c r="H106" s="29" t="inlineStr">
        <is>
          <t>CF</t>
        </is>
      </c>
      <c r="I106" s="29" t="inlineStr">
        <is>
          <t>현금흐름표</t>
        </is>
      </c>
      <c r="J106" s="29" t="inlineStr">
        <is>
          <t>ifrs-full_AdjustmentsForIncreaseDecreaseInTradeAccountPayable</t>
        </is>
      </c>
      <c r="K106" s="29" t="inlineStr">
        <is>
          <t>매입채무의 증가(감소)</t>
        </is>
      </c>
      <c r="L106" s="29" t="inlineStr">
        <is>
          <t>-</t>
        </is>
      </c>
      <c r="M106" s="29" t="inlineStr">
        <is>
          <t>제 42 기</t>
        </is>
      </c>
      <c r="N106" s="29" t="inlineStr">
        <is>
          <t>9207406424.0</t>
        </is>
      </c>
      <c r="O106" s="29" t="inlineStr">
        <is>
          <t>11628326688.0</t>
        </is>
      </c>
      <c r="P106" s="29" t="inlineStr">
        <is>
          <t>KRW</t>
        </is>
      </c>
      <c r="Q106" s="29" t="inlineStr">
        <is>
          <t>34</t>
        </is>
      </c>
    </row>
    <row r="107" ht="24" customHeight="1">
      <c r="A107" s="24" t="inlineStr">
        <is>
          <t>OpenDART_fnlttSinglAcntAll</t>
        </is>
      </c>
      <c r="B107" s="24" t="inlineStr">
        <is>
          <t>00161383</t>
        </is>
      </c>
      <c r="C107" s="24" t="inlineStr">
        <is>
          <t>한미반도체</t>
        </is>
      </c>
      <c r="D107" s="24" t="inlineStr">
        <is>
          <t>hanmi</t>
        </is>
      </c>
      <c r="E107" s="24" t="inlineStr">
        <is>
          <t>042700</t>
        </is>
      </c>
      <c r="F107" s="24" t="inlineStr">
        <is>
          <t>2021</t>
        </is>
      </c>
      <c r="G107" s="24" t="inlineStr">
        <is>
          <t>CFS</t>
        </is>
      </c>
      <c r="H107" s="24" t="inlineStr">
        <is>
          <t>CF</t>
        </is>
      </c>
      <c r="I107" s="24" t="inlineStr">
        <is>
          <t>현금흐름표</t>
        </is>
      </c>
      <c r="J107" s="24" t="inlineStr">
        <is>
          <t>dart_AdjustmentsForIncreasedecreaseInProvisions</t>
        </is>
      </c>
      <c r="K107" s="24" t="inlineStr">
        <is>
          <t>충당부채의 증가(감소)</t>
        </is>
      </c>
      <c r="L107" s="24" t="inlineStr">
        <is>
          <t>-</t>
        </is>
      </c>
      <c r="M107" s="24" t="inlineStr">
        <is>
          <t>제 42 기</t>
        </is>
      </c>
      <c r="N107" s="24" t="inlineStr">
        <is>
          <t>999915593.0</t>
        </is>
      </c>
      <c r="O107" s="24" t="inlineStr">
        <is>
          <t>1135623667.0</t>
        </is>
      </c>
      <c r="P107" s="24" t="inlineStr">
        <is>
          <t>KRW</t>
        </is>
      </c>
      <c r="Q107" s="24" t="inlineStr">
        <is>
          <t>35</t>
        </is>
      </c>
    </row>
    <row r="108" ht="24" customHeight="1">
      <c r="A108" s="29" t="inlineStr">
        <is>
          <t>OpenDART_fnlttSinglAcntAll</t>
        </is>
      </c>
      <c r="B108" s="29" t="inlineStr">
        <is>
          <t>00161383</t>
        </is>
      </c>
      <c r="C108" s="29" t="inlineStr">
        <is>
          <t>한미반도체</t>
        </is>
      </c>
      <c r="D108" s="29" t="inlineStr">
        <is>
          <t>hanmi</t>
        </is>
      </c>
      <c r="E108" s="29" t="inlineStr">
        <is>
          <t>042700</t>
        </is>
      </c>
      <c r="F108" s="29" t="inlineStr">
        <is>
          <t>2021</t>
        </is>
      </c>
      <c r="G108" s="29" t="inlineStr">
        <is>
          <t>CFS</t>
        </is>
      </c>
      <c r="H108" s="29" t="inlineStr">
        <is>
          <t>CF</t>
        </is>
      </c>
      <c r="I108" s="29" t="inlineStr">
        <is>
          <t>현금흐름표</t>
        </is>
      </c>
      <c r="J108" s="29" t="inlineStr">
        <is>
          <t>dart_AdjustmentsForIncreasedecreaseInOtherCurrentFinancialLiabilities</t>
        </is>
      </c>
      <c r="K108" s="29" t="inlineStr">
        <is>
          <t>기타유동금융부채의 증가(감소)</t>
        </is>
      </c>
      <c r="L108" s="29" t="inlineStr">
        <is>
          <t>-</t>
        </is>
      </c>
      <c r="M108" s="29" t="inlineStr">
        <is>
          <t>제 42 기</t>
        </is>
      </c>
      <c r="N108" s="29" t="inlineStr">
        <is>
          <t>-1622857006.0</t>
        </is>
      </c>
      <c r="O108" s="29" t="inlineStr">
        <is>
          <t>10642090911.0</t>
        </is>
      </c>
      <c r="P108" s="29" t="inlineStr">
        <is>
          <t>KRW</t>
        </is>
      </c>
      <c r="Q108" s="29" t="inlineStr">
        <is>
          <t>36</t>
        </is>
      </c>
    </row>
    <row r="109" ht="24" customHeight="1">
      <c r="A109" s="24" t="inlineStr">
        <is>
          <t>OpenDART_fnlttSinglAcntAll</t>
        </is>
      </c>
      <c r="B109" s="24" t="inlineStr">
        <is>
          <t>00161383</t>
        </is>
      </c>
      <c r="C109" s="24" t="inlineStr">
        <is>
          <t>한미반도체</t>
        </is>
      </c>
      <c r="D109" s="24" t="inlineStr">
        <is>
          <t>hanmi</t>
        </is>
      </c>
      <c r="E109" s="24" t="inlineStr">
        <is>
          <t>042700</t>
        </is>
      </c>
      <c r="F109" s="24" t="inlineStr">
        <is>
          <t>2021</t>
        </is>
      </c>
      <c r="G109" s="24" t="inlineStr">
        <is>
          <t>CFS</t>
        </is>
      </c>
      <c r="H109" s="24" t="inlineStr">
        <is>
          <t>CF</t>
        </is>
      </c>
      <c r="I109" s="24" t="inlineStr">
        <is>
          <t>현금흐름표</t>
        </is>
      </c>
      <c r="J109" s="24" t="inlineStr">
        <is>
          <t>dart_AdjustmentsForIncreaseDecreaseInOtherCurrentLiabilities</t>
        </is>
      </c>
      <c r="K109" s="24" t="inlineStr">
        <is>
          <t>기타유동부채의 증가(감소)</t>
        </is>
      </c>
      <c r="L109" s="24" t="inlineStr">
        <is>
          <t>-</t>
        </is>
      </c>
      <c r="M109" s="24" t="inlineStr">
        <is>
          <t>제 42 기</t>
        </is>
      </c>
      <c r="N109" s="24" t="inlineStr">
        <is>
          <t>-2135751737.0</t>
        </is>
      </c>
      <c r="O109" s="24" t="inlineStr">
        <is>
          <t>3332945986.0</t>
        </is>
      </c>
      <c r="P109" s="24" t="inlineStr">
        <is>
          <t>KRW</t>
        </is>
      </c>
      <c r="Q109" s="24" t="inlineStr">
        <is>
          <t>37</t>
        </is>
      </c>
    </row>
    <row r="110" ht="24" customHeight="1">
      <c r="A110" s="29" t="inlineStr">
        <is>
          <t>OpenDART_fnlttSinglAcntAll</t>
        </is>
      </c>
      <c r="B110" s="29" t="inlineStr">
        <is>
          <t>00161383</t>
        </is>
      </c>
      <c r="C110" s="29" t="inlineStr">
        <is>
          <t>한미반도체</t>
        </is>
      </c>
      <c r="D110" s="29" t="inlineStr">
        <is>
          <t>hanmi</t>
        </is>
      </c>
      <c r="E110" s="29" t="inlineStr">
        <is>
          <t>042700</t>
        </is>
      </c>
      <c r="F110" s="29" t="inlineStr">
        <is>
          <t>2021</t>
        </is>
      </c>
      <c r="G110" s="29" t="inlineStr">
        <is>
          <t>CFS</t>
        </is>
      </c>
      <c r="H110" s="29" t="inlineStr">
        <is>
          <t>CF</t>
        </is>
      </c>
      <c r="I110" s="29" t="inlineStr">
        <is>
          <t>현금흐름표</t>
        </is>
      </c>
      <c r="J110" s="29" t="inlineStr">
        <is>
          <t>dart_AdjustmentsForIncreasedecreaseInOtherNonCurrentFinancialLiabilities</t>
        </is>
      </c>
      <c r="K110" s="29" t="inlineStr">
        <is>
          <t>기타비유동금융부채의 증가(감소)</t>
        </is>
      </c>
      <c r="L110" s="29" t="inlineStr">
        <is>
          <t>-</t>
        </is>
      </c>
      <c r="M110" s="29" t="inlineStr">
        <is>
          <t>제 42 기</t>
        </is>
      </c>
      <c r="N110" s="29" t="inlineStr">
        <is>
          <t>62000000.0</t>
        </is>
      </c>
      <c r="O110" s="29" t="inlineStr">
        <is>
          <t>-1097000000.0</t>
        </is>
      </c>
      <c r="P110" s="29" t="inlineStr">
        <is>
          <t>KRW</t>
        </is>
      </c>
      <c r="Q110" s="29" t="inlineStr">
        <is>
          <t>38</t>
        </is>
      </c>
    </row>
    <row r="111" ht="24" customHeight="1">
      <c r="A111" s="24" t="inlineStr">
        <is>
          <t>OpenDART_fnlttSinglAcntAll</t>
        </is>
      </c>
      <c r="B111" s="24" t="inlineStr">
        <is>
          <t>00161383</t>
        </is>
      </c>
      <c r="C111" s="24" t="inlineStr">
        <is>
          <t>한미반도체</t>
        </is>
      </c>
      <c r="D111" s="24" t="inlineStr">
        <is>
          <t>hanmi</t>
        </is>
      </c>
      <c r="E111" s="24" t="inlineStr">
        <is>
          <t>042700</t>
        </is>
      </c>
      <c r="F111" s="24" t="inlineStr">
        <is>
          <t>2021</t>
        </is>
      </c>
      <c r="G111" s="24" t="inlineStr">
        <is>
          <t>CFS</t>
        </is>
      </c>
      <c r="H111" s="24" t="inlineStr">
        <is>
          <t>CF</t>
        </is>
      </c>
      <c r="I111" s="24" t="inlineStr">
        <is>
          <t>현금흐름표</t>
        </is>
      </c>
      <c r="J111" s="24" t="inlineStr">
        <is>
          <t>dart_AdjustmentsForIncreaseDecreaseInOtherNonCurrentLiabilities</t>
        </is>
      </c>
      <c r="K111" s="24" t="inlineStr">
        <is>
          <t>기타비유동부채의 증가(감소)</t>
        </is>
      </c>
      <c r="L111" s="24" t="inlineStr">
        <is>
          <t>-</t>
        </is>
      </c>
      <c r="M111" s="24" t="inlineStr">
        <is>
          <t>제 42 기</t>
        </is>
      </c>
      <c r="N111" s="24" t="inlineStr">
        <is>
          <t>-509426270.0</t>
        </is>
      </c>
      <c r="O111" s="24" t="inlineStr">
        <is>
          <t>251469892.0</t>
        </is>
      </c>
      <c r="P111" s="24" t="inlineStr">
        <is>
          <t>KRW</t>
        </is>
      </c>
      <c r="Q111" s="24" t="inlineStr">
        <is>
          <t>39</t>
        </is>
      </c>
    </row>
    <row r="112" ht="24" customHeight="1">
      <c r="A112" s="29" t="inlineStr">
        <is>
          <t>OpenDART_fnlttSinglAcntAll</t>
        </is>
      </c>
      <c r="B112" s="29" t="inlineStr">
        <is>
          <t>00161383</t>
        </is>
      </c>
      <c r="C112" s="29" t="inlineStr">
        <is>
          <t>한미반도체</t>
        </is>
      </c>
      <c r="D112" s="29" t="inlineStr">
        <is>
          <t>hanmi</t>
        </is>
      </c>
      <c r="E112" s="29" t="inlineStr">
        <is>
          <t>042700</t>
        </is>
      </c>
      <c r="F112" s="29" t="inlineStr">
        <is>
          <t>2021</t>
        </is>
      </c>
      <c r="G112" s="29" t="inlineStr">
        <is>
          <t>CFS</t>
        </is>
      </c>
      <c r="H112" s="29" t="inlineStr">
        <is>
          <t>CF</t>
        </is>
      </c>
      <c r="I112" s="29" t="inlineStr">
        <is>
          <t>현금흐름표</t>
        </is>
      </c>
      <c r="J112" s="29" t="inlineStr">
        <is>
          <t>ifrs-full_InterestReceivedClassifiedAsOperatingActivities</t>
        </is>
      </c>
      <c r="K112" s="29" t="inlineStr">
        <is>
          <t>이자수취</t>
        </is>
      </c>
      <c r="L112" s="29" t="inlineStr">
        <is>
          <t>-</t>
        </is>
      </c>
      <c r="M112" s="29" t="inlineStr">
        <is>
          <t>제 42 기</t>
        </is>
      </c>
      <c r="N112" s="29" t="inlineStr">
        <is>
          <t>85778307.0</t>
        </is>
      </c>
      <c r="O112" s="29" t="inlineStr">
        <is>
          <t>436149533.0</t>
        </is>
      </c>
      <c r="P112" s="29" t="inlineStr">
        <is>
          <t>KRW</t>
        </is>
      </c>
      <c r="Q112" s="29" t="inlineStr">
        <is>
          <t>40</t>
        </is>
      </c>
    </row>
    <row r="113" ht="24" customHeight="1">
      <c r="A113" s="24" t="inlineStr">
        <is>
          <t>OpenDART_fnlttSinglAcntAll</t>
        </is>
      </c>
      <c r="B113" s="24" t="inlineStr">
        <is>
          <t>00161383</t>
        </is>
      </c>
      <c r="C113" s="24" t="inlineStr">
        <is>
          <t>한미반도체</t>
        </is>
      </c>
      <c r="D113" s="24" t="inlineStr">
        <is>
          <t>hanmi</t>
        </is>
      </c>
      <c r="E113" s="24" t="inlineStr">
        <is>
          <t>042700</t>
        </is>
      </c>
      <c r="F113" s="24" t="inlineStr">
        <is>
          <t>2021</t>
        </is>
      </c>
      <c r="G113" s="24" t="inlineStr">
        <is>
          <t>CFS</t>
        </is>
      </c>
      <c r="H113" s="24" t="inlineStr">
        <is>
          <t>CF</t>
        </is>
      </c>
      <c r="I113" s="24" t="inlineStr">
        <is>
          <t>현금흐름표</t>
        </is>
      </c>
      <c r="J113" s="24" t="inlineStr">
        <is>
          <t>ifrs-full_InterestPaidClassifiedAsOperatingActivities</t>
        </is>
      </c>
      <c r="K113" s="24" t="inlineStr">
        <is>
          <t>이자지급</t>
        </is>
      </c>
      <c r="L113" s="24" t="inlineStr">
        <is>
          <t>-</t>
        </is>
      </c>
      <c r="M113" s="24" t="inlineStr">
        <is>
          <t>제 42 기</t>
        </is>
      </c>
      <c r="N113" s="24" t="inlineStr">
        <is>
          <t>27405050.0</t>
        </is>
      </c>
      <c r="O113" s="24" t="inlineStr">
        <is>
          <t>40778409.0</t>
        </is>
      </c>
      <c r="P113" s="24" t="inlineStr">
        <is>
          <t>KRW</t>
        </is>
      </c>
      <c r="Q113" s="24" t="inlineStr">
        <is>
          <t>41</t>
        </is>
      </c>
    </row>
    <row r="114" ht="24" customHeight="1">
      <c r="A114" s="29" t="inlineStr">
        <is>
          <t>OpenDART_fnlttSinglAcntAll</t>
        </is>
      </c>
      <c r="B114" s="29" t="inlineStr">
        <is>
          <t>00161383</t>
        </is>
      </c>
      <c r="C114" s="29" t="inlineStr">
        <is>
          <t>한미반도체</t>
        </is>
      </c>
      <c r="D114" s="29" t="inlineStr">
        <is>
          <t>hanmi</t>
        </is>
      </c>
      <c r="E114" s="29" t="inlineStr">
        <is>
          <t>042700</t>
        </is>
      </c>
      <c r="F114" s="29" t="inlineStr">
        <is>
          <t>2021</t>
        </is>
      </c>
      <c r="G114" s="29" t="inlineStr">
        <is>
          <t>CFS</t>
        </is>
      </c>
      <c r="H114" s="29" t="inlineStr">
        <is>
          <t>CF</t>
        </is>
      </c>
      <c r="I114" s="29" t="inlineStr">
        <is>
          <t>현금흐름표</t>
        </is>
      </c>
      <c r="J114" s="29" t="inlineStr">
        <is>
          <t>ifrs-full_IncomeTaxesPaidRefundClassifiedAsOperatingActivities</t>
        </is>
      </c>
      <c r="K114" s="29" t="inlineStr">
        <is>
          <t>법인세의 납부</t>
        </is>
      </c>
      <c r="L114" s="29" t="inlineStr">
        <is>
          <t>-</t>
        </is>
      </c>
      <c r="M114" s="29" t="inlineStr">
        <is>
          <t>제 42 기</t>
        </is>
      </c>
      <c r="N114" s="29" t="inlineStr">
        <is>
          <t>22641573132.0</t>
        </is>
      </c>
      <c r="O114" s="29" t="inlineStr">
        <is>
          <t>7297063470.0</t>
        </is>
      </c>
      <c r="P114" s="29" t="inlineStr">
        <is>
          <t>KRW</t>
        </is>
      </c>
      <c r="Q114" s="29" t="inlineStr">
        <is>
          <t>42</t>
        </is>
      </c>
    </row>
    <row r="115" ht="24" customHeight="1">
      <c r="A115" s="24" t="inlineStr">
        <is>
          <t>OpenDART_fnlttSinglAcntAll</t>
        </is>
      </c>
      <c r="B115" s="24" t="inlineStr">
        <is>
          <t>00161383</t>
        </is>
      </c>
      <c r="C115" s="24" t="inlineStr">
        <is>
          <t>한미반도체</t>
        </is>
      </c>
      <c r="D115" s="24" t="inlineStr">
        <is>
          <t>hanmi</t>
        </is>
      </c>
      <c r="E115" s="24" t="inlineStr">
        <is>
          <t>042700</t>
        </is>
      </c>
      <c r="F115" s="24" t="inlineStr">
        <is>
          <t>2021</t>
        </is>
      </c>
      <c r="G115" s="24" t="inlineStr">
        <is>
          <t>CFS</t>
        </is>
      </c>
      <c r="H115" s="24" t="inlineStr">
        <is>
          <t>CF</t>
        </is>
      </c>
      <c r="I115" s="24" t="inlineStr">
        <is>
          <t>현금흐름표</t>
        </is>
      </c>
      <c r="J115" s="24" t="inlineStr">
        <is>
          <t>ifrs-full_CashFlowsFromUsedInInvestingActivities</t>
        </is>
      </c>
      <c r="K115" s="24" t="inlineStr">
        <is>
          <t>투자활동현금흐름</t>
        </is>
      </c>
      <c r="L115" s="24" t="inlineStr">
        <is>
          <t>-</t>
        </is>
      </c>
      <c r="M115" s="24" t="inlineStr">
        <is>
          <t>제 42 기</t>
        </is>
      </c>
      <c r="N115" s="24" t="inlineStr">
        <is>
          <t>-64957521614.0</t>
        </is>
      </c>
      <c r="O115" s="24" t="inlineStr">
        <is>
          <t>11667327543.0</t>
        </is>
      </c>
      <c r="P115" s="24" t="inlineStr">
        <is>
          <t>KRW</t>
        </is>
      </c>
      <c r="Q115" s="24" t="inlineStr">
        <is>
          <t>43</t>
        </is>
      </c>
    </row>
    <row r="116" ht="24" customHeight="1">
      <c r="A116" s="29" t="inlineStr">
        <is>
          <t>OpenDART_fnlttSinglAcntAll</t>
        </is>
      </c>
      <c r="B116" s="29" t="inlineStr">
        <is>
          <t>00161383</t>
        </is>
      </c>
      <c r="C116" s="29" t="inlineStr">
        <is>
          <t>한미반도체</t>
        </is>
      </c>
      <c r="D116" s="29" t="inlineStr">
        <is>
          <t>hanmi</t>
        </is>
      </c>
      <c r="E116" s="29" t="inlineStr">
        <is>
          <t>042700</t>
        </is>
      </c>
      <c r="F116" s="29" t="inlineStr">
        <is>
          <t>2021</t>
        </is>
      </c>
      <c r="G116" s="29" t="inlineStr">
        <is>
          <t>CFS</t>
        </is>
      </c>
      <c r="H116" s="29" t="inlineStr">
        <is>
          <t>CF</t>
        </is>
      </c>
      <c r="I116" s="29" t="inlineStr">
        <is>
          <t>현금흐름표</t>
        </is>
      </c>
      <c r="J116" s="29" t="inlineStr">
        <is>
          <t>dart_ProceedsFromSalesOfInvestmentsInSubsidiaries</t>
        </is>
      </c>
      <c r="K116" s="29" t="inlineStr">
        <is>
          <t>종속기업투자주식의 처분</t>
        </is>
      </c>
      <c r="L116" s="29" t="inlineStr">
        <is>
          <t>-</t>
        </is>
      </c>
      <c r="M116" s="29" t="inlineStr">
        <is>
          <t>제 42 기</t>
        </is>
      </c>
      <c r="N116" s="29" t="inlineStr">
        <is>
          <t>0.0</t>
        </is>
      </c>
      <c r="O116" s="29" t="inlineStr">
        <is>
          <t>0.0</t>
        </is>
      </c>
      <c r="P116" s="29" t="inlineStr">
        <is>
          <t>KRW</t>
        </is>
      </c>
      <c r="Q116" s="29" t="inlineStr">
        <is>
          <t>44</t>
        </is>
      </c>
    </row>
    <row r="117" ht="24" customHeight="1">
      <c r="A117" s="24" t="inlineStr">
        <is>
          <t>OpenDART_fnlttSinglAcntAll</t>
        </is>
      </c>
      <c r="B117" s="24" t="inlineStr">
        <is>
          <t>00161383</t>
        </is>
      </c>
      <c r="C117" s="24" t="inlineStr">
        <is>
          <t>한미반도체</t>
        </is>
      </c>
      <c r="D117" s="24" t="inlineStr">
        <is>
          <t>hanmi</t>
        </is>
      </c>
      <c r="E117" s="24" t="inlineStr">
        <is>
          <t>042700</t>
        </is>
      </c>
      <c r="F117" s="24" t="inlineStr">
        <is>
          <t>2021</t>
        </is>
      </c>
      <c r="G117" s="24" t="inlineStr">
        <is>
          <t>CFS</t>
        </is>
      </c>
      <c r="H117" s="24" t="inlineStr">
        <is>
          <t>CF</t>
        </is>
      </c>
      <c r="I117" s="24" t="inlineStr">
        <is>
          <t>현금흐름표</t>
        </is>
      </c>
      <c r="J117" s="24" t="inlineStr">
        <is>
          <t>dart_ProceedsFromSalesOfInvestmentProperty</t>
        </is>
      </c>
      <c r="K117" s="24" t="inlineStr">
        <is>
          <t>투자부동산의 처분</t>
        </is>
      </c>
      <c r="L117" s="24" t="inlineStr">
        <is>
          <t>-</t>
        </is>
      </c>
      <c r="M117" s="24" t="inlineStr">
        <is>
          <t>제 42 기</t>
        </is>
      </c>
      <c r="N117" s="24" t="inlineStr">
        <is>
          <t>0.0</t>
        </is>
      </c>
      <c r="O117" s="24" t="inlineStr">
        <is>
          <t>17761983000.0</t>
        </is>
      </c>
      <c r="P117" s="24" t="inlineStr">
        <is>
          <t>KRW</t>
        </is>
      </c>
      <c r="Q117" s="24" t="inlineStr">
        <is>
          <t>45</t>
        </is>
      </c>
    </row>
    <row r="118" ht="24" customHeight="1">
      <c r="A118" s="29" t="inlineStr">
        <is>
          <t>OpenDART_fnlttSinglAcntAll</t>
        </is>
      </c>
      <c r="B118" s="29" t="inlineStr">
        <is>
          <t>00161383</t>
        </is>
      </c>
      <c r="C118" s="29" t="inlineStr">
        <is>
          <t>한미반도체</t>
        </is>
      </c>
      <c r="D118" s="29" t="inlineStr">
        <is>
          <t>hanmi</t>
        </is>
      </c>
      <c r="E118" s="29" t="inlineStr">
        <is>
          <t>042700</t>
        </is>
      </c>
      <c r="F118" s="29" t="inlineStr">
        <is>
          <t>2021</t>
        </is>
      </c>
      <c r="G118" s="29" t="inlineStr">
        <is>
          <t>CFS</t>
        </is>
      </c>
      <c r="H118" s="29" t="inlineStr">
        <is>
          <t>CF</t>
        </is>
      </c>
      <c r="I118" s="29" t="inlineStr">
        <is>
          <t>현금흐름표</t>
        </is>
      </c>
      <c r="J118" s="29" t="inlineStr">
        <is>
          <t>ifrs-full_ProceedsFromSalesOfPropertyPlantAndEquipmentClassifiedAsInvestingActivities</t>
        </is>
      </c>
      <c r="K118" s="29" t="inlineStr">
        <is>
          <t>유형자산의 처분</t>
        </is>
      </c>
      <c r="L118" s="29" t="inlineStr">
        <is>
          <t>-</t>
        </is>
      </c>
      <c r="M118" s="29" t="inlineStr">
        <is>
          <t>제 42 기</t>
        </is>
      </c>
      <c r="N118" s="29" t="inlineStr">
        <is>
          <t>207467090.0</t>
        </is>
      </c>
      <c r="O118" s="29" t="inlineStr">
        <is>
          <t>1671613546.0</t>
        </is>
      </c>
      <c r="P118" s="29" t="inlineStr">
        <is>
          <t>KRW</t>
        </is>
      </c>
      <c r="Q118" s="29" t="inlineStr">
        <is>
          <t>46</t>
        </is>
      </c>
    </row>
    <row r="119" ht="24" customHeight="1">
      <c r="A119" s="24" t="inlineStr">
        <is>
          <t>OpenDART_fnlttSinglAcntAll</t>
        </is>
      </c>
      <c r="B119" s="24" t="inlineStr">
        <is>
          <t>00161383</t>
        </is>
      </c>
      <c r="C119" s="24" t="inlineStr">
        <is>
          <t>한미반도체</t>
        </is>
      </c>
      <c r="D119" s="24" t="inlineStr">
        <is>
          <t>hanmi</t>
        </is>
      </c>
      <c r="E119" s="24" t="inlineStr">
        <is>
          <t>042700</t>
        </is>
      </c>
      <c r="F119" s="24" t="inlineStr">
        <is>
          <t>2021</t>
        </is>
      </c>
      <c r="G119" s="24" t="inlineStr">
        <is>
          <t>CFS</t>
        </is>
      </c>
      <c r="H119" s="24" t="inlineStr">
        <is>
          <t>CF</t>
        </is>
      </c>
      <c r="I119" s="24" t="inlineStr">
        <is>
          <t>현금흐름표</t>
        </is>
      </c>
      <c r="J119" s="24" t="inlineStr">
        <is>
          <t>ifrs-full_ProceedsFromSalesOfIntangibleAssetsClassifiedAsInvestingActivities</t>
        </is>
      </c>
      <c r="K119" s="24" t="inlineStr">
        <is>
          <t>무형자산의 처분</t>
        </is>
      </c>
      <c r="L119" s="24" t="inlineStr">
        <is>
          <t>-</t>
        </is>
      </c>
      <c r="M119" s="24" t="inlineStr">
        <is>
          <t>제 42 기</t>
        </is>
      </c>
      <c r="N119" s="24" t="inlineStr">
        <is>
          <t>0.0</t>
        </is>
      </c>
      <c r="O119" s="24" t="inlineStr">
        <is>
          <t>0.0</t>
        </is>
      </c>
      <c r="P119" s="24" t="inlineStr">
        <is>
          <t>KRW</t>
        </is>
      </c>
      <c r="Q119" s="24" t="inlineStr">
        <is>
          <t>47</t>
        </is>
      </c>
    </row>
    <row r="120" ht="24" customHeight="1">
      <c r="A120" s="29" t="inlineStr">
        <is>
          <t>OpenDART_fnlttSinglAcntAll</t>
        </is>
      </c>
      <c r="B120" s="29" t="inlineStr">
        <is>
          <t>00161383</t>
        </is>
      </c>
      <c r="C120" s="29" t="inlineStr">
        <is>
          <t>한미반도체</t>
        </is>
      </c>
      <c r="D120" s="29" t="inlineStr">
        <is>
          <t>hanmi</t>
        </is>
      </c>
      <c r="E120" s="29" t="inlineStr">
        <is>
          <t>042700</t>
        </is>
      </c>
      <c r="F120" s="29" t="inlineStr">
        <is>
          <t>2021</t>
        </is>
      </c>
      <c r="G120" s="29" t="inlineStr">
        <is>
          <t>CFS</t>
        </is>
      </c>
      <c r="H120" s="29" t="inlineStr">
        <is>
          <t>CF</t>
        </is>
      </c>
      <c r="I120" s="29" t="inlineStr">
        <is>
          <t>현금흐름표</t>
        </is>
      </c>
      <c r="J120" s="29" t="inlineStr">
        <is>
          <t>dart_ProceedsFromSalesOfOtherNonCurrentFinancialAssets</t>
        </is>
      </c>
      <c r="K120" s="29" t="inlineStr">
        <is>
          <t>기타비유동금융자산의 감소</t>
        </is>
      </c>
      <c r="L120" s="29" t="inlineStr">
        <is>
          <t>-</t>
        </is>
      </c>
      <c r="M120" s="29" t="inlineStr">
        <is>
          <t>제 42 기</t>
        </is>
      </c>
      <c r="N120" s="29" t="inlineStr">
        <is>
          <t>4575000.0</t>
        </is>
      </c>
      <c r="O120" s="29" t="inlineStr">
        <is>
          <t>0.0</t>
        </is>
      </c>
      <c r="P120" s="29" t="inlineStr">
        <is>
          <t>KRW</t>
        </is>
      </c>
      <c r="Q120" s="29" t="inlineStr">
        <is>
          <t>48</t>
        </is>
      </c>
    </row>
    <row r="121" ht="24" customHeight="1">
      <c r="A121" s="24" t="inlineStr">
        <is>
          <t>OpenDART_fnlttSinglAcntAll</t>
        </is>
      </c>
      <c r="B121" s="24" t="inlineStr">
        <is>
          <t>00161383</t>
        </is>
      </c>
      <c r="C121" s="24" t="inlineStr">
        <is>
          <t>한미반도체</t>
        </is>
      </c>
      <c r="D121" s="24" t="inlineStr">
        <is>
          <t>hanmi</t>
        </is>
      </c>
      <c r="E121" s="24" t="inlineStr">
        <is>
          <t>042700</t>
        </is>
      </c>
      <c r="F121" s="24" t="inlineStr">
        <is>
          <t>2021</t>
        </is>
      </c>
      <c r="G121" s="24" t="inlineStr">
        <is>
          <t>CFS</t>
        </is>
      </c>
      <c r="H121" s="24" t="inlineStr">
        <is>
          <t>CF</t>
        </is>
      </c>
      <c r="I121" s="24" t="inlineStr">
        <is>
          <t>현금흐름표</t>
        </is>
      </c>
      <c r="J121" s="24" t="inlineStr">
        <is>
          <t>dart_PurchaseOfLongTermFinancialInstruments</t>
        </is>
      </c>
      <c r="K121" s="24" t="inlineStr">
        <is>
          <t>장기금융상품의 증가</t>
        </is>
      </c>
      <c r="L121" s="24" t="inlineStr">
        <is>
          <t>-</t>
        </is>
      </c>
      <c r="M121" s="24" t="inlineStr">
        <is>
          <t>제 42 기</t>
        </is>
      </c>
      <c r="N121" s="24" t="inlineStr">
        <is>
          <t>1436880.0</t>
        </is>
      </c>
      <c r="O121" s="24" t="inlineStr">
        <is>
          <t>1436880.0</t>
        </is>
      </c>
      <c r="P121" s="24" t="inlineStr">
        <is>
          <t>KRW</t>
        </is>
      </c>
      <c r="Q121" s="24" t="inlineStr">
        <is>
          <t>49</t>
        </is>
      </c>
    </row>
    <row r="122" ht="24" customHeight="1">
      <c r="A122" s="29" t="inlineStr">
        <is>
          <t>OpenDART_fnlttSinglAcntAll</t>
        </is>
      </c>
      <c r="B122" s="29" t="inlineStr">
        <is>
          <t>00161383</t>
        </is>
      </c>
      <c r="C122" s="29" t="inlineStr">
        <is>
          <t>한미반도체</t>
        </is>
      </c>
      <c r="D122" s="29" t="inlineStr">
        <is>
          <t>hanmi</t>
        </is>
      </c>
      <c r="E122" s="29" t="inlineStr">
        <is>
          <t>042700</t>
        </is>
      </c>
      <c r="F122" s="29" t="inlineStr">
        <is>
          <t>2021</t>
        </is>
      </c>
      <c r="G122" s="29" t="inlineStr">
        <is>
          <t>CFS</t>
        </is>
      </c>
      <c r="H122" s="29" t="inlineStr">
        <is>
          <t>CF</t>
        </is>
      </c>
      <c r="I122" s="29" t="inlineStr">
        <is>
          <t>현금흐름표</t>
        </is>
      </c>
      <c r="J122" s="29" t="inlineStr">
        <is>
          <t>dart_IncreaseInGuaranteeDeposits</t>
        </is>
      </c>
      <c r="K122" s="29" t="inlineStr">
        <is>
          <t>보증금의 증가</t>
        </is>
      </c>
      <c r="L122" s="29" t="inlineStr">
        <is>
          <t>-</t>
        </is>
      </c>
      <c r="M122" s="29" t="inlineStr">
        <is>
          <t>제 42 기</t>
        </is>
      </c>
      <c r="N122" s="29" t="inlineStr">
        <is>
          <t>828605321.0</t>
        </is>
      </c>
      <c r="O122" s="29" t="inlineStr">
        <is>
          <t>8414700.0</t>
        </is>
      </c>
      <c r="P122" s="29" t="inlineStr">
        <is>
          <t>KRW</t>
        </is>
      </c>
      <c r="Q122" s="29" t="inlineStr">
        <is>
          <t>50</t>
        </is>
      </c>
    </row>
    <row r="123" ht="24" customHeight="1">
      <c r="A123" s="24" t="inlineStr">
        <is>
          <t>OpenDART_fnlttSinglAcntAll</t>
        </is>
      </c>
      <c r="B123" s="24" t="inlineStr">
        <is>
          <t>00161383</t>
        </is>
      </c>
      <c r="C123" s="24" t="inlineStr">
        <is>
          <t>한미반도체</t>
        </is>
      </c>
      <c r="D123" s="24" t="inlineStr">
        <is>
          <t>hanmi</t>
        </is>
      </c>
      <c r="E123" s="24" t="inlineStr">
        <is>
          <t>042700</t>
        </is>
      </c>
      <c r="F123" s="24" t="inlineStr">
        <is>
          <t>2021</t>
        </is>
      </c>
      <c r="G123" s="24" t="inlineStr">
        <is>
          <t>CFS</t>
        </is>
      </c>
      <c r="H123" s="24" t="inlineStr">
        <is>
          <t>CF</t>
        </is>
      </c>
      <c r="I123" s="24" t="inlineStr">
        <is>
          <t>현금흐름표</t>
        </is>
      </c>
      <c r="J123" s="24" t="inlineStr">
        <is>
          <t>-표준계정코드 미사용-</t>
        </is>
      </c>
      <c r="K123" s="24" t="inlineStr">
        <is>
          <t>관계기업투자주식의 취득</t>
        </is>
      </c>
      <c r="L123" s="24" t="inlineStr">
        <is>
          <t>-</t>
        </is>
      </c>
      <c r="M123" s="24" t="inlineStr">
        <is>
          <t>제 42 기</t>
        </is>
      </c>
      <c r="N123" s="24" t="inlineStr">
        <is>
          <t>37499699358.0</t>
        </is>
      </c>
      <c r="O123" s="24" t="inlineStr">
        <is>
          <t>0.0</t>
        </is>
      </c>
      <c r="P123" s="24" t="inlineStr">
        <is>
          <t>KRW</t>
        </is>
      </c>
      <c r="Q123" s="24" t="inlineStr">
        <is>
          <t>51</t>
        </is>
      </c>
    </row>
    <row r="124" ht="24" customHeight="1">
      <c r="A124" s="29" t="inlineStr">
        <is>
          <t>OpenDART_fnlttSinglAcntAll</t>
        </is>
      </c>
      <c r="B124" s="29" t="inlineStr">
        <is>
          <t>00161383</t>
        </is>
      </c>
      <c r="C124" s="29" t="inlineStr">
        <is>
          <t>한미반도체</t>
        </is>
      </c>
      <c r="D124" s="29" t="inlineStr">
        <is>
          <t>hanmi</t>
        </is>
      </c>
      <c r="E124" s="29" t="inlineStr">
        <is>
          <t>042700</t>
        </is>
      </c>
      <c r="F124" s="29" t="inlineStr">
        <is>
          <t>2021</t>
        </is>
      </c>
      <c r="G124" s="29" t="inlineStr">
        <is>
          <t>CFS</t>
        </is>
      </c>
      <c r="H124" s="29" t="inlineStr">
        <is>
          <t>CF</t>
        </is>
      </c>
      <c r="I124" s="29" t="inlineStr">
        <is>
          <t>현금흐름표</t>
        </is>
      </c>
      <c r="J124" s="29" t="inlineStr">
        <is>
          <t>ifrs-full_PurchaseOfPropertyPlantAndEquipmentClassifiedAsInvestingActivities</t>
        </is>
      </c>
      <c r="K124" s="29" t="inlineStr">
        <is>
          <t>유형자산의 취득</t>
        </is>
      </c>
      <c r="L124" s="29" t="inlineStr">
        <is>
          <t>-</t>
        </is>
      </c>
      <c r="M124" s="29" t="inlineStr">
        <is>
          <t>제 42 기</t>
        </is>
      </c>
      <c r="N124" s="29" t="inlineStr">
        <is>
          <t>25283707204.0</t>
        </is>
      </c>
      <c r="O124" s="29" t="inlineStr">
        <is>
          <t>7441744690.0</t>
        </is>
      </c>
      <c r="P124" s="29" t="inlineStr">
        <is>
          <t>KRW</t>
        </is>
      </c>
      <c r="Q124" s="29" t="inlineStr">
        <is>
          <t>52</t>
        </is>
      </c>
    </row>
    <row r="125" ht="24" customHeight="1">
      <c r="A125" s="24" t="inlineStr">
        <is>
          <t>OpenDART_fnlttSinglAcntAll</t>
        </is>
      </c>
      <c r="B125" s="24" t="inlineStr">
        <is>
          <t>00161383</t>
        </is>
      </c>
      <c r="C125" s="24" t="inlineStr">
        <is>
          <t>한미반도체</t>
        </is>
      </c>
      <c r="D125" s="24" t="inlineStr">
        <is>
          <t>hanmi</t>
        </is>
      </c>
      <c r="E125" s="24" t="inlineStr">
        <is>
          <t>042700</t>
        </is>
      </c>
      <c r="F125" s="24" t="inlineStr">
        <is>
          <t>2021</t>
        </is>
      </c>
      <c r="G125" s="24" t="inlineStr">
        <is>
          <t>CFS</t>
        </is>
      </c>
      <c r="H125" s="24" t="inlineStr">
        <is>
          <t>CF</t>
        </is>
      </c>
      <c r="I125" s="24" t="inlineStr">
        <is>
          <t>현금흐름표</t>
        </is>
      </c>
      <c r="J125" s="24" t="inlineStr">
        <is>
          <t>ifrs-full_PurchaseOfIntangibleAssetsClassifiedAsInvestingActivities</t>
        </is>
      </c>
      <c r="K125" s="24" t="inlineStr">
        <is>
          <t>무형자산의 취득</t>
        </is>
      </c>
      <c r="L125" s="24" t="inlineStr">
        <is>
          <t>-</t>
        </is>
      </c>
      <c r="M125" s="24" t="inlineStr">
        <is>
          <t>제 42 기</t>
        </is>
      </c>
      <c r="N125" s="24" t="inlineStr">
        <is>
          <t>1556114941.0</t>
        </is>
      </c>
      <c r="O125" s="24" t="inlineStr">
        <is>
          <t>314672733.0</t>
        </is>
      </c>
      <c r="P125" s="24" t="inlineStr">
        <is>
          <t>KRW</t>
        </is>
      </c>
      <c r="Q125" s="24" t="inlineStr">
        <is>
          <t>53</t>
        </is>
      </c>
    </row>
    <row r="126" ht="24" customHeight="1">
      <c r="A126" s="29" t="inlineStr">
        <is>
          <t>OpenDART_fnlttSinglAcntAll</t>
        </is>
      </c>
      <c r="B126" s="29" t="inlineStr">
        <is>
          <t>00161383</t>
        </is>
      </c>
      <c r="C126" s="29" t="inlineStr">
        <is>
          <t>한미반도체</t>
        </is>
      </c>
      <c r="D126" s="29" t="inlineStr">
        <is>
          <t>hanmi</t>
        </is>
      </c>
      <c r="E126" s="29" t="inlineStr">
        <is>
          <t>042700</t>
        </is>
      </c>
      <c r="F126" s="29" t="inlineStr">
        <is>
          <t>2021</t>
        </is>
      </c>
      <c r="G126" s="29" t="inlineStr">
        <is>
          <t>CFS</t>
        </is>
      </c>
      <c r="H126" s="29" t="inlineStr">
        <is>
          <t>CF</t>
        </is>
      </c>
      <c r="I126" s="29" t="inlineStr">
        <is>
          <t>현금흐름표</t>
        </is>
      </c>
      <c r="J126" s="29" t="inlineStr">
        <is>
          <t>dart_PurchaseOfInvestmentProperty</t>
        </is>
      </c>
      <c r="K126" s="29" t="inlineStr">
        <is>
          <t>투자부동산의 취득</t>
        </is>
      </c>
      <c r="L126" s="29" t="inlineStr">
        <is>
          <t>-</t>
        </is>
      </c>
      <c r="M126" s="29" t="inlineStr">
        <is>
          <t>제 42 기</t>
        </is>
      </c>
      <c r="N126" s="29" t="inlineStr">
        <is>
          <t>0.0</t>
        </is>
      </c>
      <c r="O126" s="29" t="inlineStr">
        <is>
          <t>0.0</t>
        </is>
      </c>
      <c r="P126" s="29" t="inlineStr">
        <is>
          <t>KRW</t>
        </is>
      </c>
      <c r="Q126" s="29" t="inlineStr">
        <is>
          <t>54</t>
        </is>
      </c>
    </row>
    <row r="127" ht="24" customHeight="1">
      <c r="A127" s="24" t="inlineStr">
        <is>
          <t>OpenDART_fnlttSinglAcntAll</t>
        </is>
      </c>
      <c r="B127" s="24" t="inlineStr">
        <is>
          <t>00161383</t>
        </is>
      </c>
      <c r="C127" s="24" t="inlineStr">
        <is>
          <t>한미반도체</t>
        </is>
      </c>
      <c r="D127" s="24" t="inlineStr">
        <is>
          <t>hanmi</t>
        </is>
      </c>
      <c r="E127" s="24" t="inlineStr">
        <is>
          <t>042700</t>
        </is>
      </c>
      <c r="F127" s="24" t="inlineStr">
        <is>
          <t>2021</t>
        </is>
      </c>
      <c r="G127" s="24" t="inlineStr">
        <is>
          <t>CFS</t>
        </is>
      </c>
      <c r="H127" s="24" t="inlineStr">
        <is>
          <t>CF</t>
        </is>
      </c>
      <c r="I127" s="24" t="inlineStr">
        <is>
          <t>현금흐름표</t>
        </is>
      </c>
      <c r="J127" s="24" t="inlineStr">
        <is>
          <t>ifrs-full_CashFlowsFromUsedInFinancingActivities</t>
        </is>
      </c>
      <c r="K127" s="24" t="inlineStr">
        <is>
          <t>재무활동현금흐름</t>
        </is>
      </c>
      <c r="L127" s="24" t="inlineStr">
        <is>
          <t>-</t>
        </is>
      </c>
      <c r="M127" s="24" t="inlineStr">
        <is>
          <t>제 42 기</t>
        </is>
      </c>
      <c r="N127" s="24" t="inlineStr">
        <is>
          <t>-19856287040.0</t>
        </is>
      </c>
      <c r="O127" s="24" t="inlineStr">
        <is>
          <t>-15095281813.0</t>
        </is>
      </c>
      <c r="P127" s="24" t="inlineStr">
        <is>
          <t>KRW</t>
        </is>
      </c>
      <c r="Q127" s="24" t="inlineStr">
        <is>
          <t>55</t>
        </is>
      </c>
    </row>
    <row r="128" ht="24" customHeight="1">
      <c r="A128" s="29" t="inlineStr">
        <is>
          <t>OpenDART_fnlttSinglAcntAll</t>
        </is>
      </c>
      <c r="B128" s="29" t="inlineStr">
        <is>
          <t>00161383</t>
        </is>
      </c>
      <c r="C128" s="29" t="inlineStr">
        <is>
          <t>한미반도체</t>
        </is>
      </c>
      <c r="D128" s="29" t="inlineStr">
        <is>
          <t>hanmi</t>
        </is>
      </c>
      <c r="E128" s="29" t="inlineStr">
        <is>
          <t>042700</t>
        </is>
      </c>
      <c r="F128" s="29" t="inlineStr">
        <is>
          <t>2021</t>
        </is>
      </c>
      <c r="G128" s="29" t="inlineStr">
        <is>
          <t>CFS</t>
        </is>
      </c>
      <c r="H128" s="29" t="inlineStr">
        <is>
          <t>CF</t>
        </is>
      </c>
      <c r="I128" s="29" t="inlineStr">
        <is>
          <t>현금흐름표</t>
        </is>
      </c>
      <c r="J128" s="29" t="inlineStr">
        <is>
          <t>dart_ProceedsFromShortTermBorrowings</t>
        </is>
      </c>
      <c r="K128" s="29" t="inlineStr">
        <is>
          <t>단기차입금의 증가</t>
        </is>
      </c>
      <c r="L128" s="29" t="inlineStr">
        <is>
          <t>-</t>
        </is>
      </c>
      <c r="M128" s="29" t="inlineStr">
        <is>
          <t>제 42 기</t>
        </is>
      </c>
      <c r="N128" s="29" t="inlineStr">
        <is>
          <t>5000000000.0</t>
        </is>
      </c>
      <c r="O128" s="29" t="inlineStr">
        <is>
          <t>20000000000.0</t>
        </is>
      </c>
      <c r="P128" s="29" t="inlineStr">
        <is>
          <t>KRW</t>
        </is>
      </c>
      <c r="Q128" s="29" t="inlineStr">
        <is>
          <t>56</t>
        </is>
      </c>
    </row>
    <row r="129" ht="24" customHeight="1">
      <c r="A129" s="24" t="inlineStr">
        <is>
          <t>OpenDART_fnlttSinglAcntAll</t>
        </is>
      </c>
      <c r="B129" s="24" t="inlineStr">
        <is>
          <t>00161383</t>
        </is>
      </c>
      <c r="C129" s="24" t="inlineStr">
        <is>
          <t>한미반도체</t>
        </is>
      </c>
      <c r="D129" s="24" t="inlineStr">
        <is>
          <t>hanmi</t>
        </is>
      </c>
      <c r="E129" s="24" t="inlineStr">
        <is>
          <t>042700</t>
        </is>
      </c>
      <c r="F129" s="24" t="inlineStr">
        <is>
          <t>2021</t>
        </is>
      </c>
      <c r="G129" s="24" t="inlineStr">
        <is>
          <t>CFS</t>
        </is>
      </c>
      <c r="H129" s="24" t="inlineStr">
        <is>
          <t>CF</t>
        </is>
      </c>
      <c r="I129" s="24" t="inlineStr">
        <is>
          <t>현금흐름표</t>
        </is>
      </c>
      <c r="J129" s="24" t="inlineStr">
        <is>
          <t>ifrs-full_DividendsPaidClassifiedAsFinancingActivities</t>
        </is>
      </c>
      <c r="K129" s="24" t="inlineStr">
        <is>
          <t>배당금지급</t>
        </is>
      </c>
      <c r="L129" s="24" t="inlineStr">
        <is>
          <t>-</t>
        </is>
      </c>
      <c r="M129" s="24" t="inlineStr">
        <is>
          <t>제 42 기</t>
        </is>
      </c>
      <c r="N129" s="24" t="inlineStr">
        <is>
          <t>19671513600.0</t>
        </is>
      </c>
      <c r="O129" s="24" t="inlineStr">
        <is>
          <t>5024063400.0</t>
        </is>
      </c>
      <c r="P129" s="24" t="inlineStr">
        <is>
          <t>KRW</t>
        </is>
      </c>
      <c r="Q129" s="24" t="inlineStr">
        <is>
          <t>57</t>
        </is>
      </c>
    </row>
    <row r="130" ht="24" customHeight="1">
      <c r="A130" s="29" t="inlineStr">
        <is>
          <t>OpenDART_fnlttSinglAcntAll</t>
        </is>
      </c>
      <c r="B130" s="29" t="inlineStr">
        <is>
          <t>00161383</t>
        </is>
      </c>
      <c r="C130" s="29" t="inlineStr">
        <is>
          <t>한미반도체</t>
        </is>
      </c>
      <c r="D130" s="29" t="inlineStr">
        <is>
          <t>hanmi</t>
        </is>
      </c>
      <c r="E130" s="29" t="inlineStr">
        <is>
          <t>042700</t>
        </is>
      </c>
      <c r="F130" s="29" t="inlineStr">
        <is>
          <t>2021</t>
        </is>
      </c>
      <c r="G130" s="29" t="inlineStr">
        <is>
          <t>CFS</t>
        </is>
      </c>
      <c r="H130" s="29" t="inlineStr">
        <is>
          <t>CF</t>
        </is>
      </c>
      <c r="I130" s="29" t="inlineStr">
        <is>
          <t>현금흐름표</t>
        </is>
      </c>
      <c r="J130" s="29" t="inlineStr">
        <is>
          <t>dart_RepaymentsOfShortTermBorrowings</t>
        </is>
      </c>
      <c r="K130" s="29" t="inlineStr">
        <is>
          <t>단기차입금의 상환</t>
        </is>
      </c>
      <c r="L130" s="29" t="inlineStr">
        <is>
          <t>-</t>
        </is>
      </c>
      <c r="M130" s="29" t="inlineStr">
        <is>
          <t>제 42 기</t>
        </is>
      </c>
      <c r="N130" s="29" t="inlineStr">
        <is>
          <t>5000000000.0</t>
        </is>
      </c>
      <c r="O130" s="29" t="inlineStr">
        <is>
          <t>20000000000.0</t>
        </is>
      </c>
      <c r="P130" s="29" t="inlineStr">
        <is>
          <t>KRW</t>
        </is>
      </c>
      <c r="Q130" s="29" t="inlineStr">
        <is>
          <t>58</t>
        </is>
      </c>
    </row>
    <row r="131" ht="24" customHeight="1">
      <c r="A131" s="24" t="inlineStr">
        <is>
          <t>OpenDART_fnlttSinglAcntAll</t>
        </is>
      </c>
      <c r="B131" s="24" t="inlineStr">
        <is>
          <t>00161383</t>
        </is>
      </c>
      <c r="C131" s="24" t="inlineStr">
        <is>
          <t>한미반도체</t>
        </is>
      </c>
      <c r="D131" s="24" t="inlineStr">
        <is>
          <t>hanmi</t>
        </is>
      </c>
      <c r="E131" s="24" t="inlineStr">
        <is>
          <t>042700</t>
        </is>
      </c>
      <c r="F131" s="24" t="inlineStr">
        <is>
          <t>2021</t>
        </is>
      </c>
      <c r="G131" s="24" t="inlineStr">
        <is>
          <t>CFS</t>
        </is>
      </c>
      <c r="H131" s="24" t="inlineStr">
        <is>
          <t>CF</t>
        </is>
      </c>
      <c r="I131" s="24" t="inlineStr">
        <is>
          <t>현금흐름표</t>
        </is>
      </c>
      <c r="J131" s="24" t="inlineStr">
        <is>
          <t>dart_AcquisitionOfTreasuryShares</t>
        </is>
      </c>
      <c r="K131" s="24" t="inlineStr">
        <is>
          <t>자기주식의 취득</t>
        </is>
      </c>
      <c r="L131" s="24" t="inlineStr">
        <is>
          <t>-</t>
        </is>
      </c>
      <c r="M131" s="24" t="inlineStr">
        <is>
          <t>제 42 기</t>
        </is>
      </c>
      <c r="N131" s="24" t="inlineStr">
        <is>
          <t>0.0</t>
        </is>
      </c>
      <c r="O131" s="24" t="inlineStr">
        <is>
          <t>9977659640.0</t>
        </is>
      </c>
      <c r="P131" s="24" t="inlineStr">
        <is>
          <t>KRW</t>
        </is>
      </c>
      <c r="Q131" s="24" t="inlineStr">
        <is>
          <t>59</t>
        </is>
      </c>
    </row>
    <row r="132" ht="24" customHeight="1">
      <c r="A132" s="29" t="inlineStr">
        <is>
          <t>OpenDART_fnlttSinglAcntAll</t>
        </is>
      </c>
      <c r="B132" s="29" t="inlineStr">
        <is>
          <t>00161383</t>
        </is>
      </c>
      <c r="C132" s="29" t="inlineStr">
        <is>
          <t>한미반도체</t>
        </is>
      </c>
      <c r="D132" s="29" t="inlineStr">
        <is>
          <t>hanmi</t>
        </is>
      </c>
      <c r="E132" s="29" t="inlineStr">
        <is>
          <t>042700</t>
        </is>
      </c>
      <c r="F132" s="29" t="inlineStr">
        <is>
          <t>2021</t>
        </is>
      </c>
      <c r="G132" s="29" t="inlineStr">
        <is>
          <t>CFS</t>
        </is>
      </c>
      <c r="H132" s="29" t="inlineStr">
        <is>
          <t>CF</t>
        </is>
      </c>
      <c r="I132" s="29" t="inlineStr">
        <is>
          <t>현금흐름표</t>
        </is>
      </c>
      <c r="J132" s="29" t="inlineStr">
        <is>
          <t>dart_RepaymentsOfExchangeableBond</t>
        </is>
      </c>
      <c r="K132" s="29" t="inlineStr">
        <is>
          <t>교환사채의상환</t>
        </is>
      </c>
      <c r="L132" s="29" t="inlineStr">
        <is>
          <t>-</t>
        </is>
      </c>
      <c r="M132" s="29" t="inlineStr">
        <is>
          <t>제 42 기</t>
        </is>
      </c>
      <c r="N132" s="29" t="inlineStr">
        <is>
          <t>0.0</t>
        </is>
      </c>
      <c r="O132" s="29" t="inlineStr">
        <is>
          <t>0.0</t>
        </is>
      </c>
      <c r="P132" s="29" t="inlineStr">
        <is>
          <t>KRW</t>
        </is>
      </c>
      <c r="Q132" s="29" t="inlineStr">
        <is>
          <t>60</t>
        </is>
      </c>
    </row>
    <row r="133" ht="24" customHeight="1">
      <c r="A133" s="24" t="inlineStr">
        <is>
          <t>OpenDART_fnlttSinglAcntAll</t>
        </is>
      </c>
      <c r="B133" s="24" t="inlineStr">
        <is>
          <t>00161383</t>
        </is>
      </c>
      <c r="C133" s="24" t="inlineStr">
        <is>
          <t>한미반도체</t>
        </is>
      </c>
      <c r="D133" s="24" t="inlineStr">
        <is>
          <t>hanmi</t>
        </is>
      </c>
      <c r="E133" s="24" t="inlineStr">
        <is>
          <t>042700</t>
        </is>
      </c>
      <c r="F133" s="24" t="inlineStr">
        <is>
          <t>2021</t>
        </is>
      </c>
      <c r="G133" s="24" t="inlineStr">
        <is>
          <t>CFS</t>
        </is>
      </c>
      <c r="H133" s="24" t="inlineStr">
        <is>
          <t>CF</t>
        </is>
      </c>
      <c r="I133" s="24" t="inlineStr">
        <is>
          <t>현금흐름표</t>
        </is>
      </c>
      <c r="J133" s="24" t="inlineStr">
        <is>
          <t>ifrs-full_PaymentsOfFinanceLeaseLiabilitiesClassifiedAsFinancingActivities</t>
        </is>
      </c>
      <c r="K133" s="24" t="inlineStr">
        <is>
          <t>리스부채의상환</t>
        </is>
      </c>
      <c r="L133" s="24" t="inlineStr">
        <is>
          <t>-</t>
        </is>
      </c>
      <c r="M133" s="24" t="inlineStr">
        <is>
          <t>제 42 기</t>
        </is>
      </c>
      <c r="N133" s="24" t="inlineStr">
        <is>
          <t>184773440.0</t>
        </is>
      </c>
      <c r="O133" s="24" t="inlineStr">
        <is>
          <t>93558773.0</t>
        </is>
      </c>
      <c r="P133" s="24" t="inlineStr">
        <is>
          <t>KRW</t>
        </is>
      </c>
      <c r="Q133" s="24" t="inlineStr">
        <is>
          <t>61</t>
        </is>
      </c>
    </row>
    <row r="134" ht="24" customHeight="1">
      <c r="A134" s="29" t="inlineStr">
        <is>
          <t>OpenDART_fnlttSinglAcntAll</t>
        </is>
      </c>
      <c r="B134" s="29" t="inlineStr">
        <is>
          <t>00161383</t>
        </is>
      </c>
      <c r="C134" s="29" t="inlineStr">
        <is>
          <t>한미반도체</t>
        </is>
      </c>
      <c r="D134" s="29" t="inlineStr">
        <is>
          <t>hanmi</t>
        </is>
      </c>
      <c r="E134" s="29" t="inlineStr">
        <is>
          <t>042700</t>
        </is>
      </c>
      <c r="F134" s="29" t="inlineStr">
        <is>
          <t>2021</t>
        </is>
      </c>
      <c r="G134" s="29" t="inlineStr">
        <is>
          <t>CFS</t>
        </is>
      </c>
      <c r="H134" s="29" t="inlineStr">
        <is>
          <t>CF</t>
        </is>
      </c>
      <c r="I134" s="29" t="inlineStr">
        <is>
          <t>현금흐름표</t>
        </is>
      </c>
      <c r="J134" s="29" t="inlineStr">
        <is>
          <t>ifrs-full_IncreaseDecreaseInCashAndCashEquivalents</t>
        </is>
      </c>
      <c r="K134" s="29" t="inlineStr">
        <is>
          <t>현금및현금성자산의순증가(감소)</t>
        </is>
      </c>
      <c r="L134" s="29" t="inlineStr">
        <is>
          <t>-</t>
        </is>
      </c>
      <c r="M134" s="29" t="inlineStr">
        <is>
          <t>제 42 기</t>
        </is>
      </c>
      <c r="N134" s="29" t="inlineStr">
        <is>
          <t>-32534717964.0</t>
        </is>
      </c>
      <c r="O134" s="29" t="inlineStr">
        <is>
          <t>34056042659.0</t>
        </is>
      </c>
      <c r="P134" s="29" t="inlineStr">
        <is>
          <t>KRW</t>
        </is>
      </c>
      <c r="Q134" s="29" t="inlineStr">
        <is>
          <t>62</t>
        </is>
      </c>
    </row>
    <row r="135" ht="24" customHeight="1">
      <c r="A135" s="24" t="inlineStr">
        <is>
          <t>OpenDART_fnlttSinglAcntAll</t>
        </is>
      </c>
      <c r="B135" s="24" t="inlineStr">
        <is>
          <t>00161383</t>
        </is>
      </c>
      <c r="C135" s="24" t="inlineStr">
        <is>
          <t>한미반도체</t>
        </is>
      </c>
      <c r="D135" s="24" t="inlineStr">
        <is>
          <t>hanmi</t>
        </is>
      </c>
      <c r="E135" s="24" t="inlineStr">
        <is>
          <t>042700</t>
        </is>
      </c>
      <c r="F135" s="24" t="inlineStr">
        <is>
          <t>2021</t>
        </is>
      </c>
      <c r="G135" s="24" t="inlineStr">
        <is>
          <t>CFS</t>
        </is>
      </c>
      <c r="H135" s="24" t="inlineStr">
        <is>
          <t>CF</t>
        </is>
      </c>
      <c r="I135" s="24" t="inlineStr">
        <is>
          <t>현금흐름표</t>
        </is>
      </c>
      <c r="J135" s="24" t="inlineStr">
        <is>
          <t>dart_CashAndCashEquivalentsAtBeginningOfPeriodCf</t>
        </is>
      </c>
      <c r="K135" s="24" t="inlineStr">
        <is>
          <t>기초현금및현금성자산</t>
        </is>
      </c>
      <c r="L135" s="24" t="inlineStr">
        <is>
          <t>-</t>
        </is>
      </c>
      <c r="M135" s="24" t="inlineStr">
        <is>
          <t>제 42 기</t>
        </is>
      </c>
      <c r="N135" s="24" t="inlineStr">
        <is>
          <t>81154267884.0</t>
        </is>
      </c>
      <c r="O135" s="24" t="inlineStr">
        <is>
          <t>47806100487.0</t>
        </is>
      </c>
      <c r="P135" s="24" t="inlineStr">
        <is>
          <t>KRW</t>
        </is>
      </c>
      <c r="Q135" s="24" t="inlineStr">
        <is>
          <t>63</t>
        </is>
      </c>
    </row>
    <row r="136" ht="24" customHeight="1">
      <c r="A136" s="29" t="inlineStr">
        <is>
          <t>OpenDART_fnlttSinglAcntAll</t>
        </is>
      </c>
      <c r="B136" s="29" t="inlineStr">
        <is>
          <t>00161383</t>
        </is>
      </c>
      <c r="C136" s="29" t="inlineStr">
        <is>
          <t>한미반도체</t>
        </is>
      </c>
      <c r="D136" s="29" t="inlineStr">
        <is>
          <t>hanmi</t>
        </is>
      </c>
      <c r="E136" s="29" t="inlineStr">
        <is>
          <t>042700</t>
        </is>
      </c>
      <c r="F136" s="29" t="inlineStr">
        <is>
          <t>2021</t>
        </is>
      </c>
      <c r="G136" s="29" t="inlineStr">
        <is>
          <t>CFS</t>
        </is>
      </c>
      <c r="H136" s="29" t="inlineStr">
        <is>
          <t>CF</t>
        </is>
      </c>
      <c r="I136" s="29" t="inlineStr">
        <is>
          <t>현금흐름표</t>
        </is>
      </c>
      <c r="J136" s="29" t="inlineStr">
        <is>
          <t>-표준계정코드 미사용-</t>
        </is>
      </c>
      <c r="K136" s="29" t="inlineStr">
        <is>
          <t>외화표시현금및현금성자산의환율변동효과</t>
        </is>
      </c>
      <c r="L136" s="29" t="inlineStr">
        <is>
          <t>-</t>
        </is>
      </c>
      <c r="M136" s="29" t="inlineStr">
        <is>
          <t>제 42 기</t>
        </is>
      </c>
      <c r="N136" s="29" t="inlineStr">
        <is>
          <t>988914877.0</t>
        </is>
      </c>
      <c r="O136" s="29" t="inlineStr">
        <is>
          <t>-707875262.0</t>
        </is>
      </c>
      <c r="P136" s="29" t="inlineStr">
        <is>
          <t>KRW</t>
        </is>
      </c>
      <c r="Q136" s="29" t="inlineStr">
        <is>
          <t>64</t>
        </is>
      </c>
    </row>
    <row r="137" ht="24" customHeight="1">
      <c r="A137" s="24" t="inlineStr">
        <is>
          <t>OpenDART_fnlttSinglAcntAll</t>
        </is>
      </c>
      <c r="B137" s="24" t="inlineStr">
        <is>
          <t>00161383</t>
        </is>
      </c>
      <c r="C137" s="24" t="inlineStr">
        <is>
          <t>한미반도체</t>
        </is>
      </c>
      <c r="D137" s="24" t="inlineStr">
        <is>
          <t>hanmi</t>
        </is>
      </c>
      <c r="E137" s="24" t="inlineStr">
        <is>
          <t>042700</t>
        </is>
      </c>
      <c r="F137" s="24" t="inlineStr">
        <is>
          <t>2021</t>
        </is>
      </c>
      <c r="G137" s="24" t="inlineStr">
        <is>
          <t>CFS</t>
        </is>
      </c>
      <c r="H137" s="24" t="inlineStr">
        <is>
          <t>CF</t>
        </is>
      </c>
      <c r="I137" s="24" t="inlineStr">
        <is>
          <t>현금흐름표</t>
        </is>
      </c>
      <c r="J137" s="24" t="inlineStr">
        <is>
          <t>dart_CashAndCashEquivalentsAtEndOfPeriodCf</t>
        </is>
      </c>
      <c r="K137" s="24" t="inlineStr">
        <is>
          <t>기말현금및현금성자산</t>
        </is>
      </c>
      <c r="L137" s="24" t="inlineStr">
        <is>
          <t>-</t>
        </is>
      </c>
      <c r="M137" s="24" t="inlineStr">
        <is>
          <t>제 42 기</t>
        </is>
      </c>
      <c r="N137" s="24" t="inlineStr">
        <is>
          <t>49608464797.0</t>
        </is>
      </c>
      <c r="O137" s="24" t="inlineStr">
        <is>
          <t>81154267884.0</t>
        </is>
      </c>
      <c r="P137" s="24" t="inlineStr">
        <is>
          <t>KRW</t>
        </is>
      </c>
      <c r="Q137" s="24" t="inlineStr">
        <is>
          <t>65</t>
        </is>
      </c>
    </row>
    <row r="138" ht="24" customHeight="1">
      <c r="A138" s="29" t="inlineStr">
        <is>
          <t>OpenDART_fnlttSinglAcntAll</t>
        </is>
      </c>
      <c r="B138" s="29" t="inlineStr">
        <is>
          <t>00161383</t>
        </is>
      </c>
      <c r="C138" s="29" t="inlineStr">
        <is>
          <t>한미반도체</t>
        </is>
      </c>
      <c r="D138" s="29" t="inlineStr">
        <is>
          <t>hanmi</t>
        </is>
      </c>
      <c r="E138" s="29" t="inlineStr">
        <is>
          <t>042700</t>
        </is>
      </c>
      <c r="F138" s="29" t="inlineStr">
        <is>
          <t>2021</t>
        </is>
      </c>
      <c r="G138" s="29" t="inlineStr">
        <is>
          <t>CFS</t>
        </is>
      </c>
      <c r="H138" s="29" t="inlineStr">
        <is>
          <t>SCE</t>
        </is>
      </c>
      <c r="I138" s="29" t="inlineStr">
        <is>
          <t>자본변동표</t>
        </is>
      </c>
      <c r="J138" s="29" t="inlineStr">
        <is>
          <t>dart_EquityAtBeginningOfPeriod</t>
        </is>
      </c>
      <c r="K138" s="29" t="inlineStr">
        <is>
          <t>기초자본</t>
        </is>
      </c>
      <c r="L138" s="29" t="inlineStr">
        <is>
          <t>자본 [member]|지배기업지분|자본금 [member]</t>
        </is>
      </c>
      <c r="M138" s="29" t="inlineStr">
        <is>
          <t>제 42 기</t>
        </is>
      </c>
      <c r="N138" s="29" t="inlineStr">
        <is>
          <t>12716420500.0</t>
        </is>
      </c>
      <c r="O138" s="29" t="inlineStr">
        <is>
          <t>12716420500.0</t>
        </is>
      </c>
      <c r="P138" s="29" t="inlineStr">
        <is>
          <t>KRW</t>
        </is>
      </c>
      <c r="Q138" s="29" t="inlineStr">
        <is>
          <t>1</t>
        </is>
      </c>
    </row>
    <row r="139" ht="24" customHeight="1">
      <c r="A139" s="24" t="inlineStr">
        <is>
          <t>OpenDART_fnlttSinglAcntAll</t>
        </is>
      </c>
      <c r="B139" s="24" t="inlineStr">
        <is>
          <t>00161383</t>
        </is>
      </c>
      <c r="C139" s="24" t="inlineStr">
        <is>
          <t>한미반도체</t>
        </is>
      </c>
      <c r="D139" s="24" t="inlineStr">
        <is>
          <t>hanmi</t>
        </is>
      </c>
      <c r="E139" s="24" t="inlineStr">
        <is>
          <t>042700</t>
        </is>
      </c>
      <c r="F139" s="24" t="inlineStr">
        <is>
          <t>2021</t>
        </is>
      </c>
      <c r="G139" s="24" t="inlineStr">
        <is>
          <t>CFS</t>
        </is>
      </c>
      <c r="H139" s="24" t="inlineStr">
        <is>
          <t>SCE</t>
        </is>
      </c>
      <c r="I139" s="24" t="inlineStr">
        <is>
          <t>자본변동표</t>
        </is>
      </c>
      <c r="J139" s="24" t="inlineStr">
        <is>
          <t>dart_EquityAtBeginningOfPeriod</t>
        </is>
      </c>
      <c r="K139" s="24" t="inlineStr">
        <is>
          <t>기초자본</t>
        </is>
      </c>
      <c r="L139" s="24" t="inlineStr">
        <is>
          <t>자본 [member]|지배기업지분|이익잉여금 [member]</t>
        </is>
      </c>
      <c r="M139" s="24" t="inlineStr">
        <is>
          <t>제 42 기</t>
        </is>
      </c>
      <c r="N139" s="24" t="inlineStr">
        <is>
          <t>215235788066.0</t>
        </is>
      </c>
      <c r="O139" s="24" t="inlineStr">
        <is>
          <t>208881643066.0</t>
        </is>
      </c>
      <c r="P139" s="24" t="inlineStr">
        <is>
          <t>KRW</t>
        </is>
      </c>
      <c r="Q139" s="24" t="inlineStr">
        <is>
          <t>1</t>
        </is>
      </c>
    </row>
    <row r="140" ht="24" customHeight="1">
      <c r="A140" s="29" t="inlineStr">
        <is>
          <t>OpenDART_fnlttSinglAcntAll</t>
        </is>
      </c>
      <c r="B140" s="29" t="inlineStr">
        <is>
          <t>00161383</t>
        </is>
      </c>
      <c r="C140" s="29" t="inlineStr">
        <is>
          <t>한미반도체</t>
        </is>
      </c>
      <c r="D140" s="29" t="inlineStr">
        <is>
          <t>hanmi</t>
        </is>
      </c>
      <c r="E140" s="29" t="inlineStr">
        <is>
          <t>042700</t>
        </is>
      </c>
      <c r="F140" s="29" t="inlineStr">
        <is>
          <t>2021</t>
        </is>
      </c>
      <c r="G140" s="29" t="inlineStr">
        <is>
          <t>CFS</t>
        </is>
      </c>
      <c r="H140" s="29" t="inlineStr">
        <is>
          <t>SCE</t>
        </is>
      </c>
      <c r="I140" s="29" t="inlineStr">
        <is>
          <t>자본변동표</t>
        </is>
      </c>
      <c r="J140" s="29" t="inlineStr">
        <is>
          <t>dart_EquityAtBeginningOfPeriod</t>
        </is>
      </c>
      <c r="K140" s="29" t="inlineStr">
        <is>
          <t>기초자본</t>
        </is>
      </c>
      <c r="L140" s="29" t="inlineStr">
        <is>
          <t>자본 [member]|지배기업지분|기타포괄손익누계액 [member]</t>
        </is>
      </c>
      <c r="M140" s="29" t="inlineStr">
        <is>
          <t>제 42 기</t>
        </is>
      </c>
      <c r="N140" s="29" t="inlineStr">
        <is>
          <t>-135823751.0</t>
        </is>
      </c>
      <c r="O140" s="29" t="inlineStr">
        <is>
          <t>-74712332.0</t>
        </is>
      </c>
      <c r="P140" s="29" t="inlineStr">
        <is>
          <t>KRW</t>
        </is>
      </c>
      <c r="Q140" s="29" t="inlineStr">
        <is>
          <t>1</t>
        </is>
      </c>
    </row>
    <row r="141" ht="24" customHeight="1">
      <c r="A141" s="24" t="inlineStr">
        <is>
          <t>OpenDART_fnlttSinglAcntAll</t>
        </is>
      </c>
      <c r="B141" s="24" t="inlineStr">
        <is>
          <t>00161383</t>
        </is>
      </c>
      <c r="C141" s="24" t="inlineStr">
        <is>
          <t>한미반도체</t>
        </is>
      </c>
      <c r="D141" s="24" t="inlineStr">
        <is>
          <t>hanmi</t>
        </is>
      </c>
      <c r="E141" s="24" t="inlineStr">
        <is>
          <t>042700</t>
        </is>
      </c>
      <c r="F141" s="24" t="inlineStr">
        <is>
          <t>2021</t>
        </is>
      </c>
      <c r="G141" s="24" t="inlineStr">
        <is>
          <t>CFS</t>
        </is>
      </c>
      <c r="H141" s="24" t="inlineStr">
        <is>
          <t>SCE</t>
        </is>
      </c>
      <c r="I141" s="24" t="inlineStr">
        <is>
          <t>자본변동표</t>
        </is>
      </c>
      <c r="J141" s="24" t="inlineStr">
        <is>
          <t>dart_EquityAtBeginningOfPeriod</t>
        </is>
      </c>
      <c r="K141" s="24" t="inlineStr">
        <is>
          <t>기초자본</t>
        </is>
      </c>
      <c r="L141" s="24" t="inlineStr">
        <is>
          <t>자본 [member]|지배기업지분|기타자본구성요소 [member]</t>
        </is>
      </c>
      <c r="M141" s="24" t="inlineStr">
        <is>
          <t>제 42 기</t>
        </is>
      </c>
      <c r="N141" s="24" t="inlineStr">
        <is>
          <t>-18615800510.0</t>
        </is>
      </c>
      <c r="O141" s="24" t="inlineStr">
        <is>
          <t>-49708107928.0</t>
        </is>
      </c>
      <c r="P141" s="24" t="inlineStr">
        <is>
          <t>KRW</t>
        </is>
      </c>
      <c r="Q141" s="24" t="inlineStr">
        <is>
          <t>1</t>
        </is>
      </c>
    </row>
    <row r="142" ht="24" customHeight="1">
      <c r="A142" s="29" t="inlineStr">
        <is>
          <t>OpenDART_fnlttSinglAcntAll</t>
        </is>
      </c>
      <c r="B142" s="29" t="inlineStr">
        <is>
          <t>00161383</t>
        </is>
      </c>
      <c r="C142" s="29" t="inlineStr">
        <is>
          <t>한미반도체</t>
        </is>
      </c>
      <c r="D142" s="29" t="inlineStr">
        <is>
          <t>hanmi</t>
        </is>
      </c>
      <c r="E142" s="29" t="inlineStr">
        <is>
          <t>042700</t>
        </is>
      </c>
      <c r="F142" s="29" t="inlineStr">
        <is>
          <t>2021</t>
        </is>
      </c>
      <c r="G142" s="29" t="inlineStr">
        <is>
          <t>CFS</t>
        </is>
      </c>
      <c r="H142" s="29" t="inlineStr">
        <is>
          <t>SCE</t>
        </is>
      </c>
      <c r="I142" s="29" t="inlineStr">
        <is>
          <t>자본변동표</t>
        </is>
      </c>
      <c r="J142" s="29" t="inlineStr">
        <is>
          <t>dart_EquityAtBeginningOfPeriod</t>
        </is>
      </c>
      <c r="K142" s="29" t="inlineStr">
        <is>
          <t>기초자본</t>
        </is>
      </c>
      <c r="L142" s="29" t="inlineStr">
        <is>
          <t>자본 [member]|지배기업지분</t>
        </is>
      </c>
      <c r="M142" s="29" t="inlineStr">
        <is>
          <t>제 42 기</t>
        </is>
      </c>
      <c r="N142" s="29" t="inlineStr">
        <is>
          <t>257090542803.0</t>
        </is>
      </c>
      <c r="O142" s="29" t="inlineStr">
        <is>
          <t>219705201804.0</t>
        </is>
      </c>
      <c r="P142" s="29" t="inlineStr">
        <is>
          <t>KRW</t>
        </is>
      </c>
      <c r="Q142" s="29" t="inlineStr">
        <is>
          <t>1</t>
        </is>
      </c>
    </row>
    <row r="143" ht="24" customHeight="1">
      <c r="A143" s="24" t="inlineStr">
        <is>
          <t>OpenDART_fnlttSinglAcntAll</t>
        </is>
      </c>
      <c r="B143" s="24" t="inlineStr">
        <is>
          <t>00161383</t>
        </is>
      </c>
      <c r="C143" s="24" t="inlineStr">
        <is>
          <t>한미반도체</t>
        </is>
      </c>
      <c r="D143" s="24" t="inlineStr">
        <is>
          <t>hanmi</t>
        </is>
      </c>
      <c r="E143" s="24" t="inlineStr">
        <is>
          <t>042700</t>
        </is>
      </c>
      <c r="F143" s="24" t="inlineStr">
        <is>
          <t>2021</t>
        </is>
      </c>
      <c r="G143" s="24" t="inlineStr">
        <is>
          <t>CFS</t>
        </is>
      </c>
      <c r="H143" s="24" t="inlineStr">
        <is>
          <t>SCE</t>
        </is>
      </c>
      <c r="I143" s="24" t="inlineStr">
        <is>
          <t>자본변동표</t>
        </is>
      </c>
      <c r="J143" s="24" t="inlineStr">
        <is>
          <t>dart_EquityAtBeginningOfPeriod</t>
        </is>
      </c>
      <c r="K143" s="24" t="inlineStr">
        <is>
          <t>기초자본</t>
        </is>
      </c>
      <c r="L143" s="24" t="inlineStr">
        <is>
          <t>연결재무제표 [member]</t>
        </is>
      </c>
      <c r="M143" s="24" t="inlineStr">
        <is>
          <t>제 42 기</t>
        </is>
      </c>
      <c r="N143" s="24" t="inlineStr">
        <is>
          <t>257090542803.0</t>
        </is>
      </c>
      <c r="O143" s="24" t="inlineStr">
        <is>
          <t>219705201804.0</t>
        </is>
      </c>
      <c r="P143" s="24" t="inlineStr">
        <is>
          <t>KRW</t>
        </is>
      </c>
      <c r="Q143" s="24" t="inlineStr">
        <is>
          <t>1</t>
        </is>
      </c>
    </row>
    <row r="144" ht="24" customHeight="1">
      <c r="A144" s="29" t="inlineStr">
        <is>
          <t>OpenDART_fnlttSinglAcntAll</t>
        </is>
      </c>
      <c r="B144" s="29" t="inlineStr">
        <is>
          <t>00161383</t>
        </is>
      </c>
      <c r="C144" s="29" t="inlineStr">
        <is>
          <t>한미반도체</t>
        </is>
      </c>
      <c r="D144" s="29" t="inlineStr">
        <is>
          <t>hanmi</t>
        </is>
      </c>
      <c r="E144" s="29" t="inlineStr">
        <is>
          <t>042700</t>
        </is>
      </c>
      <c r="F144" s="29" t="inlineStr">
        <is>
          <t>2021</t>
        </is>
      </c>
      <c r="G144" s="29" t="inlineStr">
        <is>
          <t>CFS</t>
        </is>
      </c>
      <c r="H144" s="29" t="inlineStr">
        <is>
          <t>SCE</t>
        </is>
      </c>
      <c r="I144" s="29" t="inlineStr">
        <is>
          <t>자본변동표</t>
        </is>
      </c>
      <c r="J144" s="29" t="inlineStr">
        <is>
          <t>dart_EquityAtBeginningOfPeriod</t>
        </is>
      </c>
      <c r="K144" s="29" t="inlineStr">
        <is>
          <t>기초자본</t>
        </is>
      </c>
      <c r="L144" s="29" t="inlineStr">
        <is>
          <t>자본 [member]|지배기업지분|자본잉여금 [member]</t>
        </is>
      </c>
      <c r="M144" s="29" t="inlineStr">
        <is>
          <t>제 42 기</t>
        </is>
      </c>
      <c r="N144" s="29" t="inlineStr">
        <is>
          <t>47889958498.0</t>
        </is>
      </c>
      <c r="O144" s="29" t="inlineStr">
        <is>
          <t>47889958498.0</t>
        </is>
      </c>
      <c r="P144" s="29" t="inlineStr">
        <is>
          <t>KRW</t>
        </is>
      </c>
      <c r="Q144" s="29" t="inlineStr">
        <is>
          <t>1</t>
        </is>
      </c>
    </row>
    <row r="145" ht="24" customHeight="1">
      <c r="A145" s="24" t="inlineStr">
        <is>
          <t>OpenDART_fnlttSinglAcntAll</t>
        </is>
      </c>
      <c r="B145" s="24" t="inlineStr">
        <is>
          <t>00161383</t>
        </is>
      </c>
      <c r="C145" s="24" t="inlineStr">
        <is>
          <t>한미반도체</t>
        </is>
      </c>
      <c r="D145" s="24" t="inlineStr">
        <is>
          <t>hanmi</t>
        </is>
      </c>
      <c r="E145" s="24" t="inlineStr">
        <is>
          <t>042700</t>
        </is>
      </c>
      <c r="F145" s="24" t="inlineStr">
        <is>
          <t>2021</t>
        </is>
      </c>
      <c r="G145" s="24" t="inlineStr">
        <is>
          <t>CFS</t>
        </is>
      </c>
      <c r="H145" s="24" t="inlineStr">
        <is>
          <t>SCE</t>
        </is>
      </c>
      <c r="I145" s="24" t="inlineStr">
        <is>
          <t>자본변동표</t>
        </is>
      </c>
      <c r="J145" s="24" t="inlineStr">
        <is>
          <t>ifrs-full_ProfitLoss</t>
        </is>
      </c>
      <c r="K145" s="24" t="inlineStr">
        <is>
          <t>당기순이익</t>
        </is>
      </c>
      <c r="L145" s="24" t="inlineStr">
        <is>
          <t>자본 [member]|지배기업지분|자본잉여금 [member]</t>
        </is>
      </c>
      <c r="M145" s="24" t="inlineStr">
        <is>
          <t>제 42 기</t>
        </is>
      </c>
      <c r="N145" s="24" t="inlineStr">
        <is>
          <t>해당 없음</t>
        </is>
      </c>
      <c r="O145" s="24" t="inlineStr">
        <is>
          <t>0.0</t>
        </is>
      </c>
      <c r="P145" s="24" t="inlineStr">
        <is>
          <t>KRW</t>
        </is>
      </c>
      <c r="Q145" s="24" t="inlineStr">
        <is>
          <t>2</t>
        </is>
      </c>
    </row>
    <row r="146" ht="24" customHeight="1">
      <c r="A146" s="29" t="inlineStr">
        <is>
          <t>OpenDART_fnlttSinglAcntAll</t>
        </is>
      </c>
      <c r="B146" s="29" t="inlineStr">
        <is>
          <t>00161383</t>
        </is>
      </c>
      <c r="C146" s="29" t="inlineStr">
        <is>
          <t>한미반도체</t>
        </is>
      </c>
      <c r="D146" s="29" t="inlineStr">
        <is>
          <t>hanmi</t>
        </is>
      </c>
      <c r="E146" s="29" t="inlineStr">
        <is>
          <t>042700</t>
        </is>
      </c>
      <c r="F146" s="29" t="inlineStr">
        <is>
          <t>2021</t>
        </is>
      </c>
      <c r="G146" s="29" t="inlineStr">
        <is>
          <t>CFS</t>
        </is>
      </c>
      <c r="H146" s="29" t="inlineStr">
        <is>
          <t>SCE</t>
        </is>
      </c>
      <c r="I146" s="29" t="inlineStr">
        <is>
          <t>자본변동표</t>
        </is>
      </c>
      <c r="J146" s="29" t="inlineStr">
        <is>
          <t>ifrs-full_ProfitLoss</t>
        </is>
      </c>
      <c r="K146" s="29" t="inlineStr">
        <is>
          <t>당기순이익</t>
        </is>
      </c>
      <c r="L146" s="29" t="inlineStr">
        <is>
          <t>자본 [member]|지배기업지분|자본금 [member]</t>
        </is>
      </c>
      <c r="M146" s="29" t="inlineStr">
        <is>
          <t>제 42 기</t>
        </is>
      </c>
      <c r="N146" s="29" t="inlineStr">
        <is>
          <t>0.0</t>
        </is>
      </c>
      <c r="O146" s="29" t="inlineStr">
        <is>
          <t>0.0</t>
        </is>
      </c>
      <c r="P146" s="29" t="inlineStr">
        <is>
          <t>KRW</t>
        </is>
      </c>
      <c r="Q146" s="29" t="inlineStr">
        <is>
          <t>2</t>
        </is>
      </c>
    </row>
    <row r="147" ht="24" customHeight="1">
      <c r="A147" s="24" t="inlineStr">
        <is>
          <t>OpenDART_fnlttSinglAcntAll</t>
        </is>
      </c>
      <c r="B147" s="24" t="inlineStr">
        <is>
          <t>00161383</t>
        </is>
      </c>
      <c r="C147" s="24" t="inlineStr">
        <is>
          <t>한미반도체</t>
        </is>
      </c>
      <c r="D147" s="24" t="inlineStr">
        <is>
          <t>hanmi</t>
        </is>
      </c>
      <c r="E147" s="24" t="inlineStr">
        <is>
          <t>042700</t>
        </is>
      </c>
      <c r="F147" s="24" t="inlineStr">
        <is>
          <t>2021</t>
        </is>
      </c>
      <c r="G147" s="24" t="inlineStr">
        <is>
          <t>CFS</t>
        </is>
      </c>
      <c r="H147" s="24" t="inlineStr">
        <is>
          <t>SCE</t>
        </is>
      </c>
      <c r="I147" s="24" t="inlineStr">
        <is>
          <t>자본변동표</t>
        </is>
      </c>
      <c r="J147" s="24" t="inlineStr">
        <is>
          <t>ifrs-full_ProfitLoss</t>
        </is>
      </c>
      <c r="K147" s="24" t="inlineStr">
        <is>
          <t>당기순이익</t>
        </is>
      </c>
      <c r="L147" s="24" t="inlineStr">
        <is>
          <t>자본 [member]|지배기업지분|이익잉여금 [member]</t>
        </is>
      </c>
      <c r="M147" s="24" t="inlineStr">
        <is>
          <t>제 42 기</t>
        </is>
      </c>
      <c r="N147" s="24" t="inlineStr">
        <is>
          <t>104438304265.0</t>
        </is>
      </c>
      <c r="O147" s="24" t="inlineStr">
        <is>
          <t>50131485364.0</t>
        </is>
      </c>
      <c r="P147" s="24" t="inlineStr">
        <is>
          <t>KRW</t>
        </is>
      </c>
      <c r="Q147" s="24" t="inlineStr">
        <is>
          <t>2</t>
        </is>
      </c>
    </row>
    <row r="148" ht="24" customHeight="1">
      <c r="A148" s="29" t="inlineStr">
        <is>
          <t>OpenDART_fnlttSinglAcntAll</t>
        </is>
      </c>
      <c r="B148" s="29" t="inlineStr">
        <is>
          <t>00161383</t>
        </is>
      </c>
      <c r="C148" s="29" t="inlineStr">
        <is>
          <t>한미반도체</t>
        </is>
      </c>
      <c r="D148" s="29" t="inlineStr">
        <is>
          <t>hanmi</t>
        </is>
      </c>
      <c r="E148" s="29" t="inlineStr">
        <is>
          <t>042700</t>
        </is>
      </c>
      <c r="F148" s="29" t="inlineStr">
        <is>
          <t>2021</t>
        </is>
      </c>
      <c r="G148" s="29" t="inlineStr">
        <is>
          <t>CFS</t>
        </is>
      </c>
      <c r="H148" s="29" t="inlineStr">
        <is>
          <t>SCE</t>
        </is>
      </c>
      <c r="I148" s="29" t="inlineStr">
        <is>
          <t>자본변동표</t>
        </is>
      </c>
      <c r="J148" s="29" t="inlineStr">
        <is>
          <t>ifrs-full_ProfitLoss</t>
        </is>
      </c>
      <c r="K148" s="29" t="inlineStr">
        <is>
          <t>당기순이익</t>
        </is>
      </c>
      <c r="L148" s="29" t="inlineStr">
        <is>
          <t>자본 [member]|지배기업지분|기타포괄손익누계액 [member]</t>
        </is>
      </c>
      <c r="M148" s="29" t="inlineStr">
        <is>
          <t>제 42 기</t>
        </is>
      </c>
      <c r="N148" s="29" t="inlineStr">
        <is>
          <t>0.0</t>
        </is>
      </c>
      <c r="O148" s="29" t="inlineStr">
        <is>
          <t>0.0</t>
        </is>
      </c>
      <c r="P148" s="29" t="inlineStr">
        <is>
          <t>KRW</t>
        </is>
      </c>
      <c r="Q148" s="29" t="inlineStr">
        <is>
          <t>2</t>
        </is>
      </c>
    </row>
    <row r="149" ht="24" customHeight="1">
      <c r="A149" s="24" t="inlineStr">
        <is>
          <t>OpenDART_fnlttSinglAcntAll</t>
        </is>
      </c>
      <c r="B149" s="24" t="inlineStr">
        <is>
          <t>00161383</t>
        </is>
      </c>
      <c r="C149" s="24" t="inlineStr">
        <is>
          <t>한미반도체</t>
        </is>
      </c>
      <c r="D149" s="24" t="inlineStr">
        <is>
          <t>hanmi</t>
        </is>
      </c>
      <c r="E149" s="24" t="inlineStr">
        <is>
          <t>042700</t>
        </is>
      </c>
      <c r="F149" s="24" t="inlineStr">
        <is>
          <t>2021</t>
        </is>
      </c>
      <c r="G149" s="24" t="inlineStr">
        <is>
          <t>CFS</t>
        </is>
      </c>
      <c r="H149" s="24" t="inlineStr">
        <is>
          <t>SCE</t>
        </is>
      </c>
      <c r="I149" s="24" t="inlineStr">
        <is>
          <t>자본변동표</t>
        </is>
      </c>
      <c r="J149" s="24" t="inlineStr">
        <is>
          <t>ifrs-full_ProfitLoss</t>
        </is>
      </c>
      <c r="K149" s="24" t="inlineStr">
        <is>
          <t>당기순이익</t>
        </is>
      </c>
      <c r="L149" s="24" t="inlineStr">
        <is>
          <t>자본 [member]|지배기업지분|기타자본구성요소 [member]</t>
        </is>
      </c>
      <c r="M149" s="24" t="inlineStr">
        <is>
          <t>제 42 기</t>
        </is>
      </c>
      <c r="N149" s="24" t="inlineStr">
        <is>
          <t>0.0</t>
        </is>
      </c>
      <c r="O149" s="24" t="inlineStr">
        <is>
          <t>0.0</t>
        </is>
      </c>
      <c r="P149" s="24" t="inlineStr">
        <is>
          <t>KRW</t>
        </is>
      </c>
      <c r="Q149" s="24" t="inlineStr">
        <is>
          <t>2</t>
        </is>
      </c>
    </row>
    <row r="150" ht="24" customHeight="1">
      <c r="A150" s="29" t="inlineStr">
        <is>
          <t>OpenDART_fnlttSinglAcntAll</t>
        </is>
      </c>
      <c r="B150" s="29" t="inlineStr">
        <is>
          <t>00161383</t>
        </is>
      </c>
      <c r="C150" s="29" t="inlineStr">
        <is>
          <t>한미반도체</t>
        </is>
      </c>
      <c r="D150" s="29" t="inlineStr">
        <is>
          <t>hanmi</t>
        </is>
      </c>
      <c r="E150" s="29" t="inlineStr">
        <is>
          <t>042700</t>
        </is>
      </c>
      <c r="F150" s="29" t="inlineStr">
        <is>
          <t>2021</t>
        </is>
      </c>
      <c r="G150" s="29" t="inlineStr">
        <is>
          <t>CFS</t>
        </is>
      </c>
      <c r="H150" s="29" t="inlineStr">
        <is>
          <t>SCE</t>
        </is>
      </c>
      <c r="I150" s="29" t="inlineStr">
        <is>
          <t>자본변동표</t>
        </is>
      </c>
      <c r="J150" s="29" t="inlineStr">
        <is>
          <t>ifrs-full_ProfitLoss</t>
        </is>
      </c>
      <c r="K150" s="29" t="inlineStr">
        <is>
          <t>당기순이익</t>
        </is>
      </c>
      <c r="L150" s="29" t="inlineStr">
        <is>
          <t>연결재무제표 [member]</t>
        </is>
      </c>
      <c r="M150" s="29" t="inlineStr">
        <is>
          <t>제 42 기</t>
        </is>
      </c>
      <c r="N150" s="29" t="inlineStr">
        <is>
          <t>104438304265.0</t>
        </is>
      </c>
      <c r="O150" s="29" t="inlineStr">
        <is>
          <t>50131485364.0</t>
        </is>
      </c>
      <c r="P150" s="29" t="inlineStr">
        <is>
          <t>KRW</t>
        </is>
      </c>
      <c r="Q150" s="29" t="inlineStr">
        <is>
          <t>2</t>
        </is>
      </c>
    </row>
    <row r="151" ht="24" customHeight="1">
      <c r="A151" s="24" t="inlineStr">
        <is>
          <t>OpenDART_fnlttSinglAcntAll</t>
        </is>
      </c>
      <c r="B151" s="24" t="inlineStr">
        <is>
          <t>00161383</t>
        </is>
      </c>
      <c r="C151" s="24" t="inlineStr">
        <is>
          <t>한미반도체</t>
        </is>
      </c>
      <c r="D151" s="24" t="inlineStr">
        <is>
          <t>hanmi</t>
        </is>
      </c>
      <c r="E151" s="24" t="inlineStr">
        <is>
          <t>042700</t>
        </is>
      </c>
      <c r="F151" s="24" t="inlineStr">
        <is>
          <t>2021</t>
        </is>
      </c>
      <c r="G151" s="24" t="inlineStr">
        <is>
          <t>CFS</t>
        </is>
      </c>
      <c r="H151" s="24" t="inlineStr">
        <is>
          <t>SCE</t>
        </is>
      </c>
      <c r="I151" s="24" t="inlineStr">
        <is>
          <t>자본변동표</t>
        </is>
      </c>
      <c r="J151" s="24" t="inlineStr">
        <is>
          <t>ifrs-full_ProfitLoss</t>
        </is>
      </c>
      <c r="K151" s="24" t="inlineStr">
        <is>
          <t>당기순이익</t>
        </is>
      </c>
      <c r="L151" s="24" t="inlineStr">
        <is>
          <t>자본 [member]|지배기업지분</t>
        </is>
      </c>
      <c r="M151" s="24" t="inlineStr">
        <is>
          <t>제 42 기</t>
        </is>
      </c>
      <c r="N151" s="24" t="inlineStr">
        <is>
          <t>104438304265.0</t>
        </is>
      </c>
      <c r="O151" s="24" t="inlineStr">
        <is>
          <t>50131485364.0</t>
        </is>
      </c>
      <c r="P151" s="24" t="inlineStr">
        <is>
          <t>KRW</t>
        </is>
      </c>
      <c r="Q151" s="24" t="inlineStr">
        <is>
          <t>2</t>
        </is>
      </c>
    </row>
    <row r="152" ht="24" customHeight="1">
      <c r="A152" s="29" t="inlineStr">
        <is>
          <t>OpenDART_fnlttSinglAcntAll</t>
        </is>
      </c>
      <c r="B152" s="29" t="inlineStr">
        <is>
          <t>00161383</t>
        </is>
      </c>
      <c r="C152" s="29" t="inlineStr">
        <is>
          <t>한미반도체</t>
        </is>
      </c>
      <c r="D152" s="29" t="inlineStr">
        <is>
          <t>hanmi</t>
        </is>
      </c>
      <c r="E152" s="29" t="inlineStr">
        <is>
          <t>042700</t>
        </is>
      </c>
      <c r="F152" s="29" t="inlineStr">
        <is>
          <t>2021</t>
        </is>
      </c>
      <c r="G152" s="29" t="inlineStr">
        <is>
          <t>CFS</t>
        </is>
      </c>
      <c r="H152" s="29" t="inlineStr">
        <is>
          <t>SCE</t>
        </is>
      </c>
      <c r="I152" s="29" t="inlineStr">
        <is>
          <t>자본변동표</t>
        </is>
      </c>
      <c r="J152" s="29" t="inlineStr">
        <is>
          <t>dart_OtherComprehensiveIncomeForStatementOfChangesInEquity</t>
        </is>
      </c>
      <c r="K152" s="29" t="inlineStr">
        <is>
          <t>확정급여제도의재측정요소</t>
        </is>
      </c>
      <c r="L152" s="29" t="inlineStr">
        <is>
          <t>연결재무제표 [member]</t>
        </is>
      </c>
      <c r="M152" s="29" t="inlineStr">
        <is>
          <t>제 42 기</t>
        </is>
      </c>
      <c r="N152" s="29" t="inlineStr">
        <is>
          <t>-868599926.0</t>
        </is>
      </c>
      <c r="O152" s="29" t="inlineStr">
        <is>
          <t>1232807019.0</t>
        </is>
      </c>
      <c r="P152" s="29" t="inlineStr">
        <is>
          <t>KRW</t>
        </is>
      </c>
      <c r="Q152" s="29" t="inlineStr">
        <is>
          <t>3</t>
        </is>
      </c>
    </row>
    <row r="153" ht="24" customHeight="1">
      <c r="A153" s="24" t="inlineStr">
        <is>
          <t>OpenDART_fnlttSinglAcntAll</t>
        </is>
      </c>
      <c r="B153" s="24" t="inlineStr">
        <is>
          <t>00161383</t>
        </is>
      </c>
      <c r="C153" s="24" t="inlineStr">
        <is>
          <t>한미반도체</t>
        </is>
      </c>
      <c r="D153" s="24" t="inlineStr">
        <is>
          <t>hanmi</t>
        </is>
      </c>
      <c r="E153" s="24" t="inlineStr">
        <is>
          <t>042700</t>
        </is>
      </c>
      <c r="F153" s="24" t="inlineStr">
        <is>
          <t>2021</t>
        </is>
      </c>
      <c r="G153" s="24" t="inlineStr">
        <is>
          <t>CFS</t>
        </is>
      </c>
      <c r="H153" s="24" t="inlineStr">
        <is>
          <t>SCE</t>
        </is>
      </c>
      <c r="I153" s="24" t="inlineStr">
        <is>
          <t>자본변동표</t>
        </is>
      </c>
      <c r="J153" s="24" t="inlineStr">
        <is>
          <t>dart_OtherComprehensiveIncomeForStatementOfChangesInEquity</t>
        </is>
      </c>
      <c r="K153" s="24" t="inlineStr">
        <is>
          <t>확정급여제도의재측정요소</t>
        </is>
      </c>
      <c r="L153" s="24" t="inlineStr">
        <is>
          <t>자본 [member]|지배기업지분</t>
        </is>
      </c>
      <c r="M153" s="24" t="inlineStr">
        <is>
          <t>제 42 기</t>
        </is>
      </c>
      <c r="N153" s="24" t="inlineStr">
        <is>
          <t>-868599926.0</t>
        </is>
      </c>
      <c r="O153" s="24" t="inlineStr">
        <is>
          <t>1232807019.0</t>
        </is>
      </c>
      <c r="P153" s="24" t="inlineStr">
        <is>
          <t>KRW</t>
        </is>
      </c>
      <c r="Q153" s="24" t="inlineStr">
        <is>
          <t>3</t>
        </is>
      </c>
    </row>
    <row r="154" ht="24" customHeight="1">
      <c r="A154" s="29" t="inlineStr">
        <is>
          <t>OpenDART_fnlttSinglAcntAll</t>
        </is>
      </c>
      <c r="B154" s="29" t="inlineStr">
        <is>
          <t>00161383</t>
        </is>
      </c>
      <c r="C154" s="29" t="inlineStr">
        <is>
          <t>한미반도체</t>
        </is>
      </c>
      <c r="D154" s="29" t="inlineStr">
        <is>
          <t>hanmi</t>
        </is>
      </c>
      <c r="E154" s="29" t="inlineStr">
        <is>
          <t>042700</t>
        </is>
      </c>
      <c r="F154" s="29" t="inlineStr">
        <is>
          <t>2021</t>
        </is>
      </c>
      <c r="G154" s="29" t="inlineStr">
        <is>
          <t>CFS</t>
        </is>
      </c>
      <c r="H154" s="29" t="inlineStr">
        <is>
          <t>SCE</t>
        </is>
      </c>
      <c r="I154" s="29" t="inlineStr">
        <is>
          <t>자본변동표</t>
        </is>
      </c>
      <c r="J154" s="29" t="inlineStr">
        <is>
          <t>dart_OtherComprehensiveIncomeForStatementOfChangesInEquity</t>
        </is>
      </c>
      <c r="K154" s="29" t="inlineStr">
        <is>
          <t>확정급여제도의재측정요소</t>
        </is>
      </c>
      <c r="L154" s="29" t="inlineStr">
        <is>
          <t>자본 [member]|지배기업지분|기타자본구성요소 [member]</t>
        </is>
      </c>
      <c r="M154" s="29" t="inlineStr">
        <is>
          <t>제 42 기</t>
        </is>
      </c>
      <c r="N154" s="29" t="inlineStr">
        <is>
          <t>0.0</t>
        </is>
      </c>
      <c r="O154" s="29" t="inlineStr">
        <is>
          <t>0.0</t>
        </is>
      </c>
      <c r="P154" s="29" t="inlineStr">
        <is>
          <t>KRW</t>
        </is>
      </c>
      <c r="Q154" s="29" t="inlineStr">
        <is>
          <t>3</t>
        </is>
      </c>
    </row>
    <row r="155" ht="24" customHeight="1">
      <c r="A155" s="24" t="inlineStr">
        <is>
          <t>OpenDART_fnlttSinglAcntAll</t>
        </is>
      </c>
      <c r="B155" s="24" t="inlineStr">
        <is>
          <t>00161383</t>
        </is>
      </c>
      <c r="C155" s="24" t="inlineStr">
        <is>
          <t>한미반도체</t>
        </is>
      </c>
      <c r="D155" s="24" t="inlineStr">
        <is>
          <t>hanmi</t>
        </is>
      </c>
      <c r="E155" s="24" t="inlineStr">
        <is>
          <t>042700</t>
        </is>
      </c>
      <c r="F155" s="24" t="inlineStr">
        <is>
          <t>2021</t>
        </is>
      </c>
      <c r="G155" s="24" t="inlineStr">
        <is>
          <t>CFS</t>
        </is>
      </c>
      <c r="H155" s="24" t="inlineStr">
        <is>
          <t>SCE</t>
        </is>
      </c>
      <c r="I155" s="24" t="inlineStr">
        <is>
          <t>자본변동표</t>
        </is>
      </c>
      <c r="J155" s="24" t="inlineStr">
        <is>
          <t>dart_OtherComprehensiveIncomeForStatementOfChangesInEquity</t>
        </is>
      </c>
      <c r="K155" s="24" t="inlineStr">
        <is>
          <t>확정급여제도의재측정요소</t>
        </is>
      </c>
      <c r="L155" s="24" t="inlineStr">
        <is>
          <t>자본 [member]|지배기업지분|기타포괄손익누계액 [member]</t>
        </is>
      </c>
      <c r="M155" s="24" t="inlineStr">
        <is>
          <t>제 42 기</t>
        </is>
      </c>
      <c r="N155" s="24" t="inlineStr">
        <is>
          <t>0.0</t>
        </is>
      </c>
      <c r="O155" s="24" t="inlineStr">
        <is>
          <t>0.0</t>
        </is>
      </c>
      <c r="P155" s="24" t="inlineStr">
        <is>
          <t>KRW</t>
        </is>
      </c>
      <c r="Q155" s="24" t="inlineStr">
        <is>
          <t>3</t>
        </is>
      </c>
    </row>
    <row r="156" ht="24" customHeight="1">
      <c r="A156" s="29" t="inlineStr">
        <is>
          <t>OpenDART_fnlttSinglAcntAll</t>
        </is>
      </c>
      <c r="B156" s="29" t="inlineStr">
        <is>
          <t>00161383</t>
        </is>
      </c>
      <c r="C156" s="29" t="inlineStr">
        <is>
          <t>한미반도체</t>
        </is>
      </c>
      <c r="D156" s="29" t="inlineStr">
        <is>
          <t>hanmi</t>
        </is>
      </c>
      <c r="E156" s="29" t="inlineStr">
        <is>
          <t>042700</t>
        </is>
      </c>
      <c r="F156" s="29" t="inlineStr">
        <is>
          <t>2021</t>
        </is>
      </c>
      <c r="G156" s="29" t="inlineStr">
        <is>
          <t>CFS</t>
        </is>
      </c>
      <c r="H156" s="29" t="inlineStr">
        <is>
          <t>SCE</t>
        </is>
      </c>
      <c r="I156" s="29" t="inlineStr">
        <is>
          <t>자본변동표</t>
        </is>
      </c>
      <c r="J156" s="29" t="inlineStr">
        <is>
          <t>dart_OtherComprehensiveIncomeForStatementOfChangesInEquity</t>
        </is>
      </c>
      <c r="K156" s="29" t="inlineStr">
        <is>
          <t>확정급여제도의재측정요소</t>
        </is>
      </c>
      <c r="L156" s="29" t="inlineStr">
        <is>
          <t>자본 [member]|지배기업지분|이익잉여금 [member]</t>
        </is>
      </c>
      <c r="M156" s="29" t="inlineStr">
        <is>
          <t>제 42 기</t>
        </is>
      </c>
      <c r="N156" s="29" t="inlineStr">
        <is>
          <t>-868599926.0</t>
        </is>
      </c>
      <c r="O156" s="29" t="inlineStr">
        <is>
          <t>1232807019.0</t>
        </is>
      </c>
      <c r="P156" s="29" t="inlineStr">
        <is>
          <t>KRW</t>
        </is>
      </c>
      <c r="Q156" s="29" t="inlineStr">
        <is>
          <t>3</t>
        </is>
      </c>
    </row>
    <row r="157" ht="24" customHeight="1">
      <c r="A157" s="24" t="inlineStr">
        <is>
          <t>OpenDART_fnlttSinglAcntAll</t>
        </is>
      </c>
      <c r="B157" s="24" t="inlineStr">
        <is>
          <t>00161383</t>
        </is>
      </c>
      <c r="C157" s="24" t="inlineStr">
        <is>
          <t>한미반도체</t>
        </is>
      </c>
      <c r="D157" s="24" t="inlineStr">
        <is>
          <t>hanmi</t>
        </is>
      </c>
      <c r="E157" s="24" t="inlineStr">
        <is>
          <t>042700</t>
        </is>
      </c>
      <c r="F157" s="24" t="inlineStr">
        <is>
          <t>2021</t>
        </is>
      </c>
      <c r="G157" s="24" t="inlineStr">
        <is>
          <t>CFS</t>
        </is>
      </c>
      <c r="H157" s="24" t="inlineStr">
        <is>
          <t>SCE</t>
        </is>
      </c>
      <c r="I157" s="24" t="inlineStr">
        <is>
          <t>자본변동표</t>
        </is>
      </c>
      <c r="J157" s="24" t="inlineStr">
        <is>
          <t>dart_OtherComprehensiveIncomeForStatementOfChangesInEquity</t>
        </is>
      </c>
      <c r="K157" s="24" t="inlineStr">
        <is>
          <t>확정급여제도의재측정요소</t>
        </is>
      </c>
      <c r="L157" s="24" t="inlineStr">
        <is>
          <t>자본 [member]|지배기업지분|자본금 [member]</t>
        </is>
      </c>
      <c r="M157" s="24" t="inlineStr">
        <is>
          <t>제 42 기</t>
        </is>
      </c>
      <c r="N157" s="24" t="inlineStr">
        <is>
          <t>0.0</t>
        </is>
      </c>
      <c r="O157" s="24" t="inlineStr">
        <is>
          <t>0.0</t>
        </is>
      </c>
      <c r="P157" s="24" t="inlineStr">
        <is>
          <t>KRW</t>
        </is>
      </c>
      <c r="Q157" s="24" t="inlineStr">
        <is>
          <t>3</t>
        </is>
      </c>
    </row>
    <row r="158" ht="24" customHeight="1">
      <c r="A158" s="29" t="inlineStr">
        <is>
          <t>OpenDART_fnlttSinglAcntAll</t>
        </is>
      </c>
      <c r="B158" s="29" t="inlineStr">
        <is>
          <t>00161383</t>
        </is>
      </c>
      <c r="C158" s="29" t="inlineStr">
        <is>
          <t>한미반도체</t>
        </is>
      </c>
      <c r="D158" s="29" t="inlineStr">
        <is>
          <t>hanmi</t>
        </is>
      </c>
      <c r="E158" s="29" t="inlineStr">
        <is>
          <t>042700</t>
        </is>
      </c>
      <c r="F158" s="29" t="inlineStr">
        <is>
          <t>2021</t>
        </is>
      </c>
      <c r="G158" s="29" t="inlineStr">
        <is>
          <t>CFS</t>
        </is>
      </c>
      <c r="H158" s="29" t="inlineStr">
        <is>
          <t>SCE</t>
        </is>
      </c>
      <c r="I158" s="29" t="inlineStr">
        <is>
          <t>자본변동표</t>
        </is>
      </c>
      <c r="J158" s="29" t="inlineStr">
        <is>
          <t>dart_OtherComprehensiveIncomeForStatementOfChangesInEquity</t>
        </is>
      </c>
      <c r="K158" s="29" t="inlineStr">
        <is>
          <t>확정급여제도의재측정요소</t>
        </is>
      </c>
      <c r="L158" s="29" t="inlineStr">
        <is>
          <t>자본 [member]|지배기업지분|자본잉여금 [member]</t>
        </is>
      </c>
      <c r="M158" s="29" t="inlineStr">
        <is>
          <t>제 42 기</t>
        </is>
      </c>
      <c r="N158" s="29" t="inlineStr">
        <is>
          <t>0.0</t>
        </is>
      </c>
      <c r="O158" s="29" t="inlineStr">
        <is>
          <t>0.0</t>
        </is>
      </c>
      <c r="P158" s="29" t="inlineStr">
        <is>
          <t>KRW</t>
        </is>
      </c>
      <c r="Q158" s="29" t="inlineStr">
        <is>
          <t>3</t>
        </is>
      </c>
    </row>
    <row r="159" ht="24" customHeight="1">
      <c r="A159" s="24" t="inlineStr">
        <is>
          <t>OpenDART_fnlttSinglAcntAll</t>
        </is>
      </c>
      <c r="B159" s="24" t="inlineStr">
        <is>
          <t>00161383</t>
        </is>
      </c>
      <c r="C159" s="24" t="inlineStr">
        <is>
          <t>한미반도체</t>
        </is>
      </c>
      <c r="D159" s="24" t="inlineStr">
        <is>
          <t>hanmi</t>
        </is>
      </c>
      <c r="E159" s="24" t="inlineStr">
        <is>
          <t>042700</t>
        </is>
      </c>
      <c r="F159" s="24" t="inlineStr">
        <is>
          <t>2021</t>
        </is>
      </c>
      <c r="G159" s="24" t="inlineStr">
        <is>
          <t>CFS</t>
        </is>
      </c>
      <c r="H159" s="24" t="inlineStr">
        <is>
          <t>SCE</t>
        </is>
      </c>
      <c r="I159" s="24" t="inlineStr">
        <is>
          <t>자본변동표</t>
        </is>
      </c>
      <c r="J159" s="24" t="inlineStr">
        <is>
          <t>ifrs-full_IncreaseDecreaseThroughChangesInOwnershipInterestsInSubsidiariesThatDoNotResultInLossOfControl</t>
        </is>
      </c>
      <c r="K159" s="24" t="inlineStr">
        <is>
          <t>지분법자본변동</t>
        </is>
      </c>
      <c r="L159" s="24" t="inlineStr">
        <is>
          <t>자본 [member]|지배기업지분</t>
        </is>
      </c>
      <c r="M159" s="24" t="inlineStr">
        <is>
          <t>제 42 기</t>
        </is>
      </c>
      <c r="N159" s="24" t="inlineStr">
        <is>
          <t>-30685622.0</t>
        </is>
      </c>
      <c r="O159" s="24" t="inlineStr">
        <is>
          <t>17330417.0</t>
        </is>
      </c>
      <c r="P159" s="24" t="inlineStr">
        <is>
          <t>KRW</t>
        </is>
      </c>
      <c r="Q159" s="24" t="inlineStr">
        <is>
          <t>4</t>
        </is>
      </c>
    </row>
    <row r="160" ht="24" customHeight="1">
      <c r="A160" s="29" t="inlineStr">
        <is>
          <t>OpenDART_fnlttSinglAcntAll</t>
        </is>
      </c>
      <c r="B160" s="29" t="inlineStr">
        <is>
          <t>00161383</t>
        </is>
      </c>
      <c r="C160" s="29" t="inlineStr">
        <is>
          <t>한미반도체</t>
        </is>
      </c>
      <c r="D160" s="29" t="inlineStr">
        <is>
          <t>hanmi</t>
        </is>
      </c>
      <c r="E160" s="29" t="inlineStr">
        <is>
          <t>042700</t>
        </is>
      </c>
      <c r="F160" s="29" t="inlineStr">
        <is>
          <t>2021</t>
        </is>
      </c>
      <c r="G160" s="29" t="inlineStr">
        <is>
          <t>CFS</t>
        </is>
      </c>
      <c r="H160" s="29" t="inlineStr">
        <is>
          <t>SCE</t>
        </is>
      </c>
      <c r="I160" s="29" t="inlineStr">
        <is>
          <t>자본변동표</t>
        </is>
      </c>
      <c r="J160" s="29" t="inlineStr">
        <is>
          <t>ifrs-full_IncreaseDecreaseThroughChangesInOwnershipInterestsInSubsidiariesThatDoNotResultInLossOfControl</t>
        </is>
      </c>
      <c r="K160" s="29" t="inlineStr">
        <is>
          <t>지분법자본변동</t>
        </is>
      </c>
      <c r="L160" s="29" t="inlineStr">
        <is>
          <t>자본 [member]|지배기업지분|기타자본구성요소 [member]</t>
        </is>
      </c>
      <c r="M160" s="29" t="inlineStr">
        <is>
          <t>제 42 기</t>
        </is>
      </c>
      <c r="N160" s="29" t="inlineStr">
        <is>
          <t>0.0</t>
        </is>
      </c>
      <c r="O160" s="29" t="inlineStr">
        <is>
          <t>0.0</t>
        </is>
      </c>
      <c r="P160" s="29" t="inlineStr">
        <is>
          <t>KRW</t>
        </is>
      </c>
      <c r="Q160" s="29" t="inlineStr">
        <is>
          <t>4</t>
        </is>
      </c>
    </row>
    <row r="161" ht="24" customHeight="1">
      <c r="A161" s="24" t="inlineStr">
        <is>
          <t>OpenDART_fnlttSinglAcntAll</t>
        </is>
      </c>
      <c r="B161" s="24" t="inlineStr">
        <is>
          <t>00161383</t>
        </is>
      </c>
      <c r="C161" s="24" t="inlineStr">
        <is>
          <t>한미반도체</t>
        </is>
      </c>
      <c r="D161" s="24" t="inlineStr">
        <is>
          <t>hanmi</t>
        </is>
      </c>
      <c r="E161" s="24" t="inlineStr">
        <is>
          <t>042700</t>
        </is>
      </c>
      <c r="F161" s="24" t="inlineStr">
        <is>
          <t>2021</t>
        </is>
      </c>
      <c r="G161" s="24" t="inlineStr">
        <is>
          <t>CFS</t>
        </is>
      </c>
      <c r="H161" s="24" t="inlineStr">
        <is>
          <t>SCE</t>
        </is>
      </c>
      <c r="I161" s="24" t="inlineStr">
        <is>
          <t>자본변동표</t>
        </is>
      </c>
      <c r="J161" s="24" t="inlineStr">
        <is>
          <t>ifrs-full_IncreaseDecreaseThroughChangesInOwnershipInterestsInSubsidiariesThatDoNotResultInLossOfControl</t>
        </is>
      </c>
      <c r="K161" s="24" t="inlineStr">
        <is>
          <t>지분법자본변동</t>
        </is>
      </c>
      <c r="L161" s="24" t="inlineStr">
        <is>
          <t>자본 [member]|지배기업지분|기타포괄손익누계액 [member]</t>
        </is>
      </c>
      <c r="M161" s="24" t="inlineStr">
        <is>
          <t>제 42 기</t>
        </is>
      </c>
      <c r="N161" s="24" t="inlineStr">
        <is>
          <t>-30685622.0</t>
        </is>
      </c>
      <c r="O161" s="24" t="inlineStr">
        <is>
          <t>17330417.0</t>
        </is>
      </c>
      <c r="P161" s="24" t="inlineStr">
        <is>
          <t>KRW</t>
        </is>
      </c>
      <c r="Q161" s="24" t="inlineStr">
        <is>
          <t>4</t>
        </is>
      </c>
    </row>
    <row r="162" ht="24" customHeight="1">
      <c r="A162" s="29" t="inlineStr">
        <is>
          <t>OpenDART_fnlttSinglAcntAll</t>
        </is>
      </c>
      <c r="B162" s="29" t="inlineStr">
        <is>
          <t>00161383</t>
        </is>
      </c>
      <c r="C162" s="29" t="inlineStr">
        <is>
          <t>한미반도체</t>
        </is>
      </c>
      <c r="D162" s="29" t="inlineStr">
        <is>
          <t>hanmi</t>
        </is>
      </c>
      <c r="E162" s="29" t="inlineStr">
        <is>
          <t>042700</t>
        </is>
      </c>
      <c r="F162" s="29" t="inlineStr">
        <is>
          <t>2021</t>
        </is>
      </c>
      <c r="G162" s="29" t="inlineStr">
        <is>
          <t>CFS</t>
        </is>
      </c>
      <c r="H162" s="29" t="inlineStr">
        <is>
          <t>SCE</t>
        </is>
      </c>
      <c r="I162" s="29" t="inlineStr">
        <is>
          <t>자본변동표</t>
        </is>
      </c>
      <c r="J162" s="29" t="inlineStr">
        <is>
          <t>ifrs-full_IncreaseDecreaseThroughChangesInOwnershipInterestsInSubsidiariesThatDoNotResultInLossOfControl</t>
        </is>
      </c>
      <c r="K162" s="29" t="inlineStr">
        <is>
          <t>지분법자본변동</t>
        </is>
      </c>
      <c r="L162" s="29" t="inlineStr">
        <is>
          <t>자본 [member]|지배기업지분|이익잉여금 [member]</t>
        </is>
      </c>
      <c r="M162" s="29" t="inlineStr">
        <is>
          <t>제 42 기</t>
        </is>
      </c>
      <c r="N162" s="29" t="inlineStr">
        <is>
          <t>0.0</t>
        </is>
      </c>
      <c r="O162" s="29" t="inlineStr">
        <is>
          <t>0.0</t>
        </is>
      </c>
      <c r="P162" s="29" t="inlineStr">
        <is>
          <t>KRW</t>
        </is>
      </c>
      <c r="Q162" s="29" t="inlineStr">
        <is>
          <t>4</t>
        </is>
      </c>
    </row>
    <row r="163" ht="24" customHeight="1">
      <c r="A163" s="24" t="inlineStr">
        <is>
          <t>OpenDART_fnlttSinglAcntAll</t>
        </is>
      </c>
      <c r="B163" s="24" t="inlineStr">
        <is>
          <t>00161383</t>
        </is>
      </c>
      <c r="C163" s="24" t="inlineStr">
        <is>
          <t>한미반도체</t>
        </is>
      </c>
      <c r="D163" s="24" t="inlineStr">
        <is>
          <t>hanmi</t>
        </is>
      </c>
      <c r="E163" s="24" t="inlineStr">
        <is>
          <t>042700</t>
        </is>
      </c>
      <c r="F163" s="24" t="inlineStr">
        <is>
          <t>2021</t>
        </is>
      </c>
      <c r="G163" s="24" t="inlineStr">
        <is>
          <t>CFS</t>
        </is>
      </c>
      <c r="H163" s="24" t="inlineStr">
        <is>
          <t>SCE</t>
        </is>
      </c>
      <c r="I163" s="24" t="inlineStr">
        <is>
          <t>자본변동표</t>
        </is>
      </c>
      <c r="J163" s="24" t="inlineStr">
        <is>
          <t>ifrs-full_IncreaseDecreaseThroughChangesInOwnershipInterestsInSubsidiariesThatDoNotResultInLossOfControl</t>
        </is>
      </c>
      <c r="K163" s="24" t="inlineStr">
        <is>
          <t>지분법자본변동</t>
        </is>
      </c>
      <c r="L163" s="24" t="inlineStr">
        <is>
          <t>자본 [member]|지배기업지분|자본금 [member]</t>
        </is>
      </c>
      <c r="M163" s="24" t="inlineStr">
        <is>
          <t>제 42 기</t>
        </is>
      </c>
      <c r="N163" s="24" t="inlineStr">
        <is>
          <t>0.0</t>
        </is>
      </c>
      <c r="O163" s="24" t="inlineStr">
        <is>
          <t>0.0</t>
        </is>
      </c>
      <c r="P163" s="24" t="inlineStr">
        <is>
          <t>KRW</t>
        </is>
      </c>
      <c r="Q163" s="24" t="inlineStr">
        <is>
          <t>4</t>
        </is>
      </c>
    </row>
    <row r="164" ht="24" customHeight="1">
      <c r="A164" s="29" t="inlineStr">
        <is>
          <t>OpenDART_fnlttSinglAcntAll</t>
        </is>
      </c>
      <c r="B164" s="29" t="inlineStr">
        <is>
          <t>00161383</t>
        </is>
      </c>
      <c r="C164" s="29" t="inlineStr">
        <is>
          <t>한미반도체</t>
        </is>
      </c>
      <c r="D164" s="29" t="inlineStr">
        <is>
          <t>hanmi</t>
        </is>
      </c>
      <c r="E164" s="29" t="inlineStr">
        <is>
          <t>042700</t>
        </is>
      </c>
      <c r="F164" s="29" t="inlineStr">
        <is>
          <t>2021</t>
        </is>
      </c>
      <c r="G164" s="29" t="inlineStr">
        <is>
          <t>CFS</t>
        </is>
      </c>
      <c r="H164" s="29" t="inlineStr">
        <is>
          <t>SCE</t>
        </is>
      </c>
      <c r="I164" s="29" t="inlineStr">
        <is>
          <t>자본변동표</t>
        </is>
      </c>
      <c r="J164" s="29" t="inlineStr">
        <is>
          <t>ifrs-full_IncreaseDecreaseThroughChangesInOwnershipInterestsInSubsidiariesThatDoNotResultInLossOfControl</t>
        </is>
      </c>
      <c r="K164" s="29" t="inlineStr">
        <is>
          <t>지분법자본변동</t>
        </is>
      </c>
      <c r="L164" s="29" t="inlineStr">
        <is>
          <t>자본 [member]|지배기업지분|자본잉여금 [member]</t>
        </is>
      </c>
      <c r="M164" s="29" t="inlineStr">
        <is>
          <t>제 42 기</t>
        </is>
      </c>
      <c r="N164" s="29" t="inlineStr">
        <is>
          <t>0.0</t>
        </is>
      </c>
      <c r="O164" s="29" t="inlineStr">
        <is>
          <t>0.0</t>
        </is>
      </c>
      <c r="P164" s="29" t="inlineStr">
        <is>
          <t>KRW</t>
        </is>
      </c>
      <c r="Q164" s="29" t="inlineStr">
        <is>
          <t>4</t>
        </is>
      </c>
    </row>
    <row r="165" ht="24" customHeight="1">
      <c r="A165" s="24" t="inlineStr">
        <is>
          <t>OpenDART_fnlttSinglAcntAll</t>
        </is>
      </c>
      <c r="B165" s="24" t="inlineStr">
        <is>
          <t>00161383</t>
        </is>
      </c>
      <c r="C165" s="24" t="inlineStr">
        <is>
          <t>한미반도체</t>
        </is>
      </c>
      <c r="D165" s="24" t="inlineStr">
        <is>
          <t>hanmi</t>
        </is>
      </c>
      <c r="E165" s="24" t="inlineStr">
        <is>
          <t>042700</t>
        </is>
      </c>
      <c r="F165" s="24" t="inlineStr">
        <is>
          <t>2021</t>
        </is>
      </c>
      <c r="G165" s="24" t="inlineStr">
        <is>
          <t>CFS</t>
        </is>
      </c>
      <c r="H165" s="24" t="inlineStr">
        <is>
          <t>SCE</t>
        </is>
      </c>
      <c r="I165" s="24" t="inlineStr">
        <is>
          <t>자본변동표</t>
        </is>
      </c>
      <c r="J165" s="24" t="inlineStr">
        <is>
          <t>ifrs-full_IncreaseDecreaseThroughChangesInOwnershipInterestsInSubsidiariesThatDoNotResultInLossOfControl</t>
        </is>
      </c>
      <c r="K165" s="24" t="inlineStr">
        <is>
          <t>지분법자본변동</t>
        </is>
      </c>
      <c r="L165" s="24" t="inlineStr">
        <is>
          <t>연결재무제표 [member]</t>
        </is>
      </c>
      <c r="M165" s="24" t="inlineStr">
        <is>
          <t>제 42 기</t>
        </is>
      </c>
      <c r="N165" s="24" t="inlineStr">
        <is>
          <t>-30685622.0</t>
        </is>
      </c>
      <c r="O165" s="24" t="inlineStr">
        <is>
          <t>17330417.0</t>
        </is>
      </c>
      <c r="P165" s="24" t="inlineStr">
        <is>
          <t>KRW</t>
        </is>
      </c>
      <c r="Q165" s="24" t="inlineStr">
        <is>
          <t>4</t>
        </is>
      </c>
    </row>
    <row r="166" ht="24" customHeight="1">
      <c r="A166" s="29" t="inlineStr">
        <is>
          <t>OpenDART_fnlttSinglAcntAll</t>
        </is>
      </c>
      <c r="B166" s="29" t="inlineStr">
        <is>
          <t>00161383</t>
        </is>
      </c>
      <c r="C166" s="29" t="inlineStr">
        <is>
          <t>한미반도체</t>
        </is>
      </c>
      <c r="D166" s="29" t="inlineStr">
        <is>
          <t>hanmi</t>
        </is>
      </c>
      <c r="E166" s="29" t="inlineStr">
        <is>
          <t>042700</t>
        </is>
      </c>
      <c r="F166" s="29" t="inlineStr">
        <is>
          <t>2021</t>
        </is>
      </c>
      <c r="G166" s="29" t="inlineStr">
        <is>
          <t>CFS</t>
        </is>
      </c>
      <c r="H166" s="29" t="inlineStr">
        <is>
          <t>SCE</t>
        </is>
      </c>
      <c r="I166" s="29" t="inlineStr">
        <is>
          <t>자본변동표</t>
        </is>
      </c>
      <c r="J166" s="29" t="inlineStr">
        <is>
          <t>-표준계정코드 미사용-</t>
        </is>
      </c>
      <c r="K166" s="29" t="inlineStr">
        <is>
          <t>해외사업환산이익</t>
        </is>
      </c>
      <c r="L166" s="29" t="inlineStr">
        <is>
          <t>자본 [member]|지배기업지분|자본잉여금 [member]</t>
        </is>
      </c>
      <c r="M166" s="29" t="inlineStr">
        <is>
          <t>제 42 기</t>
        </is>
      </c>
      <c r="N166" s="29" t="inlineStr">
        <is>
          <t>0.0</t>
        </is>
      </c>
      <c r="O166" s="29" t="inlineStr">
        <is>
          <t>0.0</t>
        </is>
      </c>
      <c r="P166" s="29" t="inlineStr">
        <is>
          <t>KRW</t>
        </is>
      </c>
      <c r="Q166" s="29" t="inlineStr">
        <is>
          <t>5</t>
        </is>
      </c>
    </row>
    <row r="167" ht="24" customHeight="1">
      <c r="A167" s="24" t="inlineStr">
        <is>
          <t>OpenDART_fnlttSinglAcntAll</t>
        </is>
      </c>
      <c r="B167" s="24" t="inlineStr">
        <is>
          <t>00161383</t>
        </is>
      </c>
      <c r="C167" s="24" t="inlineStr">
        <is>
          <t>한미반도체</t>
        </is>
      </c>
      <c r="D167" s="24" t="inlineStr">
        <is>
          <t>hanmi</t>
        </is>
      </c>
      <c r="E167" s="24" t="inlineStr">
        <is>
          <t>042700</t>
        </is>
      </c>
      <c r="F167" s="24" t="inlineStr">
        <is>
          <t>2021</t>
        </is>
      </c>
      <c r="G167" s="24" t="inlineStr">
        <is>
          <t>CFS</t>
        </is>
      </c>
      <c r="H167" s="24" t="inlineStr">
        <is>
          <t>SCE</t>
        </is>
      </c>
      <c r="I167" s="24" t="inlineStr">
        <is>
          <t>자본변동표</t>
        </is>
      </c>
      <c r="J167" s="24" t="inlineStr">
        <is>
          <t>-표준계정코드 미사용-</t>
        </is>
      </c>
      <c r="K167" s="24" t="inlineStr">
        <is>
          <t>해외사업환산이익</t>
        </is>
      </c>
      <c r="L167" s="24" t="inlineStr">
        <is>
          <t>연결재무제표 [member]</t>
        </is>
      </c>
      <c r="M167" s="24" t="inlineStr">
        <is>
          <t>제 42 기</t>
        </is>
      </c>
      <c r="N167" s="24" t="inlineStr">
        <is>
          <t>321413324.0</t>
        </is>
      </c>
      <c r="O167" s="24" t="inlineStr">
        <is>
          <t>0.0</t>
        </is>
      </c>
      <c r="P167" s="24" t="inlineStr">
        <is>
          <t>KRW</t>
        </is>
      </c>
      <c r="Q167" s="24" t="inlineStr">
        <is>
          <t>5</t>
        </is>
      </c>
    </row>
    <row r="168" ht="24" customHeight="1">
      <c r="A168" s="29" t="inlineStr">
        <is>
          <t>OpenDART_fnlttSinglAcntAll</t>
        </is>
      </c>
      <c r="B168" s="29" t="inlineStr">
        <is>
          <t>00161383</t>
        </is>
      </c>
      <c r="C168" s="29" t="inlineStr">
        <is>
          <t>한미반도체</t>
        </is>
      </c>
      <c r="D168" s="29" t="inlineStr">
        <is>
          <t>hanmi</t>
        </is>
      </c>
      <c r="E168" s="29" t="inlineStr">
        <is>
          <t>042700</t>
        </is>
      </c>
      <c r="F168" s="29" t="inlineStr">
        <is>
          <t>2021</t>
        </is>
      </c>
      <c r="G168" s="29" t="inlineStr">
        <is>
          <t>CFS</t>
        </is>
      </c>
      <c r="H168" s="29" t="inlineStr">
        <is>
          <t>SCE</t>
        </is>
      </c>
      <c r="I168" s="29" t="inlineStr">
        <is>
          <t>자본변동표</t>
        </is>
      </c>
      <c r="J168" s="29" t="inlineStr">
        <is>
          <t>-표준계정코드 미사용-</t>
        </is>
      </c>
      <c r="K168" s="29" t="inlineStr">
        <is>
          <t>해외사업환산이익</t>
        </is>
      </c>
      <c r="L168" s="29" t="inlineStr">
        <is>
          <t>자본 [member]|지배기업지분</t>
        </is>
      </c>
      <c r="M168" s="29" t="inlineStr">
        <is>
          <t>제 42 기</t>
        </is>
      </c>
      <c r="N168" s="29" t="inlineStr">
        <is>
          <t>321413324.0</t>
        </is>
      </c>
      <c r="O168" s="29" t="inlineStr">
        <is>
          <t>0.0</t>
        </is>
      </c>
      <c r="P168" s="29" t="inlineStr">
        <is>
          <t>KRW</t>
        </is>
      </c>
      <c r="Q168" s="29" t="inlineStr">
        <is>
          <t>5</t>
        </is>
      </c>
    </row>
    <row r="169" ht="24" customHeight="1">
      <c r="A169" s="24" t="inlineStr">
        <is>
          <t>OpenDART_fnlttSinglAcntAll</t>
        </is>
      </c>
      <c r="B169" s="24" t="inlineStr">
        <is>
          <t>00161383</t>
        </is>
      </c>
      <c r="C169" s="24" t="inlineStr">
        <is>
          <t>한미반도체</t>
        </is>
      </c>
      <c r="D169" s="24" t="inlineStr">
        <is>
          <t>hanmi</t>
        </is>
      </c>
      <c r="E169" s="24" t="inlineStr">
        <is>
          <t>042700</t>
        </is>
      </c>
      <c r="F169" s="24" t="inlineStr">
        <is>
          <t>2021</t>
        </is>
      </c>
      <c r="G169" s="24" t="inlineStr">
        <is>
          <t>CFS</t>
        </is>
      </c>
      <c r="H169" s="24" t="inlineStr">
        <is>
          <t>SCE</t>
        </is>
      </c>
      <c r="I169" s="24" t="inlineStr">
        <is>
          <t>자본변동표</t>
        </is>
      </c>
      <c r="J169" s="24" t="inlineStr">
        <is>
          <t>-표준계정코드 미사용-</t>
        </is>
      </c>
      <c r="K169" s="24" t="inlineStr">
        <is>
          <t>해외사업환산이익</t>
        </is>
      </c>
      <c r="L169" s="24" t="inlineStr">
        <is>
          <t>자본 [member]|지배기업지분|기타자본구성요소 [member]</t>
        </is>
      </c>
      <c r="M169" s="24" t="inlineStr">
        <is>
          <t>제 42 기</t>
        </is>
      </c>
      <c r="N169" s="24" t="inlineStr">
        <is>
          <t>0.0</t>
        </is>
      </c>
      <c r="O169" s="24" t="inlineStr">
        <is>
          <t>0.0</t>
        </is>
      </c>
      <c r="P169" s="24" t="inlineStr">
        <is>
          <t>KRW</t>
        </is>
      </c>
      <c r="Q169" s="24" t="inlineStr">
        <is>
          <t>5</t>
        </is>
      </c>
    </row>
    <row r="170" ht="24" customHeight="1">
      <c r="A170" s="29" t="inlineStr">
        <is>
          <t>OpenDART_fnlttSinglAcntAll</t>
        </is>
      </c>
      <c r="B170" s="29" t="inlineStr">
        <is>
          <t>00161383</t>
        </is>
      </c>
      <c r="C170" s="29" t="inlineStr">
        <is>
          <t>한미반도체</t>
        </is>
      </c>
      <c r="D170" s="29" t="inlineStr">
        <is>
          <t>hanmi</t>
        </is>
      </c>
      <c r="E170" s="29" t="inlineStr">
        <is>
          <t>042700</t>
        </is>
      </c>
      <c r="F170" s="29" t="inlineStr">
        <is>
          <t>2021</t>
        </is>
      </c>
      <c r="G170" s="29" t="inlineStr">
        <is>
          <t>CFS</t>
        </is>
      </c>
      <c r="H170" s="29" t="inlineStr">
        <is>
          <t>SCE</t>
        </is>
      </c>
      <c r="I170" s="29" t="inlineStr">
        <is>
          <t>자본변동표</t>
        </is>
      </c>
      <c r="J170" s="29" t="inlineStr">
        <is>
          <t>-표준계정코드 미사용-</t>
        </is>
      </c>
      <c r="K170" s="29" t="inlineStr">
        <is>
          <t>해외사업환산이익</t>
        </is>
      </c>
      <c r="L170" s="29" t="inlineStr">
        <is>
          <t>자본 [member]|지배기업지분|기타포괄손익누계액 [member]</t>
        </is>
      </c>
      <c r="M170" s="29" t="inlineStr">
        <is>
          <t>제 42 기</t>
        </is>
      </c>
      <c r="N170" s="29" t="inlineStr">
        <is>
          <t>321413324.0</t>
        </is>
      </c>
      <c r="O170" s="29" t="inlineStr">
        <is>
          <t>0.0</t>
        </is>
      </c>
      <c r="P170" s="29" t="inlineStr">
        <is>
          <t>KRW</t>
        </is>
      </c>
      <c r="Q170" s="29" t="inlineStr">
        <is>
          <t>5</t>
        </is>
      </c>
    </row>
    <row r="171" ht="24" customHeight="1">
      <c r="A171" s="24" t="inlineStr">
        <is>
          <t>OpenDART_fnlttSinglAcntAll</t>
        </is>
      </c>
      <c r="B171" s="24" t="inlineStr">
        <is>
          <t>00161383</t>
        </is>
      </c>
      <c r="C171" s="24" t="inlineStr">
        <is>
          <t>한미반도체</t>
        </is>
      </c>
      <c r="D171" s="24" t="inlineStr">
        <is>
          <t>hanmi</t>
        </is>
      </c>
      <c r="E171" s="24" t="inlineStr">
        <is>
          <t>042700</t>
        </is>
      </c>
      <c r="F171" s="24" t="inlineStr">
        <is>
          <t>2021</t>
        </is>
      </c>
      <c r="G171" s="24" t="inlineStr">
        <is>
          <t>CFS</t>
        </is>
      </c>
      <c r="H171" s="24" t="inlineStr">
        <is>
          <t>SCE</t>
        </is>
      </c>
      <c r="I171" s="24" t="inlineStr">
        <is>
          <t>자본변동표</t>
        </is>
      </c>
      <c r="J171" s="24" t="inlineStr">
        <is>
          <t>-표준계정코드 미사용-</t>
        </is>
      </c>
      <c r="K171" s="24" t="inlineStr">
        <is>
          <t>해외사업환산이익</t>
        </is>
      </c>
      <c r="L171" s="24" t="inlineStr">
        <is>
          <t>자본 [member]|지배기업지분|이익잉여금 [member]</t>
        </is>
      </c>
      <c r="M171" s="24" t="inlineStr">
        <is>
          <t>제 42 기</t>
        </is>
      </c>
      <c r="N171" s="24" t="inlineStr">
        <is>
          <t>0.0</t>
        </is>
      </c>
      <c r="O171" s="24" t="inlineStr">
        <is>
          <t>0.0</t>
        </is>
      </c>
      <c r="P171" s="24" t="inlineStr">
        <is>
          <t>KRW</t>
        </is>
      </c>
      <c r="Q171" s="24" t="inlineStr">
        <is>
          <t>5</t>
        </is>
      </c>
    </row>
    <row r="172" ht="24" customHeight="1">
      <c r="A172" s="29" t="inlineStr">
        <is>
          <t>OpenDART_fnlttSinglAcntAll</t>
        </is>
      </c>
      <c r="B172" s="29" t="inlineStr">
        <is>
          <t>00161383</t>
        </is>
      </c>
      <c r="C172" s="29" t="inlineStr">
        <is>
          <t>한미반도체</t>
        </is>
      </c>
      <c r="D172" s="29" t="inlineStr">
        <is>
          <t>hanmi</t>
        </is>
      </c>
      <c r="E172" s="29" t="inlineStr">
        <is>
          <t>042700</t>
        </is>
      </c>
      <c r="F172" s="29" t="inlineStr">
        <is>
          <t>2021</t>
        </is>
      </c>
      <c r="G172" s="29" t="inlineStr">
        <is>
          <t>CFS</t>
        </is>
      </c>
      <c r="H172" s="29" t="inlineStr">
        <is>
          <t>SCE</t>
        </is>
      </c>
      <c r="I172" s="29" t="inlineStr">
        <is>
          <t>자본변동표</t>
        </is>
      </c>
      <c r="J172" s="29" t="inlineStr">
        <is>
          <t>-표준계정코드 미사용-</t>
        </is>
      </c>
      <c r="K172" s="29" t="inlineStr">
        <is>
          <t>해외사업환산이익</t>
        </is>
      </c>
      <c r="L172" s="29" t="inlineStr">
        <is>
          <t>자본 [member]|지배기업지분|자본금 [member]</t>
        </is>
      </c>
      <c r="M172" s="29" t="inlineStr">
        <is>
          <t>제 42 기</t>
        </is>
      </c>
      <c r="N172" s="29" t="inlineStr">
        <is>
          <t>0.0</t>
        </is>
      </c>
      <c r="O172" s="29" t="inlineStr">
        <is>
          <t>0.0</t>
        </is>
      </c>
      <c r="P172" s="29" t="inlineStr">
        <is>
          <t>KRW</t>
        </is>
      </c>
      <c r="Q172" s="29" t="inlineStr">
        <is>
          <t>5</t>
        </is>
      </c>
    </row>
    <row r="173" ht="24" customHeight="1">
      <c r="A173" s="24" t="inlineStr">
        <is>
          <t>OpenDART_fnlttSinglAcntAll</t>
        </is>
      </c>
      <c r="B173" s="24" t="inlineStr">
        <is>
          <t>00161383</t>
        </is>
      </c>
      <c r="C173" s="24" t="inlineStr">
        <is>
          <t>한미반도체</t>
        </is>
      </c>
      <c r="D173" s="24" t="inlineStr">
        <is>
          <t>hanmi</t>
        </is>
      </c>
      <c r="E173" s="24" t="inlineStr">
        <is>
          <t>042700</t>
        </is>
      </c>
      <c r="F173" s="24" t="inlineStr">
        <is>
          <t>2021</t>
        </is>
      </c>
      <c r="G173" s="24" t="inlineStr">
        <is>
          <t>CFS</t>
        </is>
      </c>
      <c r="H173" s="24" t="inlineStr">
        <is>
          <t>SCE</t>
        </is>
      </c>
      <c r="I173" s="24" t="inlineStr">
        <is>
          <t>자본변동표</t>
        </is>
      </c>
      <c r="J173" s="24" t="inlineStr">
        <is>
          <t>-표준계정코드 미사용-</t>
        </is>
      </c>
      <c r="K173" s="24" t="inlineStr">
        <is>
          <t>해외사업환산손실</t>
        </is>
      </c>
      <c r="L173" s="24" t="inlineStr">
        <is>
          <t>자본 [member]|지배기업지분|자본잉여금 [member]</t>
        </is>
      </c>
      <c r="M173" s="24" t="inlineStr">
        <is>
          <t>제 42 기</t>
        </is>
      </c>
      <c r="N173" s="24" t="inlineStr">
        <is>
          <t>0.0</t>
        </is>
      </c>
      <c r="O173" s="24" t="inlineStr">
        <is>
          <t>0.0</t>
        </is>
      </c>
      <c r="P173" s="24" t="inlineStr">
        <is>
          <t>KRW</t>
        </is>
      </c>
      <c r="Q173" s="24" t="inlineStr">
        <is>
          <t>6</t>
        </is>
      </c>
    </row>
    <row r="174" ht="24" customHeight="1">
      <c r="A174" s="29" t="inlineStr">
        <is>
          <t>OpenDART_fnlttSinglAcntAll</t>
        </is>
      </c>
      <c r="B174" s="29" t="inlineStr">
        <is>
          <t>00161383</t>
        </is>
      </c>
      <c r="C174" s="29" t="inlineStr">
        <is>
          <t>한미반도체</t>
        </is>
      </c>
      <c r="D174" s="29" t="inlineStr">
        <is>
          <t>hanmi</t>
        </is>
      </c>
      <c r="E174" s="29" t="inlineStr">
        <is>
          <t>042700</t>
        </is>
      </c>
      <c r="F174" s="29" t="inlineStr">
        <is>
          <t>2021</t>
        </is>
      </c>
      <c r="G174" s="29" t="inlineStr">
        <is>
          <t>CFS</t>
        </is>
      </c>
      <c r="H174" s="29" t="inlineStr">
        <is>
          <t>SCE</t>
        </is>
      </c>
      <c r="I174" s="29" t="inlineStr">
        <is>
          <t>자본변동표</t>
        </is>
      </c>
      <c r="J174" s="29" t="inlineStr">
        <is>
          <t>-표준계정코드 미사용-</t>
        </is>
      </c>
      <c r="K174" s="29" t="inlineStr">
        <is>
          <t>해외사업환산손실</t>
        </is>
      </c>
      <c r="L174" s="29" t="inlineStr">
        <is>
          <t>자본 [member]|지배기업지분|자본금 [member]</t>
        </is>
      </c>
      <c r="M174" s="29" t="inlineStr">
        <is>
          <t>제 42 기</t>
        </is>
      </c>
      <c r="N174" s="29" t="inlineStr">
        <is>
          <t>0.0</t>
        </is>
      </c>
      <c r="O174" s="29" t="inlineStr">
        <is>
          <t>0.0</t>
        </is>
      </c>
      <c r="P174" s="29" t="inlineStr">
        <is>
          <t>KRW</t>
        </is>
      </c>
      <c r="Q174" s="29" t="inlineStr">
        <is>
          <t>6</t>
        </is>
      </c>
    </row>
    <row r="175" ht="24" customHeight="1">
      <c r="A175" s="24" t="inlineStr">
        <is>
          <t>OpenDART_fnlttSinglAcntAll</t>
        </is>
      </c>
      <c r="B175" s="24" t="inlineStr">
        <is>
          <t>00161383</t>
        </is>
      </c>
      <c r="C175" s="24" t="inlineStr">
        <is>
          <t>한미반도체</t>
        </is>
      </c>
      <c r="D175" s="24" t="inlineStr">
        <is>
          <t>hanmi</t>
        </is>
      </c>
      <c r="E175" s="24" t="inlineStr">
        <is>
          <t>042700</t>
        </is>
      </c>
      <c r="F175" s="24" t="inlineStr">
        <is>
          <t>2021</t>
        </is>
      </c>
      <c r="G175" s="24" t="inlineStr">
        <is>
          <t>CFS</t>
        </is>
      </c>
      <c r="H175" s="24" t="inlineStr">
        <is>
          <t>SCE</t>
        </is>
      </c>
      <c r="I175" s="24" t="inlineStr">
        <is>
          <t>자본변동표</t>
        </is>
      </c>
      <c r="J175" s="24" t="inlineStr">
        <is>
          <t>-표준계정코드 미사용-</t>
        </is>
      </c>
      <c r="K175" s="24" t="inlineStr">
        <is>
          <t>해외사업환산손실</t>
        </is>
      </c>
      <c r="L175" s="24" t="inlineStr">
        <is>
          <t>자본 [member]|지배기업지분|이익잉여금 [member]</t>
        </is>
      </c>
      <c r="M175" s="24" t="inlineStr">
        <is>
          <t>제 42 기</t>
        </is>
      </c>
      <c r="N175" s="24" t="inlineStr">
        <is>
          <t>0.0</t>
        </is>
      </c>
      <c r="O175" s="24" t="inlineStr">
        <is>
          <t>0.0</t>
        </is>
      </c>
      <c r="P175" s="24" t="inlineStr">
        <is>
          <t>KRW</t>
        </is>
      </c>
      <c r="Q175" s="24" t="inlineStr">
        <is>
          <t>6</t>
        </is>
      </c>
    </row>
    <row r="176" ht="24" customHeight="1">
      <c r="A176" s="29" t="inlineStr">
        <is>
          <t>OpenDART_fnlttSinglAcntAll</t>
        </is>
      </c>
      <c r="B176" s="29" t="inlineStr">
        <is>
          <t>00161383</t>
        </is>
      </c>
      <c r="C176" s="29" t="inlineStr">
        <is>
          <t>한미반도체</t>
        </is>
      </c>
      <c r="D176" s="29" t="inlineStr">
        <is>
          <t>hanmi</t>
        </is>
      </c>
      <c r="E176" s="29" t="inlineStr">
        <is>
          <t>042700</t>
        </is>
      </c>
      <c r="F176" s="29" t="inlineStr">
        <is>
          <t>2021</t>
        </is>
      </c>
      <c r="G176" s="29" t="inlineStr">
        <is>
          <t>CFS</t>
        </is>
      </c>
      <c r="H176" s="29" t="inlineStr">
        <is>
          <t>SCE</t>
        </is>
      </c>
      <c r="I176" s="29" t="inlineStr">
        <is>
          <t>자본변동표</t>
        </is>
      </c>
      <c r="J176" s="29" t="inlineStr">
        <is>
          <t>-표준계정코드 미사용-</t>
        </is>
      </c>
      <c r="K176" s="29" t="inlineStr">
        <is>
          <t>해외사업환산손실</t>
        </is>
      </c>
      <c r="L176" s="29" t="inlineStr">
        <is>
          <t>자본 [member]|지배기업지분|기타포괄손익누계액 [member]</t>
        </is>
      </c>
      <c r="M176" s="29" t="inlineStr">
        <is>
          <t>제 42 기</t>
        </is>
      </c>
      <c r="N176" s="29" t="inlineStr">
        <is>
          <t>0.0</t>
        </is>
      </c>
      <c r="O176" s="29" t="inlineStr">
        <is>
          <t>-78441836.0</t>
        </is>
      </c>
      <c r="P176" s="29" t="inlineStr">
        <is>
          <t>KRW</t>
        </is>
      </c>
      <c r="Q176" s="29" t="inlineStr">
        <is>
          <t>6</t>
        </is>
      </c>
    </row>
    <row r="177" ht="24" customHeight="1">
      <c r="A177" s="24" t="inlineStr">
        <is>
          <t>OpenDART_fnlttSinglAcntAll</t>
        </is>
      </c>
      <c r="B177" s="24" t="inlineStr">
        <is>
          <t>00161383</t>
        </is>
      </c>
      <c r="C177" s="24" t="inlineStr">
        <is>
          <t>한미반도체</t>
        </is>
      </c>
      <c r="D177" s="24" t="inlineStr">
        <is>
          <t>hanmi</t>
        </is>
      </c>
      <c r="E177" s="24" t="inlineStr">
        <is>
          <t>042700</t>
        </is>
      </c>
      <c r="F177" s="24" t="inlineStr">
        <is>
          <t>2021</t>
        </is>
      </c>
      <c r="G177" s="24" t="inlineStr">
        <is>
          <t>CFS</t>
        </is>
      </c>
      <c r="H177" s="24" t="inlineStr">
        <is>
          <t>SCE</t>
        </is>
      </c>
      <c r="I177" s="24" t="inlineStr">
        <is>
          <t>자본변동표</t>
        </is>
      </c>
      <c r="J177" s="24" t="inlineStr">
        <is>
          <t>-표준계정코드 미사용-</t>
        </is>
      </c>
      <c r="K177" s="24" t="inlineStr">
        <is>
          <t>해외사업환산손실</t>
        </is>
      </c>
      <c r="L177" s="24" t="inlineStr">
        <is>
          <t>자본 [member]|지배기업지분|기타자본구성요소 [member]</t>
        </is>
      </c>
      <c r="M177" s="24" t="inlineStr">
        <is>
          <t>제 42 기</t>
        </is>
      </c>
      <c r="N177" s="24" t="inlineStr">
        <is>
          <t>0.0</t>
        </is>
      </c>
      <c r="O177" s="24" t="inlineStr">
        <is>
          <t>0.0</t>
        </is>
      </c>
      <c r="P177" s="24" t="inlineStr">
        <is>
          <t>KRW</t>
        </is>
      </c>
      <c r="Q177" s="24" t="inlineStr">
        <is>
          <t>6</t>
        </is>
      </c>
    </row>
    <row r="178" ht="24" customHeight="1">
      <c r="A178" s="29" t="inlineStr">
        <is>
          <t>OpenDART_fnlttSinglAcntAll</t>
        </is>
      </c>
      <c r="B178" s="29" t="inlineStr">
        <is>
          <t>00161383</t>
        </is>
      </c>
      <c r="C178" s="29" t="inlineStr">
        <is>
          <t>한미반도체</t>
        </is>
      </c>
      <c r="D178" s="29" t="inlineStr">
        <is>
          <t>hanmi</t>
        </is>
      </c>
      <c r="E178" s="29" t="inlineStr">
        <is>
          <t>042700</t>
        </is>
      </c>
      <c r="F178" s="29" t="inlineStr">
        <is>
          <t>2021</t>
        </is>
      </c>
      <c r="G178" s="29" t="inlineStr">
        <is>
          <t>CFS</t>
        </is>
      </c>
      <c r="H178" s="29" t="inlineStr">
        <is>
          <t>SCE</t>
        </is>
      </c>
      <c r="I178" s="29" t="inlineStr">
        <is>
          <t>자본변동표</t>
        </is>
      </c>
      <c r="J178" s="29" t="inlineStr">
        <is>
          <t>-표준계정코드 미사용-</t>
        </is>
      </c>
      <c r="K178" s="29" t="inlineStr">
        <is>
          <t>해외사업환산손실</t>
        </is>
      </c>
      <c r="L178" s="29" t="inlineStr">
        <is>
          <t>자본 [member]|지배기업지분</t>
        </is>
      </c>
      <c r="M178" s="29" t="inlineStr">
        <is>
          <t>제 42 기</t>
        </is>
      </c>
      <c r="N178" s="29" t="inlineStr">
        <is>
          <t>0.0</t>
        </is>
      </c>
      <c r="O178" s="29" t="inlineStr">
        <is>
          <t>-78441836.0</t>
        </is>
      </c>
      <c r="P178" s="29" t="inlineStr">
        <is>
          <t>KRW</t>
        </is>
      </c>
      <c r="Q178" s="29" t="inlineStr">
        <is>
          <t>6</t>
        </is>
      </c>
    </row>
    <row r="179" ht="24" customHeight="1">
      <c r="A179" s="24" t="inlineStr">
        <is>
          <t>OpenDART_fnlttSinglAcntAll</t>
        </is>
      </c>
      <c r="B179" s="24" t="inlineStr">
        <is>
          <t>00161383</t>
        </is>
      </c>
      <c r="C179" s="24" t="inlineStr">
        <is>
          <t>한미반도체</t>
        </is>
      </c>
      <c r="D179" s="24" t="inlineStr">
        <is>
          <t>hanmi</t>
        </is>
      </c>
      <c r="E179" s="24" t="inlineStr">
        <is>
          <t>042700</t>
        </is>
      </c>
      <c r="F179" s="24" t="inlineStr">
        <is>
          <t>2021</t>
        </is>
      </c>
      <c r="G179" s="24" t="inlineStr">
        <is>
          <t>CFS</t>
        </is>
      </c>
      <c r="H179" s="24" t="inlineStr">
        <is>
          <t>SCE</t>
        </is>
      </c>
      <c r="I179" s="24" t="inlineStr">
        <is>
          <t>자본변동표</t>
        </is>
      </c>
      <c r="J179" s="24" t="inlineStr">
        <is>
          <t>-표준계정코드 미사용-</t>
        </is>
      </c>
      <c r="K179" s="24" t="inlineStr">
        <is>
          <t>해외사업환산손실</t>
        </is>
      </c>
      <c r="L179" s="24" t="inlineStr">
        <is>
          <t>연결재무제표 [member]</t>
        </is>
      </c>
      <c r="M179" s="24" t="inlineStr">
        <is>
          <t>제 42 기</t>
        </is>
      </c>
      <c r="N179" s="24" t="inlineStr">
        <is>
          <t>0.0</t>
        </is>
      </c>
      <c r="O179" s="24" t="inlineStr">
        <is>
          <t>-78441836.0</t>
        </is>
      </c>
      <c r="P179" s="24" t="inlineStr">
        <is>
          <t>KRW</t>
        </is>
      </c>
      <c r="Q179" s="24" t="inlineStr">
        <is>
          <t>6</t>
        </is>
      </c>
    </row>
    <row r="180" ht="24" customHeight="1">
      <c r="A180" s="29" t="inlineStr">
        <is>
          <t>OpenDART_fnlttSinglAcntAll</t>
        </is>
      </c>
      <c r="B180" s="29" t="inlineStr">
        <is>
          <t>00161383</t>
        </is>
      </c>
      <c r="C180" s="29" t="inlineStr">
        <is>
          <t>한미반도체</t>
        </is>
      </c>
      <c r="D180" s="29" t="inlineStr">
        <is>
          <t>hanmi</t>
        </is>
      </c>
      <c r="E180" s="29" t="inlineStr">
        <is>
          <t>042700</t>
        </is>
      </c>
      <c r="F180" s="29" t="inlineStr">
        <is>
          <t>2021</t>
        </is>
      </c>
      <c r="G180" s="29" t="inlineStr">
        <is>
          <t>CFS</t>
        </is>
      </c>
      <c r="H180" s="29" t="inlineStr">
        <is>
          <t>SCE</t>
        </is>
      </c>
      <c r="I180" s="29" t="inlineStr">
        <is>
          <t>자본변동표</t>
        </is>
      </c>
      <c r="J180" s="29" t="inlineStr">
        <is>
          <t>ifrs-full_DividendsPaid</t>
        </is>
      </c>
      <c r="K180" s="29" t="inlineStr">
        <is>
          <t>배당금</t>
        </is>
      </c>
      <c r="L180" s="29" t="inlineStr">
        <is>
          <t>자본 [member]|지배기업지분|자본잉여금 [member]</t>
        </is>
      </c>
      <c r="M180" s="29" t="inlineStr">
        <is>
          <t>제 42 기</t>
        </is>
      </c>
      <c r="N180" s="29" t="inlineStr">
        <is>
          <t>0.0</t>
        </is>
      </c>
      <c r="O180" s="29" t="inlineStr">
        <is>
          <t>0.0</t>
        </is>
      </c>
      <c r="P180" s="29" t="inlineStr">
        <is>
          <t>KRW</t>
        </is>
      </c>
      <c r="Q180" s="29" t="inlineStr">
        <is>
          <t>7</t>
        </is>
      </c>
    </row>
    <row r="181" ht="24" customHeight="1">
      <c r="A181" s="24" t="inlineStr">
        <is>
          <t>OpenDART_fnlttSinglAcntAll</t>
        </is>
      </c>
      <c r="B181" s="24" t="inlineStr">
        <is>
          <t>00161383</t>
        </is>
      </c>
      <c r="C181" s="24" t="inlineStr">
        <is>
          <t>한미반도체</t>
        </is>
      </c>
      <c r="D181" s="24" t="inlineStr">
        <is>
          <t>hanmi</t>
        </is>
      </c>
      <c r="E181" s="24" t="inlineStr">
        <is>
          <t>042700</t>
        </is>
      </c>
      <c r="F181" s="24" t="inlineStr">
        <is>
          <t>2021</t>
        </is>
      </c>
      <c r="G181" s="24" t="inlineStr">
        <is>
          <t>CFS</t>
        </is>
      </c>
      <c r="H181" s="24" t="inlineStr">
        <is>
          <t>SCE</t>
        </is>
      </c>
      <c r="I181" s="24" t="inlineStr">
        <is>
          <t>자본변동표</t>
        </is>
      </c>
      <c r="J181" s="24" t="inlineStr">
        <is>
          <t>ifrs-full_DividendsPaid</t>
        </is>
      </c>
      <c r="K181" s="24" t="inlineStr">
        <is>
          <t>배당금</t>
        </is>
      </c>
      <c r="L181" s="24" t="inlineStr">
        <is>
          <t>연결재무제표 [member]</t>
        </is>
      </c>
      <c r="M181" s="24" t="inlineStr">
        <is>
          <t>제 42 기</t>
        </is>
      </c>
      <c r="N181" s="24" t="inlineStr">
        <is>
          <t>19671513600.0</t>
        </is>
      </c>
      <c r="O181" s="24" t="inlineStr">
        <is>
          <t>5024063400.0</t>
        </is>
      </c>
      <c r="P181" s="24" t="inlineStr">
        <is>
          <t>KRW</t>
        </is>
      </c>
      <c r="Q181" s="24" t="inlineStr">
        <is>
          <t>7</t>
        </is>
      </c>
    </row>
    <row r="182" ht="24" customHeight="1">
      <c r="A182" s="29" t="inlineStr">
        <is>
          <t>OpenDART_fnlttSinglAcntAll</t>
        </is>
      </c>
      <c r="B182" s="29" t="inlineStr">
        <is>
          <t>00161383</t>
        </is>
      </c>
      <c r="C182" s="29" t="inlineStr">
        <is>
          <t>한미반도체</t>
        </is>
      </c>
      <c r="D182" s="29" t="inlineStr">
        <is>
          <t>hanmi</t>
        </is>
      </c>
      <c r="E182" s="29" t="inlineStr">
        <is>
          <t>042700</t>
        </is>
      </c>
      <c r="F182" s="29" t="inlineStr">
        <is>
          <t>2021</t>
        </is>
      </c>
      <c r="G182" s="29" t="inlineStr">
        <is>
          <t>CFS</t>
        </is>
      </c>
      <c r="H182" s="29" t="inlineStr">
        <is>
          <t>SCE</t>
        </is>
      </c>
      <c r="I182" s="29" t="inlineStr">
        <is>
          <t>자본변동표</t>
        </is>
      </c>
      <c r="J182" s="29" t="inlineStr">
        <is>
          <t>ifrs-full_DividendsPaid</t>
        </is>
      </c>
      <c r="K182" s="29" t="inlineStr">
        <is>
          <t>배당금</t>
        </is>
      </c>
      <c r="L182" s="29" t="inlineStr">
        <is>
          <t>자본 [member]|지배기업지분</t>
        </is>
      </c>
      <c r="M182" s="29" t="inlineStr">
        <is>
          <t>제 42 기</t>
        </is>
      </c>
      <c r="N182" s="29" t="inlineStr">
        <is>
          <t>19671513600.0</t>
        </is>
      </c>
      <c r="O182" s="29" t="inlineStr">
        <is>
          <t>5024063400.0</t>
        </is>
      </c>
      <c r="P182" s="29" t="inlineStr">
        <is>
          <t>KRW</t>
        </is>
      </c>
      <c r="Q182" s="29" t="inlineStr">
        <is>
          <t>7</t>
        </is>
      </c>
    </row>
    <row r="183" ht="24" customHeight="1">
      <c r="A183" s="24" t="inlineStr">
        <is>
          <t>OpenDART_fnlttSinglAcntAll</t>
        </is>
      </c>
      <c r="B183" s="24" t="inlineStr">
        <is>
          <t>00161383</t>
        </is>
      </c>
      <c r="C183" s="24" t="inlineStr">
        <is>
          <t>한미반도체</t>
        </is>
      </c>
      <c r="D183" s="24" t="inlineStr">
        <is>
          <t>hanmi</t>
        </is>
      </c>
      <c r="E183" s="24" t="inlineStr">
        <is>
          <t>042700</t>
        </is>
      </c>
      <c r="F183" s="24" t="inlineStr">
        <is>
          <t>2021</t>
        </is>
      </c>
      <c r="G183" s="24" t="inlineStr">
        <is>
          <t>CFS</t>
        </is>
      </c>
      <c r="H183" s="24" t="inlineStr">
        <is>
          <t>SCE</t>
        </is>
      </c>
      <c r="I183" s="24" t="inlineStr">
        <is>
          <t>자본변동표</t>
        </is>
      </c>
      <c r="J183" s="24" t="inlineStr">
        <is>
          <t>ifrs-full_DividendsPaid</t>
        </is>
      </c>
      <c r="K183" s="24" t="inlineStr">
        <is>
          <t>배당금</t>
        </is>
      </c>
      <c r="L183" s="24" t="inlineStr">
        <is>
          <t>자본 [member]|지배기업지분|기타자본구성요소 [member]</t>
        </is>
      </c>
      <c r="M183" s="24" t="inlineStr">
        <is>
          <t>제 42 기</t>
        </is>
      </c>
      <c r="N183" s="24" t="inlineStr">
        <is>
          <t>0.0</t>
        </is>
      </c>
      <c r="O183" s="24" t="inlineStr">
        <is>
          <t>0.0</t>
        </is>
      </c>
      <c r="P183" s="24" t="inlineStr">
        <is>
          <t>KRW</t>
        </is>
      </c>
      <c r="Q183" s="24" t="inlineStr">
        <is>
          <t>7</t>
        </is>
      </c>
    </row>
    <row r="184" ht="24" customHeight="1">
      <c r="A184" s="29" t="inlineStr">
        <is>
          <t>OpenDART_fnlttSinglAcntAll</t>
        </is>
      </c>
      <c r="B184" s="29" t="inlineStr">
        <is>
          <t>00161383</t>
        </is>
      </c>
      <c r="C184" s="29" t="inlineStr">
        <is>
          <t>한미반도체</t>
        </is>
      </c>
      <c r="D184" s="29" t="inlineStr">
        <is>
          <t>hanmi</t>
        </is>
      </c>
      <c r="E184" s="29" t="inlineStr">
        <is>
          <t>042700</t>
        </is>
      </c>
      <c r="F184" s="29" t="inlineStr">
        <is>
          <t>2021</t>
        </is>
      </c>
      <c r="G184" s="29" t="inlineStr">
        <is>
          <t>CFS</t>
        </is>
      </c>
      <c r="H184" s="29" t="inlineStr">
        <is>
          <t>SCE</t>
        </is>
      </c>
      <c r="I184" s="29" t="inlineStr">
        <is>
          <t>자본변동표</t>
        </is>
      </c>
      <c r="J184" s="29" t="inlineStr">
        <is>
          <t>ifrs-full_DividendsPaid</t>
        </is>
      </c>
      <c r="K184" s="29" t="inlineStr">
        <is>
          <t>배당금</t>
        </is>
      </c>
      <c r="L184" s="29" t="inlineStr">
        <is>
          <t>자본 [member]|지배기업지분|기타포괄손익누계액 [member]</t>
        </is>
      </c>
      <c r="M184" s="29" t="inlineStr">
        <is>
          <t>제 42 기</t>
        </is>
      </c>
      <c r="N184" s="29" t="inlineStr">
        <is>
          <t>0.0</t>
        </is>
      </c>
      <c r="O184" s="29" t="inlineStr">
        <is>
          <t>0.0</t>
        </is>
      </c>
      <c r="P184" s="29" t="inlineStr">
        <is>
          <t>KRW</t>
        </is>
      </c>
      <c r="Q184" s="29" t="inlineStr">
        <is>
          <t>7</t>
        </is>
      </c>
    </row>
    <row r="185" ht="24" customHeight="1">
      <c r="A185" s="24" t="inlineStr">
        <is>
          <t>OpenDART_fnlttSinglAcntAll</t>
        </is>
      </c>
      <c r="B185" s="24" t="inlineStr">
        <is>
          <t>00161383</t>
        </is>
      </c>
      <c r="C185" s="24" t="inlineStr">
        <is>
          <t>한미반도체</t>
        </is>
      </c>
      <c r="D185" s="24" t="inlineStr">
        <is>
          <t>hanmi</t>
        </is>
      </c>
      <c r="E185" s="24" t="inlineStr">
        <is>
          <t>042700</t>
        </is>
      </c>
      <c r="F185" s="24" t="inlineStr">
        <is>
          <t>2021</t>
        </is>
      </c>
      <c r="G185" s="24" t="inlineStr">
        <is>
          <t>CFS</t>
        </is>
      </c>
      <c r="H185" s="24" t="inlineStr">
        <is>
          <t>SCE</t>
        </is>
      </c>
      <c r="I185" s="24" t="inlineStr">
        <is>
          <t>자본변동표</t>
        </is>
      </c>
      <c r="J185" s="24" t="inlineStr">
        <is>
          <t>ifrs-full_DividendsPaid</t>
        </is>
      </c>
      <c r="K185" s="24" t="inlineStr">
        <is>
          <t>배당금</t>
        </is>
      </c>
      <c r="L185" s="24" t="inlineStr">
        <is>
          <t>자본 [member]|지배기업지분|자본금 [member]</t>
        </is>
      </c>
      <c r="M185" s="24" t="inlineStr">
        <is>
          <t>제 42 기</t>
        </is>
      </c>
      <c r="N185" s="24" t="inlineStr">
        <is>
          <t>0.0</t>
        </is>
      </c>
      <c r="O185" s="24" t="inlineStr">
        <is>
          <t>0.0</t>
        </is>
      </c>
      <c r="P185" s="24" t="inlineStr">
        <is>
          <t>KRW</t>
        </is>
      </c>
      <c r="Q185" s="24" t="inlineStr">
        <is>
          <t>7</t>
        </is>
      </c>
    </row>
    <row r="186" ht="24" customHeight="1">
      <c r="A186" s="29" t="inlineStr">
        <is>
          <t>OpenDART_fnlttSinglAcntAll</t>
        </is>
      </c>
      <c r="B186" s="29" t="inlineStr">
        <is>
          <t>00161383</t>
        </is>
      </c>
      <c r="C186" s="29" t="inlineStr">
        <is>
          <t>한미반도체</t>
        </is>
      </c>
      <c r="D186" s="29" t="inlineStr">
        <is>
          <t>hanmi</t>
        </is>
      </c>
      <c r="E186" s="29" t="inlineStr">
        <is>
          <t>042700</t>
        </is>
      </c>
      <c r="F186" s="29" t="inlineStr">
        <is>
          <t>2021</t>
        </is>
      </c>
      <c r="G186" s="29" t="inlineStr">
        <is>
          <t>CFS</t>
        </is>
      </c>
      <c r="H186" s="29" t="inlineStr">
        <is>
          <t>SCE</t>
        </is>
      </c>
      <c r="I186" s="29" t="inlineStr">
        <is>
          <t>자본변동표</t>
        </is>
      </c>
      <c r="J186" s="29" t="inlineStr">
        <is>
          <t>ifrs-full_DividendsPaid</t>
        </is>
      </c>
      <c r="K186" s="29" t="inlineStr">
        <is>
          <t>배당금</t>
        </is>
      </c>
      <c r="L186" s="29" t="inlineStr">
        <is>
          <t>자본 [member]|지배기업지분|이익잉여금 [member]</t>
        </is>
      </c>
      <c r="M186" s="29" t="inlineStr">
        <is>
          <t>제 42 기</t>
        </is>
      </c>
      <c r="N186" s="29" t="inlineStr">
        <is>
          <t>19671513600.0</t>
        </is>
      </c>
      <c r="O186" s="29" t="inlineStr">
        <is>
          <t>5024063400.0</t>
        </is>
      </c>
      <c r="P186" s="29" t="inlineStr">
        <is>
          <t>KRW</t>
        </is>
      </c>
      <c r="Q186" s="29" t="inlineStr">
        <is>
          <t>7</t>
        </is>
      </c>
    </row>
    <row r="187" ht="24" customHeight="1">
      <c r="A187" s="24" t="inlineStr">
        <is>
          <t>OpenDART_fnlttSinglAcntAll</t>
        </is>
      </c>
      <c r="B187" s="24" t="inlineStr">
        <is>
          <t>00161383</t>
        </is>
      </c>
      <c r="C187" s="24" t="inlineStr">
        <is>
          <t>한미반도체</t>
        </is>
      </c>
      <c r="D187" s="24" t="inlineStr">
        <is>
          <t>hanmi</t>
        </is>
      </c>
      <c r="E187" s="24" t="inlineStr">
        <is>
          <t>042700</t>
        </is>
      </c>
      <c r="F187" s="24" t="inlineStr">
        <is>
          <t>2021</t>
        </is>
      </c>
      <c r="G187" s="24" t="inlineStr">
        <is>
          <t>CFS</t>
        </is>
      </c>
      <c r="H187" s="24" t="inlineStr">
        <is>
          <t>SCE</t>
        </is>
      </c>
      <c r="I187" s="24" t="inlineStr">
        <is>
          <t>자본변동표</t>
        </is>
      </c>
      <c r="J187" s="24" t="inlineStr">
        <is>
          <t>dart_TreasuryShareTransactions</t>
        </is>
      </c>
      <c r="K187" s="24" t="inlineStr">
        <is>
          <t>자기주식취득</t>
        </is>
      </c>
      <c r="L187" s="24" t="inlineStr">
        <is>
          <t>자본 [member]|지배기업지분|기타포괄손익누계액 [member]</t>
        </is>
      </c>
      <c r="M187" s="24" t="inlineStr">
        <is>
          <t>제 42 기</t>
        </is>
      </c>
      <c r="N187" s="24" t="inlineStr">
        <is>
          <t>0.0</t>
        </is>
      </c>
      <c r="O187" s="24" t="inlineStr">
        <is>
          <t>0.0</t>
        </is>
      </c>
      <c r="P187" s="24" t="inlineStr">
        <is>
          <t>KRW</t>
        </is>
      </c>
      <c r="Q187" s="24" t="inlineStr">
        <is>
          <t>8</t>
        </is>
      </c>
    </row>
    <row r="188" ht="24" customHeight="1">
      <c r="A188" s="29" t="inlineStr">
        <is>
          <t>OpenDART_fnlttSinglAcntAll</t>
        </is>
      </c>
      <c r="B188" s="29" t="inlineStr">
        <is>
          <t>00161383</t>
        </is>
      </c>
      <c r="C188" s="29" t="inlineStr">
        <is>
          <t>한미반도체</t>
        </is>
      </c>
      <c r="D188" s="29" t="inlineStr">
        <is>
          <t>hanmi</t>
        </is>
      </c>
      <c r="E188" s="29" t="inlineStr">
        <is>
          <t>042700</t>
        </is>
      </c>
      <c r="F188" s="29" t="inlineStr">
        <is>
          <t>2021</t>
        </is>
      </c>
      <c r="G188" s="29" t="inlineStr">
        <is>
          <t>CFS</t>
        </is>
      </c>
      <c r="H188" s="29" t="inlineStr">
        <is>
          <t>SCE</t>
        </is>
      </c>
      <c r="I188" s="29" t="inlineStr">
        <is>
          <t>자본변동표</t>
        </is>
      </c>
      <c r="J188" s="29" t="inlineStr">
        <is>
          <t>dart_TreasuryShareTransactions</t>
        </is>
      </c>
      <c r="K188" s="29" t="inlineStr">
        <is>
          <t>자기주식취득</t>
        </is>
      </c>
      <c r="L188" s="29" t="inlineStr">
        <is>
          <t>자본 [member]|지배기업지분|이익잉여금 [member]</t>
        </is>
      </c>
      <c r="M188" s="29" t="inlineStr">
        <is>
          <t>제 42 기</t>
        </is>
      </c>
      <c r="N188" s="29" t="inlineStr">
        <is>
          <t>0.0</t>
        </is>
      </c>
      <c r="O188" s="29" t="inlineStr">
        <is>
          <t>0.0</t>
        </is>
      </c>
      <c r="P188" s="29" t="inlineStr">
        <is>
          <t>KRW</t>
        </is>
      </c>
      <c r="Q188" s="29" t="inlineStr">
        <is>
          <t>8</t>
        </is>
      </c>
    </row>
    <row r="189" ht="24" customHeight="1">
      <c r="A189" s="24" t="inlineStr">
        <is>
          <t>OpenDART_fnlttSinglAcntAll</t>
        </is>
      </c>
      <c r="B189" s="24" t="inlineStr">
        <is>
          <t>00161383</t>
        </is>
      </c>
      <c r="C189" s="24" t="inlineStr">
        <is>
          <t>한미반도체</t>
        </is>
      </c>
      <c r="D189" s="24" t="inlineStr">
        <is>
          <t>hanmi</t>
        </is>
      </c>
      <c r="E189" s="24" t="inlineStr">
        <is>
          <t>042700</t>
        </is>
      </c>
      <c r="F189" s="24" t="inlineStr">
        <is>
          <t>2021</t>
        </is>
      </c>
      <c r="G189" s="24" t="inlineStr">
        <is>
          <t>CFS</t>
        </is>
      </c>
      <c r="H189" s="24" t="inlineStr">
        <is>
          <t>SCE</t>
        </is>
      </c>
      <c r="I189" s="24" t="inlineStr">
        <is>
          <t>자본변동표</t>
        </is>
      </c>
      <c r="J189" s="24" t="inlineStr">
        <is>
          <t>dart_TreasuryShareTransactions</t>
        </is>
      </c>
      <c r="K189" s="24" t="inlineStr">
        <is>
          <t>자기주식취득</t>
        </is>
      </c>
      <c r="L189" s="24" t="inlineStr">
        <is>
          <t>자본 [member]|지배기업지분|자본금 [member]</t>
        </is>
      </c>
      <c r="M189" s="24" t="inlineStr">
        <is>
          <t>제 42 기</t>
        </is>
      </c>
      <c r="N189" s="24" t="inlineStr">
        <is>
          <t>0.0</t>
        </is>
      </c>
      <c r="O189" s="24" t="inlineStr">
        <is>
          <t>0.0</t>
        </is>
      </c>
      <c r="P189" s="24" t="inlineStr">
        <is>
          <t>KRW</t>
        </is>
      </c>
      <c r="Q189" s="24" t="inlineStr">
        <is>
          <t>8</t>
        </is>
      </c>
    </row>
    <row r="190" ht="24" customHeight="1">
      <c r="A190" s="29" t="inlineStr">
        <is>
          <t>OpenDART_fnlttSinglAcntAll</t>
        </is>
      </c>
      <c r="B190" s="29" t="inlineStr">
        <is>
          <t>00161383</t>
        </is>
      </c>
      <c r="C190" s="29" t="inlineStr">
        <is>
          <t>한미반도체</t>
        </is>
      </c>
      <c r="D190" s="29" t="inlineStr">
        <is>
          <t>hanmi</t>
        </is>
      </c>
      <c r="E190" s="29" t="inlineStr">
        <is>
          <t>042700</t>
        </is>
      </c>
      <c r="F190" s="29" t="inlineStr">
        <is>
          <t>2021</t>
        </is>
      </c>
      <c r="G190" s="29" t="inlineStr">
        <is>
          <t>CFS</t>
        </is>
      </c>
      <c r="H190" s="29" t="inlineStr">
        <is>
          <t>SCE</t>
        </is>
      </c>
      <c r="I190" s="29" t="inlineStr">
        <is>
          <t>자본변동표</t>
        </is>
      </c>
      <c r="J190" s="29" t="inlineStr">
        <is>
          <t>dart_TreasuryShareTransactions</t>
        </is>
      </c>
      <c r="K190" s="29" t="inlineStr">
        <is>
          <t>자기주식취득</t>
        </is>
      </c>
      <c r="L190" s="29" t="inlineStr">
        <is>
          <t>자본 [member]|지배기업지분|기타자본구성요소 [member]</t>
        </is>
      </c>
      <c r="M190" s="29" t="inlineStr">
        <is>
          <t>제 42 기</t>
        </is>
      </c>
      <c r="N190" s="29" t="inlineStr">
        <is>
          <t>0.0</t>
        </is>
      </c>
      <c r="O190" s="29" t="inlineStr">
        <is>
          <t>-9977659640.0</t>
        </is>
      </c>
      <c r="P190" s="29" t="inlineStr">
        <is>
          <t>KRW</t>
        </is>
      </c>
      <c r="Q190" s="29" t="inlineStr">
        <is>
          <t>8</t>
        </is>
      </c>
    </row>
    <row r="191" ht="24" customHeight="1">
      <c r="A191" s="24" t="inlineStr">
        <is>
          <t>OpenDART_fnlttSinglAcntAll</t>
        </is>
      </c>
      <c r="B191" s="24" t="inlineStr">
        <is>
          <t>00161383</t>
        </is>
      </c>
      <c r="C191" s="24" t="inlineStr">
        <is>
          <t>한미반도체</t>
        </is>
      </c>
      <c r="D191" s="24" t="inlineStr">
        <is>
          <t>hanmi</t>
        </is>
      </c>
      <c r="E191" s="24" t="inlineStr">
        <is>
          <t>042700</t>
        </is>
      </c>
      <c r="F191" s="24" t="inlineStr">
        <is>
          <t>2021</t>
        </is>
      </c>
      <c r="G191" s="24" t="inlineStr">
        <is>
          <t>CFS</t>
        </is>
      </c>
      <c r="H191" s="24" t="inlineStr">
        <is>
          <t>SCE</t>
        </is>
      </c>
      <c r="I191" s="24" t="inlineStr">
        <is>
          <t>자본변동표</t>
        </is>
      </c>
      <c r="J191" s="24" t="inlineStr">
        <is>
          <t>dart_TreasuryShareTransactions</t>
        </is>
      </c>
      <c r="K191" s="24" t="inlineStr">
        <is>
          <t>자기주식취득</t>
        </is>
      </c>
      <c r="L191" s="24" t="inlineStr">
        <is>
          <t>자본 [member]|지배기업지분</t>
        </is>
      </c>
      <c r="M191" s="24" t="inlineStr">
        <is>
          <t>제 42 기</t>
        </is>
      </c>
      <c r="N191" s="24" t="inlineStr">
        <is>
          <t>0.0</t>
        </is>
      </c>
      <c r="O191" s="24" t="inlineStr">
        <is>
          <t>-9977659640.0</t>
        </is>
      </c>
      <c r="P191" s="24" t="inlineStr">
        <is>
          <t>KRW</t>
        </is>
      </c>
      <c r="Q191" s="24" t="inlineStr">
        <is>
          <t>8</t>
        </is>
      </c>
    </row>
    <row r="192" ht="24" customHeight="1">
      <c r="A192" s="29" t="inlineStr">
        <is>
          <t>OpenDART_fnlttSinglAcntAll</t>
        </is>
      </c>
      <c r="B192" s="29" t="inlineStr">
        <is>
          <t>00161383</t>
        </is>
      </c>
      <c r="C192" s="29" t="inlineStr">
        <is>
          <t>한미반도체</t>
        </is>
      </c>
      <c r="D192" s="29" t="inlineStr">
        <is>
          <t>hanmi</t>
        </is>
      </c>
      <c r="E192" s="29" t="inlineStr">
        <is>
          <t>042700</t>
        </is>
      </c>
      <c r="F192" s="29" t="inlineStr">
        <is>
          <t>2021</t>
        </is>
      </c>
      <c r="G192" s="29" t="inlineStr">
        <is>
          <t>CFS</t>
        </is>
      </c>
      <c r="H192" s="29" t="inlineStr">
        <is>
          <t>SCE</t>
        </is>
      </c>
      <c r="I192" s="29" t="inlineStr">
        <is>
          <t>자본변동표</t>
        </is>
      </c>
      <c r="J192" s="29" t="inlineStr">
        <is>
          <t>dart_TreasuryShareTransactions</t>
        </is>
      </c>
      <c r="K192" s="29" t="inlineStr">
        <is>
          <t>자기주식취득</t>
        </is>
      </c>
      <c r="L192" s="29" t="inlineStr">
        <is>
          <t>연결재무제표 [member]</t>
        </is>
      </c>
      <c r="M192" s="29" t="inlineStr">
        <is>
          <t>제 42 기</t>
        </is>
      </c>
      <c r="N192" s="29" t="inlineStr">
        <is>
          <t>0.0</t>
        </is>
      </c>
      <c r="O192" s="29" t="inlineStr">
        <is>
          <t>-9977659640.0</t>
        </is>
      </c>
      <c r="P192" s="29" t="inlineStr">
        <is>
          <t>KRW</t>
        </is>
      </c>
      <c r="Q192" s="29" t="inlineStr">
        <is>
          <t>8</t>
        </is>
      </c>
    </row>
    <row r="193" ht="24" customHeight="1">
      <c r="A193" s="24" t="inlineStr">
        <is>
          <t>OpenDART_fnlttSinglAcntAll</t>
        </is>
      </c>
      <c r="B193" s="24" t="inlineStr">
        <is>
          <t>00161383</t>
        </is>
      </c>
      <c r="C193" s="24" t="inlineStr">
        <is>
          <t>한미반도체</t>
        </is>
      </c>
      <c r="D193" s="24" t="inlineStr">
        <is>
          <t>hanmi</t>
        </is>
      </c>
      <c r="E193" s="24" t="inlineStr">
        <is>
          <t>042700</t>
        </is>
      </c>
      <c r="F193" s="24" t="inlineStr">
        <is>
          <t>2021</t>
        </is>
      </c>
      <c r="G193" s="24" t="inlineStr">
        <is>
          <t>CFS</t>
        </is>
      </c>
      <c r="H193" s="24" t="inlineStr">
        <is>
          <t>SCE</t>
        </is>
      </c>
      <c r="I193" s="24" t="inlineStr">
        <is>
          <t>자본변동표</t>
        </is>
      </c>
      <c r="J193" s="24" t="inlineStr">
        <is>
          <t>dart_TreasuryShareTransactions</t>
        </is>
      </c>
      <c r="K193" s="24" t="inlineStr">
        <is>
          <t>자기주식취득</t>
        </is>
      </c>
      <c r="L193" s="24" t="inlineStr">
        <is>
          <t>자본 [member]|지배기업지분|자본잉여금 [member]</t>
        </is>
      </c>
      <c r="M193" s="24" t="inlineStr">
        <is>
          <t>제 42 기</t>
        </is>
      </c>
      <c r="N193" s="24" t="inlineStr">
        <is>
          <t>0.0</t>
        </is>
      </c>
      <c r="O193" s="24" t="inlineStr">
        <is>
          <t>0.0</t>
        </is>
      </c>
      <c r="P193" s="24" t="inlineStr">
        <is>
          <t>KRW</t>
        </is>
      </c>
      <c r="Q193" s="24" t="inlineStr">
        <is>
          <t>8</t>
        </is>
      </c>
    </row>
    <row r="194" ht="24" customHeight="1">
      <c r="A194" s="29" t="inlineStr">
        <is>
          <t>OpenDART_fnlttSinglAcntAll</t>
        </is>
      </c>
      <c r="B194" s="29" t="inlineStr">
        <is>
          <t>00161383</t>
        </is>
      </c>
      <c r="C194" s="29" t="inlineStr">
        <is>
          <t>한미반도체</t>
        </is>
      </c>
      <c r="D194" s="29" t="inlineStr">
        <is>
          <t>hanmi</t>
        </is>
      </c>
      <c r="E194" s="29" t="inlineStr">
        <is>
          <t>042700</t>
        </is>
      </c>
      <c r="F194" s="29" t="inlineStr">
        <is>
          <t>2021</t>
        </is>
      </c>
      <c r="G194" s="29" t="inlineStr">
        <is>
          <t>CFS</t>
        </is>
      </c>
      <c r="H194" s="29" t="inlineStr">
        <is>
          <t>SCE</t>
        </is>
      </c>
      <c r="I194" s="29" t="inlineStr">
        <is>
          <t>자본변동표</t>
        </is>
      </c>
      <c r="J194" s="29" t="inlineStr">
        <is>
          <t>-표준계정코드 미사용-</t>
        </is>
      </c>
      <c r="K194" s="29" t="inlineStr">
        <is>
          <t>자기주식소각</t>
        </is>
      </c>
      <c r="L194" s="29" t="inlineStr">
        <is>
          <t>자본 [member]|지배기업지분|기타자본구성요소 [member]</t>
        </is>
      </c>
      <c r="M194" s="29" t="inlineStr">
        <is>
          <t>제 42 기</t>
        </is>
      </c>
      <c r="N194" s="29" t="inlineStr">
        <is>
          <t>16745350350.0</t>
        </is>
      </c>
      <c r="O194" s="29" t="inlineStr">
        <is>
          <t>39986083983.0</t>
        </is>
      </c>
      <c r="P194" s="29" t="inlineStr">
        <is>
          <t>KRW</t>
        </is>
      </c>
      <c r="Q194" s="29" t="inlineStr">
        <is>
          <t>9</t>
        </is>
      </c>
    </row>
    <row r="195" ht="24" customHeight="1">
      <c r="A195" s="24" t="inlineStr">
        <is>
          <t>OpenDART_fnlttSinglAcntAll</t>
        </is>
      </c>
      <c r="B195" s="24" t="inlineStr">
        <is>
          <t>00161383</t>
        </is>
      </c>
      <c r="C195" s="24" t="inlineStr">
        <is>
          <t>한미반도체</t>
        </is>
      </c>
      <c r="D195" s="24" t="inlineStr">
        <is>
          <t>hanmi</t>
        </is>
      </c>
      <c r="E195" s="24" t="inlineStr">
        <is>
          <t>042700</t>
        </is>
      </c>
      <c r="F195" s="24" t="inlineStr">
        <is>
          <t>2021</t>
        </is>
      </c>
      <c r="G195" s="24" t="inlineStr">
        <is>
          <t>CFS</t>
        </is>
      </c>
      <c r="H195" s="24" t="inlineStr">
        <is>
          <t>SCE</t>
        </is>
      </c>
      <c r="I195" s="24" t="inlineStr">
        <is>
          <t>자본변동표</t>
        </is>
      </c>
      <c r="J195" s="24" t="inlineStr">
        <is>
          <t>-표준계정코드 미사용-</t>
        </is>
      </c>
      <c r="K195" s="24" t="inlineStr">
        <is>
          <t>자기주식소각</t>
        </is>
      </c>
      <c r="L195" s="24" t="inlineStr">
        <is>
          <t>자본 [member]|지배기업지분</t>
        </is>
      </c>
      <c r="M195" s="24" t="inlineStr">
        <is>
          <t>제 42 기</t>
        </is>
      </c>
      <c r="N195" s="24" t="inlineStr">
        <is>
          <t>230911990.0</t>
        </is>
      </c>
      <c r="O195" s="24" t="inlineStr">
        <is>
          <t>0.0</t>
        </is>
      </c>
      <c r="P195" s="24" t="inlineStr">
        <is>
          <t>KRW</t>
        </is>
      </c>
      <c r="Q195" s="24" t="inlineStr">
        <is>
          <t>9</t>
        </is>
      </c>
    </row>
    <row r="196" ht="24" customHeight="1">
      <c r="A196" s="29" t="inlineStr">
        <is>
          <t>OpenDART_fnlttSinglAcntAll</t>
        </is>
      </c>
      <c r="B196" s="29" t="inlineStr">
        <is>
          <t>00161383</t>
        </is>
      </c>
      <c r="C196" s="29" t="inlineStr">
        <is>
          <t>한미반도체</t>
        </is>
      </c>
      <c r="D196" s="29" t="inlineStr">
        <is>
          <t>hanmi</t>
        </is>
      </c>
      <c r="E196" s="29" t="inlineStr">
        <is>
          <t>042700</t>
        </is>
      </c>
      <c r="F196" s="29" t="inlineStr">
        <is>
          <t>2021</t>
        </is>
      </c>
      <c r="G196" s="29" t="inlineStr">
        <is>
          <t>CFS</t>
        </is>
      </c>
      <c r="H196" s="29" t="inlineStr">
        <is>
          <t>SCE</t>
        </is>
      </c>
      <c r="I196" s="29" t="inlineStr">
        <is>
          <t>자본변동표</t>
        </is>
      </c>
      <c r="J196" s="29" t="inlineStr">
        <is>
          <t>-표준계정코드 미사용-</t>
        </is>
      </c>
      <c r="K196" s="29" t="inlineStr">
        <is>
          <t>자기주식소각</t>
        </is>
      </c>
      <c r="L196" s="29" t="inlineStr">
        <is>
          <t>연결재무제표 [member]</t>
        </is>
      </c>
      <c r="M196" s="29" t="inlineStr">
        <is>
          <t>제 42 기</t>
        </is>
      </c>
      <c r="N196" s="29" t="inlineStr">
        <is>
          <t>230911990.0</t>
        </is>
      </c>
      <c r="O196" s="29" t="inlineStr">
        <is>
          <t>0.0</t>
        </is>
      </c>
      <c r="P196" s="29" t="inlineStr">
        <is>
          <t>KRW</t>
        </is>
      </c>
      <c r="Q196" s="29" t="inlineStr">
        <is>
          <t>9</t>
        </is>
      </c>
    </row>
    <row r="197" ht="24" customHeight="1">
      <c r="A197" s="24" t="inlineStr">
        <is>
          <t>OpenDART_fnlttSinglAcntAll</t>
        </is>
      </c>
      <c r="B197" s="24" t="inlineStr">
        <is>
          <t>00161383</t>
        </is>
      </c>
      <c r="C197" s="24" t="inlineStr">
        <is>
          <t>한미반도체</t>
        </is>
      </c>
      <c r="D197" s="24" t="inlineStr">
        <is>
          <t>hanmi</t>
        </is>
      </c>
      <c r="E197" s="24" t="inlineStr">
        <is>
          <t>042700</t>
        </is>
      </c>
      <c r="F197" s="24" t="inlineStr">
        <is>
          <t>2021</t>
        </is>
      </c>
      <c r="G197" s="24" t="inlineStr">
        <is>
          <t>CFS</t>
        </is>
      </c>
      <c r="H197" s="24" t="inlineStr">
        <is>
          <t>SCE</t>
        </is>
      </c>
      <c r="I197" s="24" t="inlineStr">
        <is>
          <t>자본변동표</t>
        </is>
      </c>
      <c r="J197" s="24" t="inlineStr">
        <is>
          <t>-표준계정코드 미사용-</t>
        </is>
      </c>
      <c r="K197" s="24" t="inlineStr">
        <is>
          <t>자기주식소각</t>
        </is>
      </c>
      <c r="L197" s="24" t="inlineStr">
        <is>
          <t>자본 [member]|지배기업지분|기타포괄손익누계액 [member]</t>
        </is>
      </c>
      <c r="M197" s="24" t="inlineStr">
        <is>
          <t>제 42 기</t>
        </is>
      </c>
      <c r="N197" s="24" t="inlineStr">
        <is>
          <t>0.0</t>
        </is>
      </c>
      <c r="O197" s="24" t="inlineStr">
        <is>
          <t>0.0</t>
        </is>
      </c>
      <c r="P197" s="24" t="inlineStr">
        <is>
          <t>KRW</t>
        </is>
      </c>
      <c r="Q197" s="24" t="inlineStr">
        <is>
          <t>9</t>
        </is>
      </c>
    </row>
    <row r="198" ht="24" customHeight="1">
      <c r="A198" s="29" t="inlineStr">
        <is>
          <t>OpenDART_fnlttSinglAcntAll</t>
        </is>
      </c>
      <c r="B198" s="29" t="inlineStr">
        <is>
          <t>00161383</t>
        </is>
      </c>
      <c r="C198" s="29" t="inlineStr">
        <is>
          <t>한미반도체</t>
        </is>
      </c>
      <c r="D198" s="29" t="inlineStr">
        <is>
          <t>hanmi</t>
        </is>
      </c>
      <c r="E198" s="29" t="inlineStr">
        <is>
          <t>042700</t>
        </is>
      </c>
      <c r="F198" s="29" t="inlineStr">
        <is>
          <t>2021</t>
        </is>
      </c>
      <c r="G198" s="29" t="inlineStr">
        <is>
          <t>CFS</t>
        </is>
      </c>
      <c r="H198" s="29" t="inlineStr">
        <is>
          <t>SCE</t>
        </is>
      </c>
      <c r="I198" s="29" t="inlineStr">
        <is>
          <t>자본변동표</t>
        </is>
      </c>
      <c r="J198" s="29" t="inlineStr">
        <is>
          <t>-표준계정코드 미사용-</t>
        </is>
      </c>
      <c r="K198" s="29" t="inlineStr">
        <is>
          <t>자기주식소각</t>
        </is>
      </c>
      <c r="L198" s="29" t="inlineStr">
        <is>
          <t>자본 [member]|지배기업지분|자본잉여금 [member]</t>
        </is>
      </c>
      <c r="M198" s="29" t="inlineStr">
        <is>
          <t>제 42 기</t>
        </is>
      </c>
      <c r="N198" s="29" t="inlineStr">
        <is>
          <t>0.0</t>
        </is>
      </c>
      <c r="O198" s="29" t="inlineStr">
        <is>
          <t>0.0</t>
        </is>
      </c>
      <c r="P198" s="29" t="inlineStr">
        <is>
          <t>KRW</t>
        </is>
      </c>
      <c r="Q198" s="29" t="inlineStr">
        <is>
          <t>9</t>
        </is>
      </c>
    </row>
    <row r="199" ht="24" customHeight="1">
      <c r="A199" s="24" t="inlineStr">
        <is>
          <t>OpenDART_fnlttSinglAcntAll</t>
        </is>
      </c>
      <c r="B199" s="24" t="inlineStr">
        <is>
          <t>00161383</t>
        </is>
      </c>
      <c r="C199" s="24" t="inlineStr">
        <is>
          <t>한미반도체</t>
        </is>
      </c>
      <c r="D199" s="24" t="inlineStr">
        <is>
          <t>hanmi</t>
        </is>
      </c>
      <c r="E199" s="24" t="inlineStr">
        <is>
          <t>042700</t>
        </is>
      </c>
      <c r="F199" s="24" t="inlineStr">
        <is>
          <t>2021</t>
        </is>
      </c>
      <c r="G199" s="24" t="inlineStr">
        <is>
          <t>CFS</t>
        </is>
      </c>
      <c r="H199" s="24" t="inlineStr">
        <is>
          <t>SCE</t>
        </is>
      </c>
      <c r="I199" s="24" t="inlineStr">
        <is>
          <t>자본변동표</t>
        </is>
      </c>
      <c r="J199" s="24" t="inlineStr">
        <is>
          <t>-표준계정코드 미사용-</t>
        </is>
      </c>
      <c r="K199" s="24" t="inlineStr">
        <is>
          <t>자기주식소각</t>
        </is>
      </c>
      <c r="L199" s="24" t="inlineStr">
        <is>
          <t>자본 [member]|지배기업지분|자본금 [member]</t>
        </is>
      </c>
      <c r="M199" s="24" t="inlineStr">
        <is>
          <t>제 42 기</t>
        </is>
      </c>
      <c r="N199" s="24" t="inlineStr">
        <is>
          <t>0.0</t>
        </is>
      </c>
      <c r="O199" s="24" t="inlineStr">
        <is>
          <t>0.0</t>
        </is>
      </c>
      <c r="P199" s="24" t="inlineStr">
        <is>
          <t>KRW</t>
        </is>
      </c>
      <c r="Q199" s="24" t="inlineStr">
        <is>
          <t>9</t>
        </is>
      </c>
    </row>
    <row r="200" ht="24" customHeight="1">
      <c r="A200" s="29" t="inlineStr">
        <is>
          <t>OpenDART_fnlttSinglAcntAll</t>
        </is>
      </c>
      <c r="B200" s="29" t="inlineStr">
        <is>
          <t>00161383</t>
        </is>
      </c>
      <c r="C200" s="29" t="inlineStr">
        <is>
          <t>한미반도체</t>
        </is>
      </c>
      <c r="D200" s="29" t="inlineStr">
        <is>
          <t>hanmi</t>
        </is>
      </c>
      <c r="E200" s="29" t="inlineStr">
        <is>
          <t>042700</t>
        </is>
      </c>
      <c r="F200" s="29" t="inlineStr">
        <is>
          <t>2021</t>
        </is>
      </c>
      <c r="G200" s="29" t="inlineStr">
        <is>
          <t>CFS</t>
        </is>
      </c>
      <c r="H200" s="29" t="inlineStr">
        <is>
          <t>SCE</t>
        </is>
      </c>
      <c r="I200" s="29" t="inlineStr">
        <is>
          <t>자본변동표</t>
        </is>
      </c>
      <c r="J200" s="29" t="inlineStr">
        <is>
          <t>-표준계정코드 미사용-</t>
        </is>
      </c>
      <c r="K200" s="29" t="inlineStr">
        <is>
          <t>자기주식소각</t>
        </is>
      </c>
      <c r="L200" s="29" t="inlineStr">
        <is>
          <t>자본 [member]|지배기업지분|이익잉여금 [member]</t>
        </is>
      </c>
      <c r="M200" s="29" t="inlineStr">
        <is>
          <t>제 42 기</t>
        </is>
      </c>
      <c r="N200" s="29" t="inlineStr">
        <is>
          <t>-16514438360.0</t>
        </is>
      </c>
      <c r="O200" s="29" t="inlineStr">
        <is>
          <t>-39986083983.0</t>
        </is>
      </c>
      <c r="P200" s="29" t="inlineStr">
        <is>
          <t>KRW</t>
        </is>
      </c>
      <c r="Q200" s="29" t="inlineStr">
        <is>
          <t>9</t>
        </is>
      </c>
    </row>
    <row r="201" ht="24" customHeight="1">
      <c r="A201" s="24" t="inlineStr">
        <is>
          <t>OpenDART_fnlttSinglAcntAll</t>
        </is>
      </c>
      <c r="B201" s="24" t="inlineStr">
        <is>
          <t>00161383</t>
        </is>
      </c>
      <c r="C201" s="24" t="inlineStr">
        <is>
          <t>한미반도체</t>
        </is>
      </c>
      <c r="D201" s="24" t="inlineStr">
        <is>
          <t>hanmi</t>
        </is>
      </c>
      <c r="E201" s="24" t="inlineStr">
        <is>
          <t>042700</t>
        </is>
      </c>
      <c r="F201" s="24" t="inlineStr">
        <is>
          <t>2021</t>
        </is>
      </c>
      <c r="G201" s="24" t="inlineStr">
        <is>
          <t>CFS</t>
        </is>
      </c>
      <c r="H201" s="24" t="inlineStr">
        <is>
          <t>SCE</t>
        </is>
      </c>
      <c r="I201" s="24" t="inlineStr">
        <is>
          <t>자본변동표</t>
        </is>
      </c>
      <c r="J201" s="24" t="inlineStr">
        <is>
          <t>dart_PurchaseDisposalsOfOddShares</t>
        </is>
      </c>
      <c r="K201" s="24" t="inlineStr">
        <is>
          <t>자기주식 처분</t>
        </is>
      </c>
      <c r="L201" s="24" t="inlineStr">
        <is>
          <t>자본 [member]|지배기업지분|자본금 [member]</t>
        </is>
      </c>
      <c r="M201" s="24" t="inlineStr">
        <is>
          <t>제 42 기</t>
        </is>
      </c>
      <c r="N201" s="24" t="inlineStr">
        <is>
          <t>0.0</t>
        </is>
      </c>
      <c r="O201" s="24" t="inlineStr">
        <is>
          <t>해당 없음</t>
        </is>
      </c>
      <c r="P201" s="24" t="inlineStr">
        <is>
          <t>KRW</t>
        </is>
      </c>
      <c r="Q201" s="24" t="inlineStr">
        <is>
          <t>10</t>
        </is>
      </c>
    </row>
    <row r="202" ht="24" customHeight="1">
      <c r="A202" s="29" t="inlineStr">
        <is>
          <t>OpenDART_fnlttSinglAcntAll</t>
        </is>
      </c>
      <c r="B202" s="29" t="inlineStr">
        <is>
          <t>00161383</t>
        </is>
      </c>
      <c r="C202" s="29" t="inlineStr">
        <is>
          <t>한미반도체</t>
        </is>
      </c>
      <c r="D202" s="29" t="inlineStr">
        <is>
          <t>hanmi</t>
        </is>
      </c>
      <c r="E202" s="29" t="inlineStr">
        <is>
          <t>042700</t>
        </is>
      </c>
      <c r="F202" s="29" t="inlineStr">
        <is>
          <t>2021</t>
        </is>
      </c>
      <c r="G202" s="29" t="inlineStr">
        <is>
          <t>CFS</t>
        </is>
      </c>
      <c r="H202" s="29" t="inlineStr">
        <is>
          <t>SCE</t>
        </is>
      </c>
      <c r="I202" s="29" t="inlineStr">
        <is>
          <t>자본변동표</t>
        </is>
      </c>
      <c r="J202" s="29" t="inlineStr">
        <is>
          <t>dart_PurchaseDisposalsOfOddShares</t>
        </is>
      </c>
      <c r="K202" s="29" t="inlineStr">
        <is>
          <t>자기주식 처분</t>
        </is>
      </c>
      <c r="L202" s="29" t="inlineStr">
        <is>
          <t>자본 [member]|지배기업지분|이익잉여금 [member]</t>
        </is>
      </c>
      <c r="M202" s="29" t="inlineStr">
        <is>
          <t>제 42 기</t>
        </is>
      </c>
      <c r="N202" s="29" t="inlineStr">
        <is>
          <t>0.0</t>
        </is>
      </c>
      <c r="O202" s="29" t="inlineStr">
        <is>
          <t>해당 없음</t>
        </is>
      </c>
      <c r="P202" s="29" t="inlineStr">
        <is>
          <t>KRW</t>
        </is>
      </c>
      <c r="Q202" s="29" t="inlineStr">
        <is>
          <t>10</t>
        </is>
      </c>
    </row>
    <row r="203" ht="24" customHeight="1">
      <c r="A203" s="24" t="inlineStr">
        <is>
          <t>OpenDART_fnlttSinglAcntAll</t>
        </is>
      </c>
      <c r="B203" s="24" t="inlineStr">
        <is>
          <t>00161383</t>
        </is>
      </c>
      <c r="C203" s="24" t="inlineStr">
        <is>
          <t>한미반도체</t>
        </is>
      </c>
      <c r="D203" s="24" t="inlineStr">
        <is>
          <t>hanmi</t>
        </is>
      </c>
      <c r="E203" s="24" t="inlineStr">
        <is>
          <t>042700</t>
        </is>
      </c>
      <c r="F203" s="24" t="inlineStr">
        <is>
          <t>2021</t>
        </is>
      </c>
      <c r="G203" s="24" t="inlineStr">
        <is>
          <t>CFS</t>
        </is>
      </c>
      <c r="H203" s="24" t="inlineStr">
        <is>
          <t>SCE</t>
        </is>
      </c>
      <c r="I203" s="24" t="inlineStr">
        <is>
          <t>자본변동표</t>
        </is>
      </c>
      <c r="J203" s="24" t="inlineStr">
        <is>
          <t>dart_PurchaseDisposalsOfOddShares</t>
        </is>
      </c>
      <c r="K203" s="24" t="inlineStr">
        <is>
          <t>자기주식 처분</t>
        </is>
      </c>
      <c r="L203" s="24" t="inlineStr">
        <is>
          <t>자본 [member]|지배기업지분|기타포괄손익누계액 [member]</t>
        </is>
      </c>
      <c r="M203" s="24" t="inlineStr">
        <is>
          <t>제 42 기</t>
        </is>
      </c>
      <c r="N203" s="24" t="inlineStr">
        <is>
          <t>0.0</t>
        </is>
      </c>
      <c r="O203" s="24" t="inlineStr">
        <is>
          <t>해당 없음</t>
        </is>
      </c>
      <c r="P203" s="24" t="inlineStr">
        <is>
          <t>KRW</t>
        </is>
      </c>
      <c r="Q203" s="24" t="inlineStr">
        <is>
          <t>10</t>
        </is>
      </c>
    </row>
    <row r="204" ht="24" customHeight="1">
      <c r="A204" s="29" t="inlineStr">
        <is>
          <t>OpenDART_fnlttSinglAcntAll</t>
        </is>
      </c>
      <c r="B204" s="29" t="inlineStr">
        <is>
          <t>00161383</t>
        </is>
      </c>
      <c r="C204" s="29" t="inlineStr">
        <is>
          <t>한미반도체</t>
        </is>
      </c>
      <c r="D204" s="29" t="inlineStr">
        <is>
          <t>hanmi</t>
        </is>
      </c>
      <c r="E204" s="29" t="inlineStr">
        <is>
          <t>042700</t>
        </is>
      </c>
      <c r="F204" s="29" t="inlineStr">
        <is>
          <t>2021</t>
        </is>
      </c>
      <c r="G204" s="29" t="inlineStr">
        <is>
          <t>CFS</t>
        </is>
      </c>
      <c r="H204" s="29" t="inlineStr">
        <is>
          <t>SCE</t>
        </is>
      </c>
      <c r="I204" s="29" t="inlineStr">
        <is>
          <t>자본변동표</t>
        </is>
      </c>
      <c r="J204" s="29" t="inlineStr">
        <is>
          <t>dart_PurchaseDisposalsOfOddShares</t>
        </is>
      </c>
      <c r="K204" s="29" t="inlineStr">
        <is>
          <t>자기주식 처분</t>
        </is>
      </c>
      <c r="L204" s="29" t="inlineStr">
        <is>
          <t>연결재무제표 [member]</t>
        </is>
      </c>
      <c r="M204" s="29" t="inlineStr">
        <is>
          <t>제 42 기</t>
        </is>
      </c>
      <c r="N204" s="29" t="inlineStr">
        <is>
          <t>5301669043.0</t>
        </is>
      </c>
      <c r="O204" s="29" t="inlineStr">
        <is>
          <t>해당 없음</t>
        </is>
      </c>
      <c r="P204" s="29" t="inlineStr">
        <is>
          <t>KRW</t>
        </is>
      </c>
      <c r="Q204" s="29" t="inlineStr">
        <is>
          <t>10</t>
        </is>
      </c>
    </row>
    <row r="205" ht="24" customHeight="1">
      <c r="A205" s="24" t="inlineStr">
        <is>
          <t>OpenDART_fnlttSinglAcntAll</t>
        </is>
      </c>
      <c r="B205" s="24" t="inlineStr">
        <is>
          <t>00161383</t>
        </is>
      </c>
      <c r="C205" s="24" t="inlineStr">
        <is>
          <t>한미반도체</t>
        </is>
      </c>
      <c r="D205" s="24" t="inlineStr">
        <is>
          <t>hanmi</t>
        </is>
      </c>
      <c r="E205" s="24" t="inlineStr">
        <is>
          <t>042700</t>
        </is>
      </c>
      <c r="F205" s="24" t="inlineStr">
        <is>
          <t>2021</t>
        </is>
      </c>
      <c r="G205" s="24" t="inlineStr">
        <is>
          <t>CFS</t>
        </is>
      </c>
      <c r="H205" s="24" t="inlineStr">
        <is>
          <t>SCE</t>
        </is>
      </c>
      <c r="I205" s="24" t="inlineStr">
        <is>
          <t>자본변동표</t>
        </is>
      </c>
      <c r="J205" s="24" t="inlineStr">
        <is>
          <t>dart_PurchaseDisposalsOfOddShares</t>
        </is>
      </c>
      <c r="K205" s="24" t="inlineStr">
        <is>
          <t>자기주식 처분</t>
        </is>
      </c>
      <c r="L205" s="24" t="inlineStr">
        <is>
          <t>자본 [member]|지배기업지분</t>
        </is>
      </c>
      <c r="M205" s="24" t="inlineStr">
        <is>
          <t>제 42 기</t>
        </is>
      </c>
      <c r="N205" s="24" t="inlineStr">
        <is>
          <t>5301669043.0</t>
        </is>
      </c>
      <c r="O205" s="24" t="inlineStr">
        <is>
          <t>해당 없음</t>
        </is>
      </c>
      <c r="P205" s="24" t="inlineStr">
        <is>
          <t>KRW</t>
        </is>
      </c>
      <c r="Q205" s="24" t="inlineStr">
        <is>
          <t>10</t>
        </is>
      </c>
    </row>
    <row r="206" ht="24" customHeight="1">
      <c r="A206" s="29" t="inlineStr">
        <is>
          <t>OpenDART_fnlttSinglAcntAll</t>
        </is>
      </c>
      <c r="B206" s="29" t="inlineStr">
        <is>
          <t>00161383</t>
        </is>
      </c>
      <c r="C206" s="29" t="inlineStr">
        <is>
          <t>한미반도체</t>
        </is>
      </c>
      <c r="D206" s="29" t="inlineStr">
        <is>
          <t>hanmi</t>
        </is>
      </c>
      <c r="E206" s="29" t="inlineStr">
        <is>
          <t>042700</t>
        </is>
      </c>
      <c r="F206" s="29" t="inlineStr">
        <is>
          <t>2021</t>
        </is>
      </c>
      <c r="G206" s="29" t="inlineStr">
        <is>
          <t>CFS</t>
        </is>
      </c>
      <c r="H206" s="29" t="inlineStr">
        <is>
          <t>SCE</t>
        </is>
      </c>
      <c r="I206" s="29" t="inlineStr">
        <is>
          <t>자본변동표</t>
        </is>
      </c>
      <c r="J206" s="29" t="inlineStr">
        <is>
          <t>dart_PurchaseDisposalsOfOddShares</t>
        </is>
      </c>
      <c r="K206" s="29" t="inlineStr">
        <is>
          <t>자기주식 처분</t>
        </is>
      </c>
      <c r="L206" s="29" t="inlineStr">
        <is>
          <t>자본 [member]|지배기업지분|기타자본구성요소 [member]</t>
        </is>
      </c>
      <c r="M206" s="29" t="inlineStr">
        <is>
          <t>제 42 기</t>
        </is>
      </c>
      <c r="N206" s="29" t="inlineStr">
        <is>
          <t>2273725731.0</t>
        </is>
      </c>
      <c r="O206" s="29" t="inlineStr">
        <is>
          <t>해당 없음</t>
        </is>
      </c>
      <c r="P206" s="29" t="inlineStr">
        <is>
          <t>KRW</t>
        </is>
      </c>
      <c r="Q206" s="29" t="inlineStr">
        <is>
          <t>10</t>
        </is>
      </c>
    </row>
    <row r="207" ht="24" customHeight="1">
      <c r="A207" s="24" t="inlineStr">
        <is>
          <t>OpenDART_fnlttSinglAcntAll</t>
        </is>
      </c>
      <c r="B207" s="24" t="inlineStr">
        <is>
          <t>00161383</t>
        </is>
      </c>
      <c r="C207" s="24" t="inlineStr">
        <is>
          <t>한미반도체</t>
        </is>
      </c>
      <c r="D207" s="24" t="inlineStr">
        <is>
          <t>hanmi</t>
        </is>
      </c>
      <c r="E207" s="24" t="inlineStr">
        <is>
          <t>042700</t>
        </is>
      </c>
      <c r="F207" s="24" t="inlineStr">
        <is>
          <t>2021</t>
        </is>
      </c>
      <c r="G207" s="24" t="inlineStr">
        <is>
          <t>CFS</t>
        </is>
      </c>
      <c r="H207" s="24" t="inlineStr">
        <is>
          <t>SCE</t>
        </is>
      </c>
      <c r="I207" s="24" t="inlineStr">
        <is>
          <t>자본변동표</t>
        </is>
      </c>
      <c r="J207" s="24" t="inlineStr">
        <is>
          <t>dart_PurchaseDisposalsOfOddShares</t>
        </is>
      </c>
      <c r="K207" s="24" t="inlineStr">
        <is>
          <t>자기주식 처분</t>
        </is>
      </c>
      <c r="L207" s="24" t="inlineStr">
        <is>
          <t>자본 [member]|지배기업지분|자본잉여금 [member]</t>
        </is>
      </c>
      <c r="M207" s="24" t="inlineStr">
        <is>
          <t>제 42 기</t>
        </is>
      </c>
      <c r="N207" s="24" t="inlineStr">
        <is>
          <t>3027943312.0</t>
        </is>
      </c>
      <c r="O207" s="24" t="inlineStr">
        <is>
          <t>해당 없음</t>
        </is>
      </c>
      <c r="P207" s="24" t="inlineStr">
        <is>
          <t>KRW</t>
        </is>
      </c>
      <c r="Q207" s="24" t="inlineStr">
        <is>
          <t>10</t>
        </is>
      </c>
    </row>
    <row r="208" ht="24" customHeight="1">
      <c r="A208" s="29" t="inlineStr">
        <is>
          <t>OpenDART_fnlttSinglAcntAll</t>
        </is>
      </c>
      <c r="B208" s="29" t="inlineStr">
        <is>
          <t>00161383</t>
        </is>
      </c>
      <c r="C208" s="29" t="inlineStr">
        <is>
          <t>한미반도체</t>
        </is>
      </c>
      <c r="D208" s="29" t="inlineStr">
        <is>
          <t>hanmi</t>
        </is>
      </c>
      <c r="E208" s="29" t="inlineStr">
        <is>
          <t>042700</t>
        </is>
      </c>
      <c r="F208" s="29" t="inlineStr">
        <is>
          <t>2021</t>
        </is>
      </c>
      <c r="G208" s="29" t="inlineStr">
        <is>
          <t>CFS</t>
        </is>
      </c>
      <c r="H208" s="29" t="inlineStr">
        <is>
          <t>SCE</t>
        </is>
      </c>
      <c r="I208" s="29" t="inlineStr">
        <is>
          <t>자본변동표</t>
        </is>
      </c>
      <c r="J208" s="29" t="inlineStr">
        <is>
          <t>ifrs-full_IncreaseDecreaseThroughTransfersAndOtherChangesEquity</t>
        </is>
      </c>
      <c r="K208" s="29" t="inlineStr">
        <is>
          <t>기타자본 조정</t>
        </is>
      </c>
      <c r="L208" s="29" t="inlineStr">
        <is>
          <t>자본 [member]|지배기업지분|자본잉여금 [member]</t>
        </is>
      </c>
      <c r="M208" s="29" t="inlineStr">
        <is>
          <t>제 42 기</t>
        </is>
      </c>
      <c r="N208" s="29" t="inlineStr">
        <is>
          <t>0.0</t>
        </is>
      </c>
      <c r="O208" s="29" t="inlineStr">
        <is>
          <t>0.0</t>
        </is>
      </c>
      <c r="P208" s="29" t="inlineStr">
        <is>
          <t>KRW</t>
        </is>
      </c>
      <c r="Q208" s="29" t="inlineStr">
        <is>
          <t>11</t>
        </is>
      </c>
    </row>
    <row r="209" ht="24" customHeight="1">
      <c r="A209" s="24" t="inlineStr">
        <is>
          <t>OpenDART_fnlttSinglAcntAll</t>
        </is>
      </c>
      <c r="B209" s="24" t="inlineStr">
        <is>
          <t>00161383</t>
        </is>
      </c>
      <c r="C209" s="24" t="inlineStr">
        <is>
          <t>한미반도체</t>
        </is>
      </c>
      <c r="D209" s="24" t="inlineStr">
        <is>
          <t>hanmi</t>
        </is>
      </c>
      <c r="E209" s="24" t="inlineStr">
        <is>
          <t>042700</t>
        </is>
      </c>
      <c r="F209" s="24" t="inlineStr">
        <is>
          <t>2021</t>
        </is>
      </c>
      <c r="G209" s="24" t="inlineStr">
        <is>
          <t>CFS</t>
        </is>
      </c>
      <c r="H209" s="24" t="inlineStr">
        <is>
          <t>SCE</t>
        </is>
      </c>
      <c r="I209" s="24" t="inlineStr">
        <is>
          <t>자본변동표</t>
        </is>
      </c>
      <c r="J209" s="24" t="inlineStr">
        <is>
          <t>ifrs-full_IncreaseDecreaseThroughTransfersAndOtherChangesEquity</t>
        </is>
      </c>
      <c r="K209" s="24" t="inlineStr">
        <is>
          <t>기타자본 조정</t>
        </is>
      </c>
      <c r="L209" s="24" t="inlineStr">
        <is>
          <t>자본 [member]|지배기업지분|자본금 [member]</t>
        </is>
      </c>
      <c r="M209" s="24" t="inlineStr">
        <is>
          <t>제 42 기</t>
        </is>
      </c>
      <c r="N209" s="24" t="inlineStr">
        <is>
          <t>0.0</t>
        </is>
      </c>
      <c r="O209" s="24" t="inlineStr">
        <is>
          <t>0.0</t>
        </is>
      </c>
      <c r="P209" s="24" t="inlineStr">
        <is>
          <t>KRW</t>
        </is>
      </c>
      <c r="Q209" s="24" t="inlineStr">
        <is>
          <t>11</t>
        </is>
      </c>
    </row>
    <row r="210" ht="24" customHeight="1">
      <c r="A210" s="29" t="inlineStr">
        <is>
          <t>OpenDART_fnlttSinglAcntAll</t>
        </is>
      </c>
      <c r="B210" s="29" t="inlineStr">
        <is>
          <t>00161383</t>
        </is>
      </c>
      <c r="C210" s="29" t="inlineStr">
        <is>
          <t>한미반도체</t>
        </is>
      </c>
      <c r="D210" s="29" t="inlineStr">
        <is>
          <t>hanmi</t>
        </is>
      </c>
      <c r="E210" s="29" t="inlineStr">
        <is>
          <t>042700</t>
        </is>
      </c>
      <c r="F210" s="29" t="inlineStr">
        <is>
          <t>2021</t>
        </is>
      </c>
      <c r="G210" s="29" t="inlineStr">
        <is>
          <t>CFS</t>
        </is>
      </c>
      <c r="H210" s="29" t="inlineStr">
        <is>
          <t>SCE</t>
        </is>
      </c>
      <c r="I210" s="29" t="inlineStr">
        <is>
          <t>자본변동표</t>
        </is>
      </c>
      <c r="J210" s="29" t="inlineStr">
        <is>
          <t>ifrs-full_IncreaseDecreaseThroughTransfersAndOtherChangesEquity</t>
        </is>
      </c>
      <c r="K210" s="29" t="inlineStr">
        <is>
          <t>기타자본 조정</t>
        </is>
      </c>
      <c r="L210" s="29" t="inlineStr">
        <is>
          <t>자본 [member]|지배기업지분|이익잉여금 [member]</t>
        </is>
      </c>
      <c r="M210" s="29" t="inlineStr">
        <is>
          <t>제 42 기</t>
        </is>
      </c>
      <c r="N210" s="29" t="inlineStr">
        <is>
          <t>0.0</t>
        </is>
      </c>
      <c r="O210" s="29" t="inlineStr">
        <is>
          <t>0.0</t>
        </is>
      </c>
      <c r="P210" s="29" t="inlineStr">
        <is>
          <t>KRW</t>
        </is>
      </c>
      <c r="Q210" s="29" t="inlineStr">
        <is>
          <t>11</t>
        </is>
      </c>
    </row>
    <row r="211" ht="24" customHeight="1">
      <c r="A211" s="24" t="inlineStr">
        <is>
          <t>OpenDART_fnlttSinglAcntAll</t>
        </is>
      </c>
      <c r="B211" s="24" t="inlineStr">
        <is>
          <t>00161383</t>
        </is>
      </c>
      <c r="C211" s="24" t="inlineStr">
        <is>
          <t>한미반도체</t>
        </is>
      </c>
      <c r="D211" s="24" t="inlineStr">
        <is>
          <t>hanmi</t>
        </is>
      </c>
      <c r="E211" s="24" t="inlineStr">
        <is>
          <t>042700</t>
        </is>
      </c>
      <c r="F211" s="24" t="inlineStr">
        <is>
          <t>2021</t>
        </is>
      </c>
      <c r="G211" s="24" t="inlineStr">
        <is>
          <t>CFS</t>
        </is>
      </c>
      <c r="H211" s="24" t="inlineStr">
        <is>
          <t>SCE</t>
        </is>
      </c>
      <c r="I211" s="24" t="inlineStr">
        <is>
          <t>자본변동표</t>
        </is>
      </c>
      <c r="J211" s="24" t="inlineStr">
        <is>
          <t>ifrs-full_IncreaseDecreaseThroughTransfersAndOtherChangesEquity</t>
        </is>
      </c>
      <c r="K211" s="24" t="inlineStr">
        <is>
          <t>기타자본 조정</t>
        </is>
      </c>
      <c r="L211" s="24" t="inlineStr">
        <is>
          <t>자본 [member]|지배기업지분|기타포괄손익누계액 [member]</t>
        </is>
      </c>
      <c r="M211" s="24" t="inlineStr">
        <is>
          <t>제 42 기</t>
        </is>
      </c>
      <c r="N211" s="24" t="inlineStr">
        <is>
          <t>0.0</t>
        </is>
      </c>
      <c r="O211" s="24" t="inlineStr">
        <is>
          <t>0.0</t>
        </is>
      </c>
      <c r="P211" s="24" t="inlineStr">
        <is>
          <t>KRW</t>
        </is>
      </c>
      <c r="Q211" s="24" t="inlineStr">
        <is>
          <t>11</t>
        </is>
      </c>
    </row>
    <row r="212" ht="24" customHeight="1">
      <c r="A212" s="29" t="inlineStr">
        <is>
          <t>OpenDART_fnlttSinglAcntAll</t>
        </is>
      </c>
      <c r="B212" s="29" t="inlineStr">
        <is>
          <t>00161383</t>
        </is>
      </c>
      <c r="C212" s="29" t="inlineStr">
        <is>
          <t>한미반도체</t>
        </is>
      </c>
      <c r="D212" s="29" t="inlineStr">
        <is>
          <t>hanmi</t>
        </is>
      </c>
      <c r="E212" s="29" t="inlineStr">
        <is>
          <t>042700</t>
        </is>
      </c>
      <c r="F212" s="29" t="inlineStr">
        <is>
          <t>2021</t>
        </is>
      </c>
      <c r="G212" s="29" t="inlineStr">
        <is>
          <t>CFS</t>
        </is>
      </c>
      <c r="H212" s="29" t="inlineStr">
        <is>
          <t>SCE</t>
        </is>
      </c>
      <c r="I212" s="29" t="inlineStr">
        <is>
          <t>자본변동표</t>
        </is>
      </c>
      <c r="J212" s="29" t="inlineStr">
        <is>
          <t>ifrs-full_IncreaseDecreaseThroughTransfersAndOtherChangesEquity</t>
        </is>
      </c>
      <c r="K212" s="29" t="inlineStr">
        <is>
          <t>기타자본 조정</t>
        </is>
      </c>
      <c r="L212" s="29" t="inlineStr">
        <is>
          <t>자본 [member]|지배기업지분|기타자본구성요소 [member]</t>
        </is>
      </c>
      <c r="M212" s="29" t="inlineStr">
        <is>
          <t>제 42 기</t>
        </is>
      </c>
      <c r="N212" s="29" t="inlineStr">
        <is>
          <t>0.0</t>
        </is>
      </c>
      <c r="O212" s="29" t="inlineStr">
        <is>
          <t>1083883075.0</t>
        </is>
      </c>
      <c r="P212" s="29" t="inlineStr">
        <is>
          <t>KRW</t>
        </is>
      </c>
      <c r="Q212" s="29" t="inlineStr">
        <is>
          <t>11</t>
        </is>
      </c>
    </row>
    <row r="213" ht="24" customHeight="1">
      <c r="A213" s="24" t="inlineStr">
        <is>
          <t>OpenDART_fnlttSinglAcntAll</t>
        </is>
      </c>
      <c r="B213" s="24" t="inlineStr">
        <is>
          <t>00161383</t>
        </is>
      </c>
      <c r="C213" s="24" t="inlineStr">
        <is>
          <t>한미반도체</t>
        </is>
      </c>
      <c r="D213" s="24" t="inlineStr">
        <is>
          <t>hanmi</t>
        </is>
      </c>
      <c r="E213" s="24" t="inlineStr">
        <is>
          <t>042700</t>
        </is>
      </c>
      <c r="F213" s="24" t="inlineStr">
        <is>
          <t>2021</t>
        </is>
      </c>
      <c r="G213" s="24" t="inlineStr">
        <is>
          <t>CFS</t>
        </is>
      </c>
      <c r="H213" s="24" t="inlineStr">
        <is>
          <t>SCE</t>
        </is>
      </c>
      <c r="I213" s="24" t="inlineStr">
        <is>
          <t>자본변동표</t>
        </is>
      </c>
      <c r="J213" s="24" t="inlineStr">
        <is>
          <t>ifrs-full_IncreaseDecreaseThroughTransfersAndOtherChangesEquity</t>
        </is>
      </c>
      <c r="K213" s="24" t="inlineStr">
        <is>
          <t>기타자본 조정</t>
        </is>
      </c>
      <c r="L213" s="24" t="inlineStr">
        <is>
          <t>연결재무제표 [member]</t>
        </is>
      </c>
      <c r="M213" s="24" t="inlineStr">
        <is>
          <t>제 42 기</t>
        </is>
      </c>
      <c r="N213" s="24" t="inlineStr">
        <is>
          <t>0.0</t>
        </is>
      </c>
      <c r="O213" s="24" t="inlineStr">
        <is>
          <t>1083883075.0</t>
        </is>
      </c>
      <c r="P213" s="24" t="inlineStr">
        <is>
          <t>KRW</t>
        </is>
      </c>
      <c r="Q213" s="24" t="inlineStr">
        <is>
          <t>11</t>
        </is>
      </c>
    </row>
    <row r="214" ht="24" customHeight="1">
      <c r="A214" s="29" t="inlineStr">
        <is>
          <t>OpenDART_fnlttSinglAcntAll</t>
        </is>
      </c>
      <c r="B214" s="29" t="inlineStr">
        <is>
          <t>00161383</t>
        </is>
      </c>
      <c r="C214" s="29" t="inlineStr">
        <is>
          <t>한미반도체</t>
        </is>
      </c>
      <c r="D214" s="29" t="inlineStr">
        <is>
          <t>hanmi</t>
        </is>
      </c>
      <c r="E214" s="29" t="inlineStr">
        <is>
          <t>042700</t>
        </is>
      </c>
      <c r="F214" s="29" t="inlineStr">
        <is>
          <t>2021</t>
        </is>
      </c>
      <c r="G214" s="29" t="inlineStr">
        <is>
          <t>CFS</t>
        </is>
      </c>
      <c r="H214" s="29" t="inlineStr">
        <is>
          <t>SCE</t>
        </is>
      </c>
      <c r="I214" s="29" t="inlineStr">
        <is>
          <t>자본변동표</t>
        </is>
      </c>
      <c r="J214" s="29" t="inlineStr">
        <is>
          <t>ifrs-full_IncreaseDecreaseThroughTransfersAndOtherChangesEquity</t>
        </is>
      </c>
      <c r="K214" s="29" t="inlineStr">
        <is>
          <t>기타자본 조정</t>
        </is>
      </c>
      <c r="L214" s="29" t="inlineStr">
        <is>
          <t>자본 [member]|지배기업지분</t>
        </is>
      </c>
      <c r="M214" s="29" t="inlineStr">
        <is>
          <t>제 42 기</t>
        </is>
      </c>
      <c r="N214" s="29" t="inlineStr">
        <is>
          <t>0.0</t>
        </is>
      </c>
      <c r="O214" s="29" t="inlineStr">
        <is>
          <t>1083883075.0</t>
        </is>
      </c>
      <c r="P214" s="29" t="inlineStr">
        <is>
          <t>KRW</t>
        </is>
      </c>
      <c r="Q214" s="29" t="inlineStr">
        <is>
          <t>11</t>
        </is>
      </c>
    </row>
    <row r="215" ht="24" customHeight="1">
      <c r="A215" s="24" t="inlineStr">
        <is>
          <t>OpenDART_fnlttSinglAcntAll</t>
        </is>
      </c>
      <c r="B215" s="24" t="inlineStr">
        <is>
          <t>00161383</t>
        </is>
      </c>
      <c r="C215" s="24" t="inlineStr">
        <is>
          <t>한미반도체</t>
        </is>
      </c>
      <c r="D215" s="24" t="inlineStr">
        <is>
          <t>hanmi</t>
        </is>
      </c>
      <c r="E215" s="24" t="inlineStr">
        <is>
          <t>042700</t>
        </is>
      </c>
      <c r="F215" s="24" t="inlineStr">
        <is>
          <t>2021</t>
        </is>
      </c>
      <c r="G215" s="24" t="inlineStr">
        <is>
          <t>CFS</t>
        </is>
      </c>
      <c r="H215" s="24" t="inlineStr">
        <is>
          <t>SCE</t>
        </is>
      </c>
      <c r="I215" s="24" t="inlineStr">
        <is>
          <t>자본변동표</t>
        </is>
      </c>
      <c r="J215" s="24" t="inlineStr">
        <is>
          <t>ifrs-full_Equity</t>
        </is>
      </c>
      <c r="K215" s="24" t="inlineStr">
        <is>
          <t>기말자본</t>
        </is>
      </c>
      <c r="L215" s="24" t="inlineStr">
        <is>
          <t>연결재무제표 [member]</t>
        </is>
      </c>
      <c r="M215" s="24" t="inlineStr">
        <is>
          <t>제 42 기</t>
        </is>
      </c>
      <c r="N215" s="24" t="inlineStr">
        <is>
          <t>346812042277.0</t>
        </is>
      </c>
      <c r="O215" s="24" t="inlineStr">
        <is>
          <t>257090542803.0</t>
        </is>
      </c>
      <c r="P215" s="24" t="inlineStr">
        <is>
          <t>KRW</t>
        </is>
      </c>
      <c r="Q215" s="24" t="inlineStr">
        <is>
          <t>12</t>
        </is>
      </c>
    </row>
    <row r="216" ht="24" customHeight="1">
      <c r="A216" s="29" t="inlineStr">
        <is>
          <t>OpenDART_fnlttSinglAcntAll</t>
        </is>
      </c>
      <c r="B216" s="29" t="inlineStr">
        <is>
          <t>00161383</t>
        </is>
      </c>
      <c r="C216" s="29" t="inlineStr">
        <is>
          <t>한미반도체</t>
        </is>
      </c>
      <c r="D216" s="29" t="inlineStr">
        <is>
          <t>hanmi</t>
        </is>
      </c>
      <c r="E216" s="29" t="inlineStr">
        <is>
          <t>042700</t>
        </is>
      </c>
      <c r="F216" s="29" t="inlineStr">
        <is>
          <t>2021</t>
        </is>
      </c>
      <c r="G216" s="29" t="inlineStr">
        <is>
          <t>CFS</t>
        </is>
      </c>
      <c r="H216" s="29" t="inlineStr">
        <is>
          <t>SCE</t>
        </is>
      </c>
      <c r="I216" s="29" t="inlineStr">
        <is>
          <t>자본변동표</t>
        </is>
      </c>
      <c r="J216" s="29" t="inlineStr">
        <is>
          <t>ifrs-full_Equity</t>
        </is>
      </c>
      <c r="K216" s="29" t="inlineStr">
        <is>
          <t>기말자본</t>
        </is>
      </c>
      <c r="L216" s="29" t="inlineStr">
        <is>
          <t>자본 [member]|지배기업지분</t>
        </is>
      </c>
      <c r="M216" s="29" t="inlineStr">
        <is>
          <t>제 42 기</t>
        </is>
      </c>
      <c r="N216" s="29" t="inlineStr">
        <is>
          <t>346812042277.0</t>
        </is>
      </c>
      <c r="O216" s="29" t="inlineStr">
        <is>
          <t>257090542803.0</t>
        </is>
      </c>
      <c r="P216" s="29" t="inlineStr">
        <is>
          <t>KRW</t>
        </is>
      </c>
      <c r="Q216" s="29" t="inlineStr">
        <is>
          <t>12</t>
        </is>
      </c>
    </row>
    <row r="217" ht="24" customHeight="1">
      <c r="A217" s="24" t="inlineStr">
        <is>
          <t>OpenDART_fnlttSinglAcntAll</t>
        </is>
      </c>
      <c r="B217" s="24" t="inlineStr">
        <is>
          <t>00161383</t>
        </is>
      </c>
      <c r="C217" s="24" t="inlineStr">
        <is>
          <t>한미반도체</t>
        </is>
      </c>
      <c r="D217" s="24" t="inlineStr">
        <is>
          <t>hanmi</t>
        </is>
      </c>
      <c r="E217" s="24" t="inlineStr">
        <is>
          <t>042700</t>
        </is>
      </c>
      <c r="F217" s="24" t="inlineStr">
        <is>
          <t>2021</t>
        </is>
      </c>
      <c r="G217" s="24" t="inlineStr">
        <is>
          <t>CFS</t>
        </is>
      </c>
      <c r="H217" s="24" t="inlineStr">
        <is>
          <t>SCE</t>
        </is>
      </c>
      <c r="I217" s="24" t="inlineStr">
        <is>
          <t>자본변동표</t>
        </is>
      </c>
      <c r="J217" s="24" t="inlineStr">
        <is>
          <t>ifrs-full_Equity</t>
        </is>
      </c>
      <c r="K217" s="24" t="inlineStr">
        <is>
          <t>기말자본</t>
        </is>
      </c>
      <c r="L217" s="24" t="inlineStr">
        <is>
          <t>자본 [member]|지배기업지분|기타자본구성요소 [member]</t>
        </is>
      </c>
      <c r="M217" s="24" t="inlineStr">
        <is>
          <t>제 42 기</t>
        </is>
      </c>
      <c r="N217" s="24" t="inlineStr">
        <is>
          <t>403275571.0</t>
        </is>
      </c>
      <c r="O217" s="24" t="inlineStr">
        <is>
          <t>-18615800510.0</t>
        </is>
      </c>
      <c r="P217" s="24" t="inlineStr">
        <is>
          <t>KRW</t>
        </is>
      </c>
      <c r="Q217" s="24" t="inlineStr">
        <is>
          <t>12</t>
        </is>
      </c>
    </row>
    <row r="218" ht="24" customHeight="1">
      <c r="A218" s="29" t="inlineStr">
        <is>
          <t>OpenDART_fnlttSinglAcntAll</t>
        </is>
      </c>
      <c r="B218" s="29" t="inlineStr">
        <is>
          <t>00161383</t>
        </is>
      </c>
      <c r="C218" s="29" t="inlineStr">
        <is>
          <t>한미반도체</t>
        </is>
      </c>
      <c r="D218" s="29" t="inlineStr">
        <is>
          <t>hanmi</t>
        </is>
      </c>
      <c r="E218" s="29" t="inlineStr">
        <is>
          <t>042700</t>
        </is>
      </c>
      <c r="F218" s="29" t="inlineStr">
        <is>
          <t>2021</t>
        </is>
      </c>
      <c r="G218" s="29" t="inlineStr">
        <is>
          <t>CFS</t>
        </is>
      </c>
      <c r="H218" s="29" t="inlineStr">
        <is>
          <t>SCE</t>
        </is>
      </c>
      <c r="I218" s="29" t="inlineStr">
        <is>
          <t>자본변동표</t>
        </is>
      </c>
      <c r="J218" s="29" t="inlineStr">
        <is>
          <t>ifrs-full_Equity</t>
        </is>
      </c>
      <c r="K218" s="29" t="inlineStr">
        <is>
          <t>기말자본</t>
        </is>
      </c>
      <c r="L218" s="29" t="inlineStr">
        <is>
          <t>자본 [member]|지배기업지분|기타포괄손익누계액 [member]</t>
        </is>
      </c>
      <c r="M218" s="29" t="inlineStr">
        <is>
          <t>제 42 기</t>
        </is>
      </c>
      <c r="N218" s="29" t="inlineStr">
        <is>
          <t>154903951.0</t>
        </is>
      </c>
      <c r="O218" s="29" t="inlineStr">
        <is>
          <t>-135823751.0</t>
        </is>
      </c>
      <c r="P218" s="29" t="inlineStr">
        <is>
          <t>KRW</t>
        </is>
      </c>
      <c r="Q218" s="29" t="inlineStr">
        <is>
          <t>12</t>
        </is>
      </c>
    </row>
    <row r="219" ht="24" customHeight="1">
      <c r="A219" s="24" t="inlineStr">
        <is>
          <t>OpenDART_fnlttSinglAcntAll</t>
        </is>
      </c>
      <c r="B219" s="24" t="inlineStr">
        <is>
          <t>00161383</t>
        </is>
      </c>
      <c r="C219" s="24" t="inlineStr">
        <is>
          <t>한미반도체</t>
        </is>
      </c>
      <c r="D219" s="24" t="inlineStr">
        <is>
          <t>hanmi</t>
        </is>
      </c>
      <c r="E219" s="24" t="inlineStr">
        <is>
          <t>042700</t>
        </is>
      </c>
      <c r="F219" s="24" t="inlineStr">
        <is>
          <t>2021</t>
        </is>
      </c>
      <c r="G219" s="24" t="inlineStr">
        <is>
          <t>CFS</t>
        </is>
      </c>
      <c r="H219" s="24" t="inlineStr">
        <is>
          <t>SCE</t>
        </is>
      </c>
      <c r="I219" s="24" t="inlineStr">
        <is>
          <t>자본변동표</t>
        </is>
      </c>
      <c r="J219" s="24" t="inlineStr">
        <is>
          <t>ifrs-full_Equity</t>
        </is>
      </c>
      <c r="K219" s="24" t="inlineStr">
        <is>
          <t>기말자본</t>
        </is>
      </c>
      <c r="L219" s="24" t="inlineStr">
        <is>
          <t>자본 [member]|지배기업지분|이익잉여금 [member]</t>
        </is>
      </c>
      <c r="M219" s="24" t="inlineStr">
        <is>
          <t>제 42 기</t>
        </is>
      </c>
      <c r="N219" s="24" t="inlineStr">
        <is>
          <t>282619540445.0</t>
        </is>
      </c>
      <c r="O219" s="24" t="inlineStr">
        <is>
          <t>215235788066.0</t>
        </is>
      </c>
      <c r="P219" s="24" t="inlineStr">
        <is>
          <t>KRW</t>
        </is>
      </c>
      <c r="Q219" s="24" t="inlineStr">
        <is>
          <t>12</t>
        </is>
      </c>
    </row>
    <row r="220" ht="24" customHeight="1">
      <c r="A220" s="29" t="inlineStr">
        <is>
          <t>OpenDART_fnlttSinglAcntAll</t>
        </is>
      </c>
      <c r="B220" s="29" t="inlineStr">
        <is>
          <t>00161383</t>
        </is>
      </c>
      <c r="C220" s="29" t="inlineStr">
        <is>
          <t>한미반도체</t>
        </is>
      </c>
      <c r="D220" s="29" t="inlineStr">
        <is>
          <t>hanmi</t>
        </is>
      </c>
      <c r="E220" s="29" t="inlineStr">
        <is>
          <t>042700</t>
        </is>
      </c>
      <c r="F220" s="29" t="inlineStr">
        <is>
          <t>2021</t>
        </is>
      </c>
      <c r="G220" s="29" t="inlineStr">
        <is>
          <t>CFS</t>
        </is>
      </c>
      <c r="H220" s="29" t="inlineStr">
        <is>
          <t>SCE</t>
        </is>
      </c>
      <c r="I220" s="29" t="inlineStr">
        <is>
          <t>자본변동표</t>
        </is>
      </c>
      <c r="J220" s="29" t="inlineStr">
        <is>
          <t>ifrs-full_Equity</t>
        </is>
      </c>
      <c r="K220" s="29" t="inlineStr">
        <is>
          <t>기말자본</t>
        </is>
      </c>
      <c r="L220" s="29" t="inlineStr">
        <is>
          <t>자본 [member]|지배기업지분|자본금 [member]</t>
        </is>
      </c>
      <c r="M220" s="29" t="inlineStr">
        <is>
          <t>제 42 기</t>
        </is>
      </c>
      <c r="N220" s="29" t="inlineStr">
        <is>
          <t>12716420500.0</t>
        </is>
      </c>
      <c r="O220" s="29" t="inlineStr">
        <is>
          <t>12716420500.0</t>
        </is>
      </c>
      <c r="P220" s="29" t="inlineStr">
        <is>
          <t>KRW</t>
        </is>
      </c>
      <c r="Q220" s="29" t="inlineStr">
        <is>
          <t>12</t>
        </is>
      </c>
    </row>
    <row r="221" ht="24" customHeight="1">
      <c r="A221" s="24" t="inlineStr">
        <is>
          <t>OpenDART_fnlttSinglAcntAll</t>
        </is>
      </c>
      <c r="B221" s="24" t="inlineStr">
        <is>
          <t>00161383</t>
        </is>
      </c>
      <c r="C221" s="24" t="inlineStr">
        <is>
          <t>한미반도체</t>
        </is>
      </c>
      <c r="D221" s="24" t="inlineStr">
        <is>
          <t>hanmi</t>
        </is>
      </c>
      <c r="E221" s="24" t="inlineStr">
        <is>
          <t>042700</t>
        </is>
      </c>
      <c r="F221" s="24" t="inlineStr">
        <is>
          <t>2021</t>
        </is>
      </c>
      <c r="G221" s="24" t="inlineStr">
        <is>
          <t>CFS</t>
        </is>
      </c>
      <c r="H221" s="24" t="inlineStr">
        <is>
          <t>SCE</t>
        </is>
      </c>
      <c r="I221" s="24" t="inlineStr">
        <is>
          <t>자본변동표</t>
        </is>
      </c>
      <c r="J221" s="24" t="inlineStr">
        <is>
          <t>ifrs-full_Equity</t>
        </is>
      </c>
      <c r="K221" s="24" t="inlineStr">
        <is>
          <t>기말자본</t>
        </is>
      </c>
      <c r="L221" s="24" t="inlineStr">
        <is>
          <t>자본 [member]|지배기업지분|자본잉여금 [member]</t>
        </is>
      </c>
      <c r="M221" s="24" t="inlineStr">
        <is>
          <t>제 42 기</t>
        </is>
      </c>
      <c r="N221" s="24" t="inlineStr">
        <is>
          <t>50917901810.0</t>
        </is>
      </c>
      <c r="O221" s="24" t="inlineStr">
        <is>
          <t>47889958498.0</t>
        </is>
      </c>
      <c r="P221" s="24" t="inlineStr">
        <is>
          <t>KRW</t>
        </is>
      </c>
      <c r="Q221" s="24" t="inlineStr">
        <is>
          <t>12</t>
        </is>
      </c>
    </row>
    <row r="222" ht="24" customHeight="1">
      <c r="A222" s="29" t="inlineStr">
        <is>
          <t>OpenDART_fnlttSinglAcntAll</t>
        </is>
      </c>
      <c r="B222" s="29" t="inlineStr">
        <is>
          <t>00161383</t>
        </is>
      </c>
      <c r="C222" s="29" t="inlineStr">
        <is>
          <t>한미반도체</t>
        </is>
      </c>
      <c r="D222" s="29" t="inlineStr">
        <is>
          <t>hanmi</t>
        </is>
      </c>
      <c r="E222" s="29" t="inlineStr">
        <is>
          <t>042700</t>
        </is>
      </c>
      <c r="F222" s="29" t="inlineStr">
        <is>
          <t>2022</t>
        </is>
      </c>
      <c r="G222" s="29" t="inlineStr">
        <is>
          <t>CFS</t>
        </is>
      </c>
      <c r="H222" s="29" t="inlineStr">
        <is>
          <t>BS</t>
        </is>
      </c>
      <c r="I222" s="29" t="inlineStr">
        <is>
          <t>재무상태표</t>
        </is>
      </c>
      <c r="J222" s="29" t="inlineStr">
        <is>
          <t>ifrs-full_CurrentAssets</t>
        </is>
      </c>
      <c r="K222" s="29" t="inlineStr">
        <is>
          <t>유동자산</t>
        </is>
      </c>
      <c r="L222" s="29" t="inlineStr">
        <is>
          <t>-</t>
        </is>
      </c>
      <c r="M222" s="29" t="inlineStr">
        <is>
          <t>제 43 기</t>
        </is>
      </c>
      <c r="N222" s="29" t="inlineStr">
        <is>
          <t>266177446666.0</t>
        </is>
      </c>
      <c r="O222" s="29" t="inlineStr">
        <is>
          <t>249783839880.0</t>
        </is>
      </c>
      <c r="P222" s="29" t="inlineStr">
        <is>
          <t>KRW</t>
        </is>
      </c>
      <c r="Q222" s="29" t="inlineStr">
        <is>
          <t>1</t>
        </is>
      </c>
    </row>
    <row r="223" ht="24" customHeight="1">
      <c r="A223" s="24" t="inlineStr">
        <is>
          <t>OpenDART_fnlttSinglAcntAll</t>
        </is>
      </c>
      <c r="B223" s="24" t="inlineStr">
        <is>
          <t>00161383</t>
        </is>
      </c>
      <c r="C223" s="24" t="inlineStr">
        <is>
          <t>한미반도체</t>
        </is>
      </c>
      <c r="D223" s="24" t="inlineStr">
        <is>
          <t>hanmi</t>
        </is>
      </c>
      <c r="E223" s="24" t="inlineStr">
        <is>
          <t>042700</t>
        </is>
      </c>
      <c r="F223" s="24" t="inlineStr">
        <is>
          <t>2022</t>
        </is>
      </c>
      <c r="G223" s="24" t="inlineStr">
        <is>
          <t>CFS</t>
        </is>
      </c>
      <c r="H223" s="24" t="inlineStr">
        <is>
          <t>BS</t>
        </is>
      </c>
      <c r="I223" s="24" t="inlineStr">
        <is>
          <t>재무상태표</t>
        </is>
      </c>
      <c r="J223" s="24" t="inlineStr">
        <is>
          <t>ifrs-full_CashAndCashEquivalents</t>
        </is>
      </c>
      <c r="K223" s="24" t="inlineStr">
        <is>
          <t>현금및현금성자산</t>
        </is>
      </c>
      <c r="L223" s="24" t="inlineStr">
        <is>
          <t>-</t>
        </is>
      </c>
      <c r="M223" s="24" t="inlineStr">
        <is>
          <t>제 43 기</t>
        </is>
      </c>
      <c r="N223" s="24" t="inlineStr">
        <is>
          <t>90895691895.0</t>
        </is>
      </c>
      <c r="O223" s="24" t="inlineStr">
        <is>
          <t>49608464797.0</t>
        </is>
      </c>
      <c r="P223" s="24" t="inlineStr">
        <is>
          <t>KRW</t>
        </is>
      </c>
      <c r="Q223" s="24" t="inlineStr">
        <is>
          <t>2</t>
        </is>
      </c>
    </row>
    <row r="224" ht="24" customHeight="1">
      <c r="A224" s="29" t="inlineStr">
        <is>
          <t>OpenDART_fnlttSinglAcntAll</t>
        </is>
      </c>
      <c r="B224" s="29" t="inlineStr">
        <is>
          <t>00161383</t>
        </is>
      </c>
      <c r="C224" s="29" t="inlineStr">
        <is>
          <t>한미반도체</t>
        </is>
      </c>
      <c r="D224" s="29" t="inlineStr">
        <is>
          <t>hanmi</t>
        </is>
      </c>
      <c r="E224" s="29" t="inlineStr">
        <is>
          <t>042700</t>
        </is>
      </c>
      <c r="F224" s="29" t="inlineStr">
        <is>
          <t>2022</t>
        </is>
      </c>
      <c r="G224" s="29" t="inlineStr">
        <is>
          <t>CFS</t>
        </is>
      </c>
      <c r="H224" s="29" t="inlineStr">
        <is>
          <t>BS</t>
        </is>
      </c>
      <c r="I224" s="29" t="inlineStr">
        <is>
          <t>재무상태표</t>
        </is>
      </c>
      <c r="J224" s="29" t="inlineStr">
        <is>
          <t>dart_ShortTermDepositsNotClassifiedAsCashEquivalents</t>
        </is>
      </c>
      <c r="K224" s="29" t="inlineStr">
        <is>
          <t>단기금융상품</t>
        </is>
      </c>
      <c r="L224" s="29" t="inlineStr">
        <is>
          <t>-</t>
        </is>
      </c>
      <c r="M224" s="29" t="inlineStr">
        <is>
          <t>제 43 기</t>
        </is>
      </c>
      <c r="N224" s="29" t="inlineStr">
        <is>
          <t>12673000000.0</t>
        </is>
      </c>
      <c r="O224" s="29" t="inlineStr">
        <is>
          <t>0.0</t>
        </is>
      </c>
      <c r="P224" s="29" t="inlineStr">
        <is>
          <t>KRW</t>
        </is>
      </c>
      <c r="Q224" s="29" t="inlineStr">
        <is>
          <t>3</t>
        </is>
      </c>
    </row>
    <row r="225" ht="24" customHeight="1">
      <c r="A225" s="24" t="inlineStr">
        <is>
          <t>OpenDART_fnlttSinglAcntAll</t>
        </is>
      </c>
      <c r="B225" s="24" t="inlineStr">
        <is>
          <t>00161383</t>
        </is>
      </c>
      <c r="C225" s="24" t="inlineStr">
        <is>
          <t>한미반도체</t>
        </is>
      </c>
      <c r="D225" s="24" t="inlineStr">
        <is>
          <t>hanmi</t>
        </is>
      </c>
      <c r="E225" s="24" t="inlineStr">
        <is>
          <t>042700</t>
        </is>
      </c>
      <c r="F225" s="24" t="inlineStr">
        <is>
          <t>2022</t>
        </is>
      </c>
      <c r="G225" s="24" t="inlineStr">
        <is>
          <t>CFS</t>
        </is>
      </c>
      <c r="H225" s="24" t="inlineStr">
        <is>
          <t>BS</t>
        </is>
      </c>
      <c r="I225" s="24" t="inlineStr">
        <is>
          <t>재무상태표</t>
        </is>
      </c>
      <c r="J225" s="24" t="inlineStr">
        <is>
          <t>dart_ShortTermTradeReceivable</t>
        </is>
      </c>
      <c r="K225" s="24" t="inlineStr">
        <is>
          <t>매출채권</t>
        </is>
      </c>
      <c r="L225" s="24" t="inlineStr">
        <is>
          <t>-</t>
        </is>
      </c>
      <c r="M225" s="24" t="inlineStr">
        <is>
          <t>제 43 기</t>
        </is>
      </c>
      <c r="N225" s="24" t="inlineStr">
        <is>
          <t>80474494282.0</t>
        </is>
      </c>
      <c r="O225" s="24" t="inlineStr">
        <is>
          <t>108425177475.0</t>
        </is>
      </c>
      <c r="P225" s="24" t="inlineStr">
        <is>
          <t>KRW</t>
        </is>
      </c>
      <c r="Q225" s="24" t="inlineStr">
        <is>
          <t>4</t>
        </is>
      </c>
    </row>
    <row r="226" ht="24" customHeight="1">
      <c r="A226" s="29" t="inlineStr">
        <is>
          <t>OpenDART_fnlttSinglAcntAll</t>
        </is>
      </c>
      <c r="B226" s="29" t="inlineStr">
        <is>
          <t>00161383</t>
        </is>
      </c>
      <c r="C226" s="29" t="inlineStr">
        <is>
          <t>한미반도체</t>
        </is>
      </c>
      <c r="D226" s="29" t="inlineStr">
        <is>
          <t>hanmi</t>
        </is>
      </c>
      <c r="E226" s="29" t="inlineStr">
        <is>
          <t>042700</t>
        </is>
      </c>
      <c r="F226" s="29" t="inlineStr">
        <is>
          <t>2022</t>
        </is>
      </c>
      <c r="G226" s="29" t="inlineStr">
        <is>
          <t>CFS</t>
        </is>
      </c>
      <c r="H226" s="29" t="inlineStr">
        <is>
          <t>BS</t>
        </is>
      </c>
      <c r="I226" s="29" t="inlineStr">
        <is>
          <t>재무상태표</t>
        </is>
      </c>
      <c r="J226" s="29" t="inlineStr">
        <is>
          <t>ifrs-full_Inventories</t>
        </is>
      </c>
      <c r="K226" s="29" t="inlineStr">
        <is>
          <t>재고자산</t>
        </is>
      </c>
      <c r="L226" s="29" t="inlineStr">
        <is>
          <t>-</t>
        </is>
      </c>
      <c r="M226" s="29" t="inlineStr">
        <is>
          <t>제 43 기</t>
        </is>
      </c>
      <c r="N226" s="29" t="inlineStr">
        <is>
          <t>80082209631.0</t>
        </is>
      </c>
      <c r="O226" s="29" t="inlineStr">
        <is>
          <t>85821570853.0</t>
        </is>
      </c>
      <c r="P226" s="29" t="inlineStr">
        <is>
          <t>KRW</t>
        </is>
      </c>
      <c r="Q226" s="29" t="inlineStr">
        <is>
          <t>5</t>
        </is>
      </c>
    </row>
    <row r="227" ht="24" customHeight="1">
      <c r="A227" s="24" t="inlineStr">
        <is>
          <t>OpenDART_fnlttSinglAcntAll</t>
        </is>
      </c>
      <c r="B227" s="24" t="inlineStr">
        <is>
          <t>00161383</t>
        </is>
      </c>
      <c r="C227" s="24" t="inlineStr">
        <is>
          <t>한미반도체</t>
        </is>
      </c>
      <c r="D227" s="24" t="inlineStr">
        <is>
          <t>hanmi</t>
        </is>
      </c>
      <c r="E227" s="24" t="inlineStr">
        <is>
          <t>042700</t>
        </is>
      </c>
      <c r="F227" s="24" t="inlineStr">
        <is>
          <t>2022</t>
        </is>
      </c>
      <c r="G227" s="24" t="inlineStr">
        <is>
          <t>CFS</t>
        </is>
      </c>
      <c r="H227" s="24" t="inlineStr">
        <is>
          <t>BS</t>
        </is>
      </c>
      <c r="I227" s="24" t="inlineStr">
        <is>
          <t>재무상태표</t>
        </is>
      </c>
      <c r="J227" s="24" t="inlineStr">
        <is>
          <t>ifrs-full_OtherCurrentFinancialAssets</t>
        </is>
      </c>
      <c r="K227" s="24" t="inlineStr">
        <is>
          <t>기타유동금융자산</t>
        </is>
      </c>
      <c r="L227" s="24" t="inlineStr">
        <is>
          <t>-</t>
        </is>
      </c>
      <c r="M227" s="24" t="inlineStr">
        <is>
          <t>제 43 기</t>
        </is>
      </c>
      <c r="N227" s="24" t="inlineStr">
        <is>
          <t>375776413.0</t>
        </is>
      </c>
      <c r="O227" s="24" t="inlineStr">
        <is>
          <t>5001333934.0</t>
        </is>
      </c>
      <c r="P227" s="24" t="inlineStr">
        <is>
          <t>KRW</t>
        </is>
      </c>
      <c r="Q227" s="24" t="inlineStr">
        <is>
          <t>6</t>
        </is>
      </c>
    </row>
    <row r="228" ht="24" customHeight="1">
      <c r="A228" s="29" t="inlineStr">
        <is>
          <t>OpenDART_fnlttSinglAcntAll</t>
        </is>
      </c>
      <c r="B228" s="29" t="inlineStr">
        <is>
          <t>00161383</t>
        </is>
      </c>
      <c r="C228" s="29" t="inlineStr">
        <is>
          <t>한미반도체</t>
        </is>
      </c>
      <c r="D228" s="29" t="inlineStr">
        <is>
          <t>hanmi</t>
        </is>
      </c>
      <c r="E228" s="29" t="inlineStr">
        <is>
          <t>042700</t>
        </is>
      </c>
      <c r="F228" s="29" t="inlineStr">
        <is>
          <t>2022</t>
        </is>
      </c>
      <c r="G228" s="29" t="inlineStr">
        <is>
          <t>CFS</t>
        </is>
      </c>
      <c r="H228" s="29" t="inlineStr">
        <is>
          <t>BS</t>
        </is>
      </c>
      <c r="I228" s="29" t="inlineStr">
        <is>
          <t>재무상태표</t>
        </is>
      </c>
      <c r="J228" s="29" t="inlineStr">
        <is>
          <t>dart_OtherCurrentAssets</t>
        </is>
      </c>
      <c r="K228" s="29" t="inlineStr">
        <is>
          <t>기타유동자산</t>
        </is>
      </c>
      <c r="L228" s="29" t="inlineStr">
        <is>
          <t>-</t>
        </is>
      </c>
      <c r="M228" s="29" t="inlineStr">
        <is>
          <t>제 43 기</t>
        </is>
      </c>
      <c r="N228" s="29" t="inlineStr">
        <is>
          <t>1676274445.0</t>
        </is>
      </c>
      <c r="O228" s="29" t="inlineStr">
        <is>
          <t>927292821.0</t>
        </is>
      </c>
      <c r="P228" s="29" t="inlineStr">
        <is>
          <t>KRW</t>
        </is>
      </c>
      <c r="Q228" s="29" t="inlineStr">
        <is>
          <t>7</t>
        </is>
      </c>
    </row>
    <row r="229" ht="24" customHeight="1">
      <c r="A229" s="24" t="inlineStr">
        <is>
          <t>OpenDART_fnlttSinglAcntAll</t>
        </is>
      </c>
      <c r="B229" s="24" t="inlineStr">
        <is>
          <t>00161383</t>
        </is>
      </c>
      <c r="C229" s="24" t="inlineStr">
        <is>
          <t>한미반도체</t>
        </is>
      </c>
      <c r="D229" s="24" t="inlineStr">
        <is>
          <t>hanmi</t>
        </is>
      </c>
      <c r="E229" s="24" t="inlineStr">
        <is>
          <t>042700</t>
        </is>
      </c>
      <c r="F229" s="24" t="inlineStr">
        <is>
          <t>2022</t>
        </is>
      </c>
      <c r="G229" s="24" t="inlineStr">
        <is>
          <t>CFS</t>
        </is>
      </c>
      <c r="H229" s="24" t="inlineStr">
        <is>
          <t>BS</t>
        </is>
      </c>
      <c r="I229" s="24" t="inlineStr">
        <is>
          <t>재무상태표</t>
        </is>
      </c>
      <c r="J229" s="24" t="inlineStr">
        <is>
          <t>-표준계정코드 미사용-</t>
        </is>
      </c>
      <c r="K229" s="24" t="inlineStr">
        <is>
          <t>매각예정비유동자산</t>
        </is>
      </c>
      <c r="L229" s="24" t="inlineStr">
        <is>
          <t>-</t>
        </is>
      </c>
      <c r="M229" s="24" t="inlineStr">
        <is>
          <t>제 43 기</t>
        </is>
      </c>
      <c r="N229" s="24" t="inlineStr">
        <is>
          <t>3387767680.0</t>
        </is>
      </c>
      <c r="O229" s="24" t="inlineStr">
        <is>
          <t>0.0</t>
        </is>
      </c>
      <c r="P229" s="24" t="inlineStr">
        <is>
          <t>KRW</t>
        </is>
      </c>
      <c r="Q229" s="24" t="inlineStr">
        <is>
          <t>8</t>
        </is>
      </c>
    </row>
    <row r="230" ht="24" customHeight="1">
      <c r="A230" s="29" t="inlineStr">
        <is>
          <t>OpenDART_fnlttSinglAcntAll</t>
        </is>
      </c>
      <c r="B230" s="29" t="inlineStr">
        <is>
          <t>00161383</t>
        </is>
      </c>
      <c r="C230" s="29" t="inlineStr">
        <is>
          <t>한미반도체</t>
        </is>
      </c>
      <c r="D230" s="29" t="inlineStr">
        <is>
          <t>hanmi</t>
        </is>
      </c>
      <c r="E230" s="29" t="inlineStr">
        <is>
          <t>042700</t>
        </is>
      </c>
      <c r="F230" s="29" t="inlineStr">
        <is>
          <t>2022</t>
        </is>
      </c>
      <c r="G230" s="29" t="inlineStr">
        <is>
          <t>CFS</t>
        </is>
      </c>
      <c r="H230" s="29" t="inlineStr">
        <is>
          <t>BS</t>
        </is>
      </c>
      <c r="I230" s="29" t="inlineStr">
        <is>
          <t>재무상태표</t>
        </is>
      </c>
      <c r="J230" s="29" t="inlineStr">
        <is>
          <t>ifrs-full_NoncurrentAssets</t>
        </is>
      </c>
      <c r="K230" s="29" t="inlineStr">
        <is>
          <t>비유동자산</t>
        </is>
      </c>
      <c r="L230" s="29" t="inlineStr">
        <is>
          <t>-</t>
        </is>
      </c>
      <c r="M230" s="29" t="inlineStr">
        <is>
          <t>제 43 기</t>
        </is>
      </c>
      <c r="N230" s="29" t="inlineStr">
        <is>
          <t>185867751639.0</t>
        </is>
      </c>
      <c r="O230" s="29" t="inlineStr">
        <is>
          <t>179501843547.0</t>
        </is>
      </c>
      <c r="P230" s="29" t="inlineStr">
        <is>
          <t>KRW</t>
        </is>
      </c>
      <c r="Q230" s="29" t="inlineStr">
        <is>
          <t>9</t>
        </is>
      </c>
    </row>
    <row r="231" ht="24" customHeight="1">
      <c r="A231" s="24" t="inlineStr">
        <is>
          <t>OpenDART_fnlttSinglAcntAll</t>
        </is>
      </c>
      <c r="B231" s="24" t="inlineStr">
        <is>
          <t>00161383</t>
        </is>
      </c>
      <c r="C231" s="24" t="inlineStr">
        <is>
          <t>한미반도체</t>
        </is>
      </c>
      <c r="D231" s="24" t="inlineStr">
        <is>
          <t>hanmi</t>
        </is>
      </c>
      <c r="E231" s="24" t="inlineStr">
        <is>
          <t>042700</t>
        </is>
      </c>
      <c r="F231" s="24" t="inlineStr">
        <is>
          <t>2022</t>
        </is>
      </c>
      <c r="G231" s="24" t="inlineStr">
        <is>
          <t>CFS</t>
        </is>
      </c>
      <c r="H231" s="24" t="inlineStr">
        <is>
          <t>BS</t>
        </is>
      </c>
      <c r="I231" s="24" t="inlineStr">
        <is>
          <t>재무상태표</t>
        </is>
      </c>
      <c r="J231" s="24" t="inlineStr">
        <is>
          <t>dart_LongTermDepositsNotClassifiedAsCashEquivalents</t>
        </is>
      </c>
      <c r="K231" s="24" t="inlineStr">
        <is>
          <t>장기금융상품</t>
        </is>
      </c>
      <c r="L231" s="24" t="inlineStr">
        <is>
          <t>-</t>
        </is>
      </c>
      <c r="M231" s="24" t="inlineStr">
        <is>
          <t>제 43 기</t>
        </is>
      </c>
      <c r="N231" s="24" t="inlineStr">
        <is>
          <t>8621280.0</t>
        </is>
      </c>
      <c r="O231" s="24" t="inlineStr">
        <is>
          <t>7184400.0</t>
        </is>
      </c>
      <c r="P231" s="24" t="inlineStr">
        <is>
          <t>KRW</t>
        </is>
      </c>
      <c r="Q231" s="24" t="inlineStr">
        <is>
          <t>10</t>
        </is>
      </c>
    </row>
    <row r="232" ht="24" customHeight="1">
      <c r="A232" s="29" t="inlineStr">
        <is>
          <t>OpenDART_fnlttSinglAcntAll</t>
        </is>
      </c>
      <c r="B232" s="29" t="inlineStr">
        <is>
          <t>00161383</t>
        </is>
      </c>
      <c r="C232" s="29" t="inlineStr">
        <is>
          <t>한미반도체</t>
        </is>
      </c>
      <c r="D232" s="29" t="inlineStr">
        <is>
          <t>hanmi</t>
        </is>
      </c>
      <c r="E232" s="29" t="inlineStr">
        <is>
          <t>042700</t>
        </is>
      </c>
      <c r="F232" s="29" t="inlineStr">
        <is>
          <t>2022</t>
        </is>
      </c>
      <c r="G232" s="29" t="inlineStr">
        <is>
          <t>CFS</t>
        </is>
      </c>
      <c r="H232" s="29" t="inlineStr">
        <is>
          <t>BS</t>
        </is>
      </c>
      <c r="I232" s="29" t="inlineStr">
        <is>
          <t>재무상태표</t>
        </is>
      </c>
      <c r="J232" s="29" t="inlineStr">
        <is>
          <t>dart_NonCurrentAvailableForSaleFinancialAssets</t>
        </is>
      </c>
      <c r="K232" s="29" t="inlineStr">
        <is>
          <t>기타투자자산</t>
        </is>
      </c>
      <c r="L232" s="29" t="inlineStr">
        <is>
          <t>-</t>
        </is>
      </c>
      <c r="M232" s="29" t="inlineStr">
        <is>
          <t>제 43 기</t>
        </is>
      </c>
      <c r="N232" s="29" t="inlineStr">
        <is>
          <t>11300000.0</t>
        </is>
      </c>
      <c r="O232" s="29" t="inlineStr">
        <is>
          <t>11300000.0</t>
        </is>
      </c>
      <c r="P232" s="29" t="inlineStr">
        <is>
          <t>KRW</t>
        </is>
      </c>
      <c r="Q232" s="29" t="inlineStr">
        <is>
          <t>11</t>
        </is>
      </c>
    </row>
    <row r="233" ht="24" customHeight="1">
      <c r="A233" s="24" t="inlineStr">
        <is>
          <t>OpenDART_fnlttSinglAcntAll</t>
        </is>
      </c>
      <c r="B233" s="24" t="inlineStr">
        <is>
          <t>00161383</t>
        </is>
      </c>
      <c r="C233" s="24" t="inlineStr">
        <is>
          <t>한미반도체</t>
        </is>
      </c>
      <c r="D233" s="24" t="inlineStr">
        <is>
          <t>hanmi</t>
        </is>
      </c>
      <c r="E233" s="24" t="inlineStr">
        <is>
          <t>042700</t>
        </is>
      </c>
      <c r="F233" s="24" t="inlineStr">
        <is>
          <t>2022</t>
        </is>
      </c>
      <c r="G233" s="24" t="inlineStr">
        <is>
          <t>CFS</t>
        </is>
      </c>
      <c r="H233" s="24" t="inlineStr">
        <is>
          <t>BS</t>
        </is>
      </c>
      <c r="I233" s="24" t="inlineStr">
        <is>
          <t>재무상태표</t>
        </is>
      </c>
      <c r="J233" s="24" t="inlineStr">
        <is>
          <t>ifrs-full_InvestmentsInAssociates</t>
        </is>
      </c>
      <c r="K233" s="24" t="inlineStr">
        <is>
          <t>관계기업투자</t>
        </is>
      </c>
      <c r="L233" s="24" t="inlineStr">
        <is>
          <t>-</t>
        </is>
      </c>
      <c r="M233" s="24" t="inlineStr">
        <is>
          <t>제 43 기</t>
        </is>
      </c>
      <c r="N233" s="24" t="inlineStr">
        <is>
          <t>52273831483.0</t>
        </is>
      </c>
      <c r="O233" s="24" t="inlineStr">
        <is>
          <t>54668872978.0</t>
        </is>
      </c>
      <c r="P233" s="24" t="inlineStr">
        <is>
          <t>KRW</t>
        </is>
      </c>
      <c r="Q233" s="24" t="inlineStr">
        <is>
          <t>12</t>
        </is>
      </c>
    </row>
    <row r="234" ht="24" customHeight="1">
      <c r="A234" s="29" t="inlineStr">
        <is>
          <t>OpenDART_fnlttSinglAcntAll</t>
        </is>
      </c>
      <c r="B234" s="29" t="inlineStr">
        <is>
          <t>00161383</t>
        </is>
      </c>
      <c r="C234" s="29" t="inlineStr">
        <is>
          <t>한미반도체</t>
        </is>
      </c>
      <c r="D234" s="29" t="inlineStr">
        <is>
          <t>hanmi</t>
        </is>
      </c>
      <c r="E234" s="29" t="inlineStr">
        <is>
          <t>042700</t>
        </is>
      </c>
      <c r="F234" s="29" t="inlineStr">
        <is>
          <t>2022</t>
        </is>
      </c>
      <c r="G234" s="29" t="inlineStr">
        <is>
          <t>CFS</t>
        </is>
      </c>
      <c r="H234" s="29" t="inlineStr">
        <is>
          <t>BS</t>
        </is>
      </c>
      <c r="I234" s="29" t="inlineStr">
        <is>
          <t>재무상태표</t>
        </is>
      </c>
      <c r="J234" s="29" t="inlineStr">
        <is>
          <t>ifrs-full_PropertyPlantAndEquipment</t>
        </is>
      </c>
      <c r="K234" s="29" t="inlineStr">
        <is>
          <t>유형자산</t>
        </is>
      </c>
      <c r="L234" s="29" t="inlineStr">
        <is>
          <t>-</t>
        </is>
      </c>
      <c r="M234" s="29" t="inlineStr">
        <is>
          <t>제 43 기</t>
        </is>
      </c>
      <c r="N234" s="29" t="inlineStr">
        <is>
          <t>112548395466.0</t>
        </is>
      </c>
      <c r="O234" s="29" t="inlineStr">
        <is>
          <t>108127052346.0</t>
        </is>
      </c>
      <c r="P234" s="29" t="inlineStr">
        <is>
          <t>KRW</t>
        </is>
      </c>
      <c r="Q234" s="29" t="inlineStr">
        <is>
          <t>13</t>
        </is>
      </c>
    </row>
    <row r="235" ht="24" customHeight="1">
      <c r="A235" s="24" t="inlineStr">
        <is>
          <t>OpenDART_fnlttSinglAcntAll</t>
        </is>
      </c>
      <c r="B235" s="24" t="inlineStr">
        <is>
          <t>00161383</t>
        </is>
      </c>
      <c r="C235" s="24" t="inlineStr">
        <is>
          <t>한미반도체</t>
        </is>
      </c>
      <c r="D235" s="24" t="inlineStr">
        <is>
          <t>hanmi</t>
        </is>
      </c>
      <c r="E235" s="24" t="inlineStr">
        <is>
          <t>042700</t>
        </is>
      </c>
      <c r="F235" s="24" t="inlineStr">
        <is>
          <t>2022</t>
        </is>
      </c>
      <c r="G235" s="24" t="inlineStr">
        <is>
          <t>CFS</t>
        </is>
      </c>
      <c r="H235" s="24" t="inlineStr">
        <is>
          <t>BS</t>
        </is>
      </c>
      <c r="I235" s="24" t="inlineStr">
        <is>
          <t>재무상태표</t>
        </is>
      </c>
      <c r="J235" s="24" t="inlineStr">
        <is>
          <t>ifrs-full_InvestmentProperty</t>
        </is>
      </c>
      <c r="K235" s="24" t="inlineStr">
        <is>
          <t>투자부동산</t>
        </is>
      </c>
      <c r="L235" s="24" t="inlineStr">
        <is>
          <t>-</t>
        </is>
      </c>
      <c r="M235" s="24" t="inlineStr">
        <is>
          <t>제 43 기</t>
        </is>
      </c>
      <c r="N235" s="24" t="inlineStr">
        <is>
          <t>5882878350.0</t>
        </is>
      </c>
      <c r="O235" s="24" t="inlineStr">
        <is>
          <t>5976717546.0</t>
        </is>
      </c>
      <c r="P235" s="24" t="inlineStr">
        <is>
          <t>KRW</t>
        </is>
      </c>
      <c r="Q235" s="24" t="inlineStr">
        <is>
          <t>14</t>
        </is>
      </c>
    </row>
    <row r="236" ht="24" customHeight="1">
      <c r="A236" s="29" t="inlineStr">
        <is>
          <t>OpenDART_fnlttSinglAcntAll</t>
        </is>
      </c>
      <c r="B236" s="29" t="inlineStr">
        <is>
          <t>00161383</t>
        </is>
      </c>
      <c r="C236" s="29" t="inlineStr">
        <is>
          <t>한미반도체</t>
        </is>
      </c>
      <c r="D236" s="29" t="inlineStr">
        <is>
          <t>hanmi</t>
        </is>
      </c>
      <c r="E236" s="29" t="inlineStr">
        <is>
          <t>042700</t>
        </is>
      </c>
      <c r="F236" s="29" t="inlineStr">
        <is>
          <t>2022</t>
        </is>
      </c>
      <c r="G236" s="29" t="inlineStr">
        <is>
          <t>CFS</t>
        </is>
      </c>
      <c r="H236" s="29" t="inlineStr">
        <is>
          <t>BS</t>
        </is>
      </c>
      <c r="I236" s="29" t="inlineStr">
        <is>
          <t>재무상태표</t>
        </is>
      </c>
      <c r="J236" s="29" t="inlineStr">
        <is>
          <t>ifrs-full_IntangibleAssetsOtherThanGoodwill</t>
        </is>
      </c>
      <c r="K236" s="29" t="inlineStr">
        <is>
          <t>무형자산</t>
        </is>
      </c>
      <c r="L236" s="29" t="inlineStr">
        <is>
          <t>-</t>
        </is>
      </c>
      <c r="M236" s="29" t="inlineStr">
        <is>
          <t>제 43 기</t>
        </is>
      </c>
      <c r="N236" s="29" t="inlineStr">
        <is>
          <t>4280048490.0</t>
        </is>
      </c>
      <c r="O236" s="29" t="inlineStr">
        <is>
          <t>4564320360.0</t>
        </is>
      </c>
      <c r="P236" s="29" t="inlineStr">
        <is>
          <t>KRW</t>
        </is>
      </c>
      <c r="Q236" s="29" t="inlineStr">
        <is>
          <t>15</t>
        </is>
      </c>
    </row>
    <row r="237" ht="24" customHeight="1">
      <c r="A237" s="24" t="inlineStr">
        <is>
          <t>OpenDART_fnlttSinglAcntAll</t>
        </is>
      </c>
      <c r="B237" s="24" t="inlineStr">
        <is>
          <t>00161383</t>
        </is>
      </c>
      <c r="C237" s="24" t="inlineStr">
        <is>
          <t>한미반도체</t>
        </is>
      </c>
      <c r="D237" s="24" t="inlineStr">
        <is>
          <t>hanmi</t>
        </is>
      </c>
      <c r="E237" s="24" t="inlineStr">
        <is>
          <t>042700</t>
        </is>
      </c>
      <c r="F237" s="24" t="inlineStr">
        <is>
          <t>2022</t>
        </is>
      </c>
      <c r="G237" s="24" t="inlineStr">
        <is>
          <t>CFS</t>
        </is>
      </c>
      <c r="H237" s="24" t="inlineStr">
        <is>
          <t>BS</t>
        </is>
      </c>
      <c r="I237" s="24" t="inlineStr">
        <is>
          <t>재무상태표</t>
        </is>
      </c>
      <c r="J237" s="24" t="inlineStr">
        <is>
          <t>ifrs-full_OtherNoncurrentFinancialAssets</t>
        </is>
      </c>
      <c r="K237" s="24" t="inlineStr">
        <is>
          <t>기타비유동금융자산</t>
        </is>
      </c>
      <c r="L237" s="24" t="inlineStr">
        <is>
          <t>-</t>
        </is>
      </c>
      <c r="M237" s="24" t="inlineStr">
        <is>
          <t>제 43 기</t>
        </is>
      </c>
      <c r="N237" s="24" t="inlineStr">
        <is>
          <t>1800488512.0</t>
        </is>
      </c>
      <c r="O237" s="24" t="inlineStr">
        <is>
          <t>806286276.0</t>
        </is>
      </c>
      <c r="P237" s="24" t="inlineStr">
        <is>
          <t>KRW</t>
        </is>
      </c>
      <c r="Q237" s="24" t="inlineStr">
        <is>
          <t>16</t>
        </is>
      </c>
    </row>
    <row r="238" ht="24" customHeight="1">
      <c r="A238" s="29" t="inlineStr">
        <is>
          <t>OpenDART_fnlttSinglAcntAll</t>
        </is>
      </c>
      <c r="B238" s="29" t="inlineStr">
        <is>
          <t>00161383</t>
        </is>
      </c>
      <c r="C238" s="29" t="inlineStr">
        <is>
          <t>한미반도체</t>
        </is>
      </c>
      <c r="D238" s="29" t="inlineStr">
        <is>
          <t>hanmi</t>
        </is>
      </c>
      <c r="E238" s="29" t="inlineStr">
        <is>
          <t>042700</t>
        </is>
      </c>
      <c r="F238" s="29" t="inlineStr">
        <is>
          <t>2022</t>
        </is>
      </c>
      <c r="G238" s="29" t="inlineStr">
        <is>
          <t>CFS</t>
        </is>
      </c>
      <c r="H238" s="29" t="inlineStr">
        <is>
          <t>BS</t>
        </is>
      </c>
      <c r="I238" s="29" t="inlineStr">
        <is>
          <t>재무상태표</t>
        </is>
      </c>
      <c r="J238" s="29" t="inlineStr">
        <is>
          <t>dart_OtherNonCurrentAssets</t>
        </is>
      </c>
      <c r="K238" s="29" t="inlineStr">
        <is>
          <t>기타비유동자산</t>
        </is>
      </c>
      <c r="L238" s="29" t="inlineStr">
        <is>
          <t>-</t>
        </is>
      </c>
      <c r="M238" s="29" t="inlineStr">
        <is>
          <t>제 43 기</t>
        </is>
      </c>
      <c r="N238" s="29" t="inlineStr">
        <is>
          <t>360090413.0</t>
        </is>
      </c>
      <c r="O238" s="29" t="inlineStr">
        <is>
          <t>2030937422.0</t>
        </is>
      </c>
      <c r="P238" s="29" t="inlineStr">
        <is>
          <t>KRW</t>
        </is>
      </c>
      <c r="Q238" s="29" t="inlineStr">
        <is>
          <t>17</t>
        </is>
      </c>
    </row>
    <row r="239" ht="24" customHeight="1">
      <c r="A239" s="24" t="inlineStr">
        <is>
          <t>OpenDART_fnlttSinglAcntAll</t>
        </is>
      </c>
      <c r="B239" s="24" t="inlineStr">
        <is>
          <t>00161383</t>
        </is>
      </c>
      <c r="C239" s="24" t="inlineStr">
        <is>
          <t>한미반도체</t>
        </is>
      </c>
      <c r="D239" s="24" t="inlineStr">
        <is>
          <t>hanmi</t>
        </is>
      </c>
      <c r="E239" s="24" t="inlineStr">
        <is>
          <t>042700</t>
        </is>
      </c>
      <c r="F239" s="24" t="inlineStr">
        <is>
          <t>2022</t>
        </is>
      </c>
      <c r="G239" s="24" t="inlineStr">
        <is>
          <t>CFS</t>
        </is>
      </c>
      <c r="H239" s="24" t="inlineStr">
        <is>
          <t>BS</t>
        </is>
      </c>
      <c r="I239" s="24" t="inlineStr">
        <is>
          <t>재무상태표</t>
        </is>
      </c>
      <c r="J239" s="24" t="inlineStr">
        <is>
          <t>dart_InvestedAssetForPostemploymentBenefit</t>
        </is>
      </c>
      <c r="K239" s="24" t="inlineStr">
        <is>
          <t>퇴직급여자산</t>
        </is>
      </c>
      <c r="L239" s="24" t="inlineStr">
        <is>
          <t>-</t>
        </is>
      </c>
      <c r="M239" s="24" t="inlineStr">
        <is>
          <t>제 43 기</t>
        </is>
      </c>
      <c r="N239" s="24" t="inlineStr">
        <is>
          <t>2015229434.0</t>
        </is>
      </c>
      <c r="O239" s="24" t="inlineStr">
        <is>
          <t>해당 없음</t>
        </is>
      </c>
      <c r="P239" s="24" t="inlineStr">
        <is>
          <t>KRW</t>
        </is>
      </c>
      <c r="Q239" s="24" t="inlineStr">
        <is>
          <t>18</t>
        </is>
      </c>
    </row>
    <row r="240" ht="24" customHeight="1">
      <c r="A240" s="29" t="inlineStr">
        <is>
          <t>OpenDART_fnlttSinglAcntAll</t>
        </is>
      </c>
      <c r="B240" s="29" t="inlineStr">
        <is>
          <t>00161383</t>
        </is>
      </c>
      <c r="C240" s="29" t="inlineStr">
        <is>
          <t>한미반도체</t>
        </is>
      </c>
      <c r="D240" s="29" t="inlineStr">
        <is>
          <t>hanmi</t>
        </is>
      </c>
      <c r="E240" s="29" t="inlineStr">
        <is>
          <t>042700</t>
        </is>
      </c>
      <c r="F240" s="29" t="inlineStr">
        <is>
          <t>2022</t>
        </is>
      </c>
      <c r="G240" s="29" t="inlineStr">
        <is>
          <t>CFS</t>
        </is>
      </c>
      <c r="H240" s="29" t="inlineStr">
        <is>
          <t>BS</t>
        </is>
      </c>
      <c r="I240" s="29" t="inlineStr">
        <is>
          <t>재무상태표</t>
        </is>
      </c>
      <c r="J240" s="29" t="inlineStr">
        <is>
          <t>ifrs-full_DeferredTaxAssets</t>
        </is>
      </c>
      <c r="K240" s="29" t="inlineStr">
        <is>
          <t>이연법인세자산</t>
        </is>
      </c>
      <c r="L240" s="29" t="inlineStr">
        <is>
          <t>-</t>
        </is>
      </c>
      <c r="M240" s="29" t="inlineStr">
        <is>
          <t>제 43 기</t>
        </is>
      </c>
      <c r="N240" s="29" t="inlineStr">
        <is>
          <t>6686868211.0</t>
        </is>
      </c>
      <c r="O240" s="29" t="inlineStr">
        <is>
          <t>3309172219.0</t>
        </is>
      </c>
      <c r="P240" s="29" t="inlineStr">
        <is>
          <t>KRW</t>
        </is>
      </c>
      <c r="Q240" s="29" t="inlineStr">
        <is>
          <t>19</t>
        </is>
      </c>
    </row>
    <row r="241" ht="24" customHeight="1">
      <c r="A241" s="24" t="inlineStr">
        <is>
          <t>OpenDART_fnlttSinglAcntAll</t>
        </is>
      </c>
      <c r="B241" s="24" t="inlineStr">
        <is>
          <t>00161383</t>
        </is>
      </c>
      <c r="C241" s="24" t="inlineStr">
        <is>
          <t>한미반도체</t>
        </is>
      </c>
      <c r="D241" s="24" t="inlineStr">
        <is>
          <t>hanmi</t>
        </is>
      </c>
      <c r="E241" s="24" t="inlineStr">
        <is>
          <t>042700</t>
        </is>
      </c>
      <c r="F241" s="24" t="inlineStr">
        <is>
          <t>2022</t>
        </is>
      </c>
      <c r="G241" s="24" t="inlineStr">
        <is>
          <t>CFS</t>
        </is>
      </c>
      <c r="H241" s="24" t="inlineStr">
        <is>
          <t>BS</t>
        </is>
      </c>
      <c r="I241" s="24" t="inlineStr">
        <is>
          <t>재무상태표</t>
        </is>
      </c>
      <c r="J241" s="24" t="inlineStr">
        <is>
          <t>ifrs-full_Assets</t>
        </is>
      </c>
      <c r="K241" s="24" t="inlineStr">
        <is>
          <t>자산총계</t>
        </is>
      </c>
      <c r="L241" s="24" t="inlineStr">
        <is>
          <t>-</t>
        </is>
      </c>
      <c r="M241" s="24" t="inlineStr">
        <is>
          <t>제 43 기</t>
        </is>
      </c>
      <c r="N241" s="24" t="inlineStr">
        <is>
          <t>455432965985.0</t>
        </is>
      </c>
      <c r="O241" s="24" t="inlineStr">
        <is>
          <t>429285683427.0</t>
        </is>
      </c>
      <c r="P241" s="24" t="inlineStr">
        <is>
          <t>KRW</t>
        </is>
      </c>
      <c r="Q241" s="24" t="inlineStr">
        <is>
          <t>20</t>
        </is>
      </c>
    </row>
    <row r="242" ht="24" customHeight="1">
      <c r="A242" s="29" t="inlineStr">
        <is>
          <t>OpenDART_fnlttSinglAcntAll</t>
        </is>
      </c>
      <c r="B242" s="29" t="inlineStr">
        <is>
          <t>00161383</t>
        </is>
      </c>
      <c r="C242" s="29" t="inlineStr">
        <is>
          <t>한미반도체</t>
        </is>
      </c>
      <c r="D242" s="29" t="inlineStr">
        <is>
          <t>hanmi</t>
        </is>
      </c>
      <c r="E242" s="29" t="inlineStr">
        <is>
          <t>042700</t>
        </is>
      </c>
      <c r="F242" s="29" t="inlineStr">
        <is>
          <t>2022</t>
        </is>
      </c>
      <c r="G242" s="29" t="inlineStr">
        <is>
          <t>CFS</t>
        </is>
      </c>
      <c r="H242" s="29" t="inlineStr">
        <is>
          <t>BS</t>
        </is>
      </c>
      <c r="I242" s="29" t="inlineStr">
        <is>
          <t>재무상태표</t>
        </is>
      </c>
      <c r="J242" s="29" t="inlineStr">
        <is>
          <t>ifrs-full_CurrentLiabilities</t>
        </is>
      </c>
      <c r="K242" s="29" t="inlineStr">
        <is>
          <t>유동부채</t>
        </is>
      </c>
      <c r="L242" s="29" t="inlineStr">
        <is>
          <t>-</t>
        </is>
      </c>
      <c r="M242" s="29" t="inlineStr">
        <is>
          <t>제 43 기</t>
        </is>
      </c>
      <c r="N242" s="29" t="inlineStr">
        <is>
          <t>63044830709.0</t>
        </is>
      </c>
      <c r="O242" s="29" t="inlineStr">
        <is>
          <t>80692131621.0</t>
        </is>
      </c>
      <c r="P242" s="29" t="inlineStr">
        <is>
          <t>KRW</t>
        </is>
      </c>
      <c r="Q242" s="29" t="inlineStr">
        <is>
          <t>22</t>
        </is>
      </c>
    </row>
    <row r="243" ht="24" customHeight="1">
      <c r="A243" s="24" t="inlineStr">
        <is>
          <t>OpenDART_fnlttSinglAcntAll</t>
        </is>
      </c>
      <c r="B243" s="24" t="inlineStr">
        <is>
          <t>00161383</t>
        </is>
      </c>
      <c r="C243" s="24" t="inlineStr">
        <is>
          <t>한미반도체</t>
        </is>
      </c>
      <c r="D243" s="24" t="inlineStr">
        <is>
          <t>hanmi</t>
        </is>
      </c>
      <c r="E243" s="24" t="inlineStr">
        <is>
          <t>042700</t>
        </is>
      </c>
      <c r="F243" s="24" t="inlineStr">
        <is>
          <t>2022</t>
        </is>
      </c>
      <c r="G243" s="24" t="inlineStr">
        <is>
          <t>CFS</t>
        </is>
      </c>
      <c r="H243" s="24" t="inlineStr">
        <is>
          <t>BS</t>
        </is>
      </c>
      <c r="I243" s="24" t="inlineStr">
        <is>
          <t>재무상태표</t>
        </is>
      </c>
      <c r="J243" s="24" t="inlineStr">
        <is>
          <t>ifrs-full_TradeAndOtherCurrentPayables</t>
        </is>
      </c>
      <c r="K243" s="24" t="inlineStr">
        <is>
          <t>매입채무</t>
        </is>
      </c>
      <c r="L243" s="24" t="inlineStr">
        <is>
          <t>-</t>
        </is>
      </c>
      <c r="M243" s="24" t="inlineStr">
        <is>
          <t>제 43 기</t>
        </is>
      </c>
      <c r="N243" s="24" t="inlineStr">
        <is>
          <t>12405329547.0</t>
        </is>
      </c>
      <c r="O243" s="24" t="inlineStr">
        <is>
          <t>32636842778.0</t>
        </is>
      </c>
      <c r="P243" s="24" t="inlineStr">
        <is>
          <t>KRW</t>
        </is>
      </c>
      <c r="Q243" s="24" t="inlineStr">
        <is>
          <t>23</t>
        </is>
      </c>
    </row>
    <row r="244" ht="24" customHeight="1">
      <c r="A244" s="29" t="inlineStr">
        <is>
          <t>OpenDART_fnlttSinglAcntAll</t>
        </is>
      </c>
      <c r="B244" s="29" t="inlineStr">
        <is>
          <t>00161383</t>
        </is>
      </c>
      <c r="C244" s="29" t="inlineStr">
        <is>
          <t>한미반도체</t>
        </is>
      </c>
      <c r="D244" s="29" t="inlineStr">
        <is>
          <t>hanmi</t>
        </is>
      </c>
      <c r="E244" s="29" t="inlineStr">
        <is>
          <t>042700</t>
        </is>
      </c>
      <c r="F244" s="29" t="inlineStr">
        <is>
          <t>2022</t>
        </is>
      </c>
      <c r="G244" s="29" t="inlineStr">
        <is>
          <t>CFS</t>
        </is>
      </c>
      <c r="H244" s="29" t="inlineStr">
        <is>
          <t>BS</t>
        </is>
      </c>
      <c r="I244" s="29" t="inlineStr">
        <is>
          <t>재무상태표</t>
        </is>
      </c>
      <c r="J244" s="29" t="inlineStr">
        <is>
          <t>dart_PaymentsOfIncomeTaxesPayable</t>
        </is>
      </c>
      <c r="K244" s="29" t="inlineStr">
        <is>
          <t>미지급법인세</t>
        </is>
      </c>
      <c r="L244" s="29" t="inlineStr">
        <is>
          <t>-</t>
        </is>
      </c>
      <c r="M244" s="29" t="inlineStr">
        <is>
          <t>제 43 기</t>
        </is>
      </c>
      <c r="N244" s="29" t="inlineStr">
        <is>
          <t>23543309014.0</t>
        </is>
      </c>
      <c r="O244" s="29" t="inlineStr">
        <is>
          <t>23810950125.0</t>
        </is>
      </c>
      <c r="P244" s="29" t="inlineStr">
        <is>
          <t>KRW</t>
        </is>
      </c>
      <c r="Q244" s="29" t="inlineStr">
        <is>
          <t>24</t>
        </is>
      </c>
    </row>
    <row r="245" ht="24" customHeight="1">
      <c r="A245" s="24" t="inlineStr">
        <is>
          <t>OpenDART_fnlttSinglAcntAll</t>
        </is>
      </c>
      <c r="B245" s="24" t="inlineStr">
        <is>
          <t>00161383</t>
        </is>
      </c>
      <c r="C245" s="24" t="inlineStr">
        <is>
          <t>한미반도체</t>
        </is>
      </c>
      <c r="D245" s="24" t="inlineStr">
        <is>
          <t>hanmi</t>
        </is>
      </c>
      <c r="E245" s="24" t="inlineStr">
        <is>
          <t>042700</t>
        </is>
      </c>
      <c r="F245" s="24" t="inlineStr">
        <is>
          <t>2022</t>
        </is>
      </c>
      <c r="G245" s="24" t="inlineStr">
        <is>
          <t>CFS</t>
        </is>
      </c>
      <c r="H245" s="24" t="inlineStr">
        <is>
          <t>BS</t>
        </is>
      </c>
      <c r="I245" s="24" t="inlineStr">
        <is>
          <t>재무상태표</t>
        </is>
      </c>
      <c r="J245" s="24" t="inlineStr">
        <is>
          <t>ifrs-full_CurrentProvisions</t>
        </is>
      </c>
      <c r="K245" s="24" t="inlineStr">
        <is>
          <t>충당부채</t>
        </is>
      </c>
      <c r="L245" s="24" t="inlineStr">
        <is>
          <t>-</t>
        </is>
      </c>
      <c r="M245" s="24" t="inlineStr">
        <is>
          <t>제 43 기</t>
        </is>
      </c>
      <c r="N245" s="24" t="inlineStr">
        <is>
          <t>4181062668.0</t>
        </is>
      </c>
      <c r="O245" s="24" t="inlineStr">
        <is>
          <t>3792340070.0</t>
        </is>
      </c>
      <c r="P245" s="24" t="inlineStr">
        <is>
          <t>KRW</t>
        </is>
      </c>
      <c r="Q245" s="24" t="inlineStr">
        <is>
          <t>25</t>
        </is>
      </c>
    </row>
    <row r="246" ht="24" customHeight="1">
      <c r="A246" s="29" t="inlineStr">
        <is>
          <t>OpenDART_fnlttSinglAcntAll</t>
        </is>
      </c>
      <c r="B246" s="29" t="inlineStr">
        <is>
          <t>00161383</t>
        </is>
      </c>
      <c r="C246" s="29" t="inlineStr">
        <is>
          <t>한미반도체</t>
        </is>
      </c>
      <c r="D246" s="29" t="inlineStr">
        <is>
          <t>hanmi</t>
        </is>
      </c>
      <c r="E246" s="29" t="inlineStr">
        <is>
          <t>042700</t>
        </is>
      </c>
      <c r="F246" s="29" t="inlineStr">
        <is>
          <t>2022</t>
        </is>
      </c>
      <c r="G246" s="29" t="inlineStr">
        <is>
          <t>CFS</t>
        </is>
      </c>
      <c r="H246" s="29" t="inlineStr">
        <is>
          <t>BS</t>
        </is>
      </c>
      <c r="I246" s="29" t="inlineStr">
        <is>
          <t>재무상태표</t>
        </is>
      </c>
      <c r="J246" s="29" t="inlineStr">
        <is>
          <t>ifrs-full_CurrentLeaseLiabilities</t>
        </is>
      </c>
      <c r="K246" s="29" t="inlineStr">
        <is>
          <t>리스부채</t>
        </is>
      </c>
      <c r="L246" s="29" t="inlineStr">
        <is>
          <t>-</t>
        </is>
      </c>
      <c r="M246" s="29" t="inlineStr">
        <is>
          <t>제 43 기</t>
        </is>
      </c>
      <c r="N246" s="29" t="inlineStr">
        <is>
          <t>1405180706.0</t>
        </is>
      </c>
      <c r="O246" s="29" t="inlineStr">
        <is>
          <t>293076421.0</t>
        </is>
      </c>
      <c r="P246" s="29" t="inlineStr">
        <is>
          <t>KRW</t>
        </is>
      </c>
      <c r="Q246" s="29" t="inlineStr">
        <is>
          <t>26</t>
        </is>
      </c>
    </row>
    <row r="247" ht="24" customHeight="1">
      <c r="A247" s="24" t="inlineStr">
        <is>
          <t>OpenDART_fnlttSinglAcntAll</t>
        </is>
      </c>
      <c r="B247" s="24" t="inlineStr">
        <is>
          <t>00161383</t>
        </is>
      </c>
      <c r="C247" s="24" t="inlineStr">
        <is>
          <t>한미반도체</t>
        </is>
      </c>
      <c r="D247" s="24" t="inlineStr">
        <is>
          <t>hanmi</t>
        </is>
      </c>
      <c r="E247" s="24" t="inlineStr">
        <is>
          <t>042700</t>
        </is>
      </c>
      <c r="F247" s="24" t="inlineStr">
        <is>
          <t>2022</t>
        </is>
      </c>
      <c r="G247" s="24" t="inlineStr">
        <is>
          <t>CFS</t>
        </is>
      </c>
      <c r="H247" s="24" t="inlineStr">
        <is>
          <t>BS</t>
        </is>
      </c>
      <c r="I247" s="24" t="inlineStr">
        <is>
          <t>재무상태표</t>
        </is>
      </c>
      <c r="J247" s="24" t="inlineStr">
        <is>
          <t>ifrs-full_OtherCurrentFinancialLiabilities</t>
        </is>
      </c>
      <c r="K247" s="24" t="inlineStr">
        <is>
          <t>기타유동금융부채</t>
        </is>
      </c>
      <c r="L247" s="24" t="inlineStr">
        <is>
          <t>-</t>
        </is>
      </c>
      <c r="M247" s="24" t="inlineStr">
        <is>
          <t>제 43 기</t>
        </is>
      </c>
      <c r="N247" s="24" t="inlineStr">
        <is>
          <t>11793494557.0</t>
        </is>
      </c>
      <c r="O247" s="24" t="inlineStr">
        <is>
          <t>10912809524.0</t>
        </is>
      </c>
      <c r="P247" s="24" t="inlineStr">
        <is>
          <t>KRW</t>
        </is>
      </c>
      <c r="Q247" s="24" t="inlineStr">
        <is>
          <t>27</t>
        </is>
      </c>
    </row>
    <row r="248" ht="24" customHeight="1">
      <c r="A248" s="29" t="inlineStr">
        <is>
          <t>OpenDART_fnlttSinglAcntAll</t>
        </is>
      </c>
      <c r="B248" s="29" t="inlineStr">
        <is>
          <t>00161383</t>
        </is>
      </c>
      <c r="C248" s="29" t="inlineStr">
        <is>
          <t>한미반도체</t>
        </is>
      </c>
      <c r="D248" s="29" t="inlineStr">
        <is>
          <t>hanmi</t>
        </is>
      </c>
      <c r="E248" s="29" t="inlineStr">
        <is>
          <t>042700</t>
        </is>
      </c>
      <c r="F248" s="29" t="inlineStr">
        <is>
          <t>2022</t>
        </is>
      </c>
      <c r="G248" s="29" t="inlineStr">
        <is>
          <t>CFS</t>
        </is>
      </c>
      <c r="H248" s="29" t="inlineStr">
        <is>
          <t>BS</t>
        </is>
      </c>
      <c r="I248" s="29" t="inlineStr">
        <is>
          <t>재무상태표</t>
        </is>
      </c>
      <c r="J248" s="29" t="inlineStr">
        <is>
          <t>dart_OtherCurrentLiabilities</t>
        </is>
      </c>
      <c r="K248" s="29" t="inlineStr">
        <is>
          <t>기타유동부채</t>
        </is>
      </c>
      <c r="L248" s="29" t="inlineStr">
        <is>
          <t>-</t>
        </is>
      </c>
      <c r="M248" s="29" t="inlineStr">
        <is>
          <t>제 43 기</t>
        </is>
      </c>
      <c r="N248" s="29" t="inlineStr">
        <is>
          <t>9716454217.0</t>
        </is>
      </c>
      <c r="O248" s="29" t="inlineStr">
        <is>
          <t>9246112703.0</t>
        </is>
      </c>
      <c r="P248" s="29" t="inlineStr">
        <is>
          <t>KRW</t>
        </is>
      </c>
      <c r="Q248" s="29" t="inlineStr">
        <is>
          <t>28</t>
        </is>
      </c>
    </row>
    <row r="249" ht="24" customHeight="1">
      <c r="A249" s="24" t="inlineStr">
        <is>
          <t>OpenDART_fnlttSinglAcntAll</t>
        </is>
      </c>
      <c r="B249" s="24" t="inlineStr">
        <is>
          <t>00161383</t>
        </is>
      </c>
      <c r="C249" s="24" t="inlineStr">
        <is>
          <t>한미반도체</t>
        </is>
      </c>
      <c r="D249" s="24" t="inlineStr">
        <is>
          <t>hanmi</t>
        </is>
      </c>
      <c r="E249" s="24" t="inlineStr">
        <is>
          <t>042700</t>
        </is>
      </c>
      <c r="F249" s="24" t="inlineStr">
        <is>
          <t>2022</t>
        </is>
      </c>
      <c r="G249" s="24" t="inlineStr">
        <is>
          <t>CFS</t>
        </is>
      </c>
      <c r="H249" s="24" t="inlineStr">
        <is>
          <t>BS</t>
        </is>
      </c>
      <c r="I249" s="24" t="inlineStr">
        <is>
          <t>재무상태표</t>
        </is>
      </c>
      <c r="J249" s="24" t="inlineStr">
        <is>
          <t>ifrs-full_NoncurrentLiabilities</t>
        </is>
      </c>
      <c r="K249" s="24" t="inlineStr">
        <is>
          <t>비유동부채</t>
        </is>
      </c>
      <c r="L249" s="24" t="inlineStr">
        <is>
          <t>-</t>
        </is>
      </c>
      <c r="M249" s="24" t="inlineStr">
        <is>
          <t>제 43 기</t>
        </is>
      </c>
      <c r="N249" s="24" t="inlineStr">
        <is>
          <t>2291379490.0</t>
        </is>
      </c>
      <c r="O249" s="24" t="inlineStr">
        <is>
          <t>1781509529.0</t>
        </is>
      </c>
      <c r="P249" s="24" t="inlineStr">
        <is>
          <t>KRW</t>
        </is>
      </c>
      <c r="Q249" s="24" t="inlineStr">
        <is>
          <t>29</t>
        </is>
      </c>
    </row>
    <row r="250" ht="24" customHeight="1">
      <c r="A250" s="29" t="inlineStr">
        <is>
          <t>OpenDART_fnlttSinglAcntAll</t>
        </is>
      </c>
      <c r="B250" s="29" t="inlineStr">
        <is>
          <t>00161383</t>
        </is>
      </c>
      <c r="C250" s="29" t="inlineStr">
        <is>
          <t>한미반도체</t>
        </is>
      </c>
      <c r="D250" s="29" t="inlineStr">
        <is>
          <t>hanmi</t>
        </is>
      </c>
      <c r="E250" s="29" t="inlineStr">
        <is>
          <t>042700</t>
        </is>
      </c>
      <c r="F250" s="29" t="inlineStr">
        <is>
          <t>2022</t>
        </is>
      </c>
      <c r="G250" s="29" t="inlineStr">
        <is>
          <t>CFS</t>
        </is>
      </c>
      <c r="H250" s="29" t="inlineStr">
        <is>
          <t>BS</t>
        </is>
      </c>
      <c r="I250" s="29" t="inlineStr">
        <is>
          <t>재무상태표</t>
        </is>
      </c>
      <c r="J250" s="29" t="inlineStr">
        <is>
          <t>dart_PostemploymentBenefitObligations</t>
        </is>
      </c>
      <c r="K250" s="29" t="inlineStr">
        <is>
          <t>퇴직급여채무</t>
        </is>
      </c>
      <c r="L250" s="29" t="inlineStr">
        <is>
          <t>-</t>
        </is>
      </c>
      <c r="M250" s="29" t="inlineStr">
        <is>
          <t>제 43 기</t>
        </is>
      </c>
      <c r="N250" s="29" t="inlineStr">
        <is>
          <t>0.0</t>
        </is>
      </c>
      <c r="O250" s="29" t="inlineStr">
        <is>
          <t>1256522.0</t>
        </is>
      </c>
      <c r="P250" s="29" t="inlineStr">
        <is>
          <t>KRW</t>
        </is>
      </c>
      <c r="Q250" s="29" t="inlineStr">
        <is>
          <t>30</t>
        </is>
      </c>
    </row>
    <row r="251" ht="24" customHeight="1">
      <c r="A251" s="24" t="inlineStr">
        <is>
          <t>OpenDART_fnlttSinglAcntAll</t>
        </is>
      </c>
      <c r="B251" s="24" t="inlineStr">
        <is>
          <t>00161383</t>
        </is>
      </c>
      <c r="C251" s="24" t="inlineStr">
        <is>
          <t>한미반도체</t>
        </is>
      </c>
      <c r="D251" s="24" t="inlineStr">
        <is>
          <t>hanmi</t>
        </is>
      </c>
      <c r="E251" s="24" t="inlineStr">
        <is>
          <t>042700</t>
        </is>
      </c>
      <c r="F251" s="24" t="inlineStr">
        <is>
          <t>2022</t>
        </is>
      </c>
      <c r="G251" s="24" t="inlineStr">
        <is>
          <t>CFS</t>
        </is>
      </c>
      <c r="H251" s="24" t="inlineStr">
        <is>
          <t>BS</t>
        </is>
      </c>
      <c r="I251" s="24" t="inlineStr">
        <is>
          <t>재무상태표</t>
        </is>
      </c>
      <c r="J251" s="24" t="inlineStr">
        <is>
          <t>ifrs-full_NoncurrentLeaseLiabilities</t>
        </is>
      </c>
      <c r="K251" s="24" t="inlineStr">
        <is>
          <t>리스부채</t>
        </is>
      </c>
      <c r="L251" s="24" t="inlineStr">
        <is>
          <t>-</t>
        </is>
      </c>
      <c r="M251" s="24" t="inlineStr">
        <is>
          <t>제 43 기</t>
        </is>
      </c>
      <c r="N251" s="24" t="inlineStr">
        <is>
          <t>788794404.0</t>
        </is>
      </c>
      <c r="O251" s="24" t="inlineStr">
        <is>
          <t>342203828.0</t>
        </is>
      </c>
      <c r="P251" s="24" t="inlineStr">
        <is>
          <t>KRW</t>
        </is>
      </c>
      <c r="Q251" s="24" t="inlineStr">
        <is>
          <t>31</t>
        </is>
      </c>
    </row>
    <row r="252" ht="24" customHeight="1">
      <c r="A252" s="29" t="inlineStr">
        <is>
          <t>OpenDART_fnlttSinglAcntAll</t>
        </is>
      </c>
      <c r="B252" s="29" t="inlineStr">
        <is>
          <t>00161383</t>
        </is>
      </c>
      <c r="C252" s="29" t="inlineStr">
        <is>
          <t>한미반도체</t>
        </is>
      </c>
      <c r="D252" s="29" t="inlineStr">
        <is>
          <t>hanmi</t>
        </is>
      </c>
      <c r="E252" s="29" t="inlineStr">
        <is>
          <t>042700</t>
        </is>
      </c>
      <c r="F252" s="29" t="inlineStr">
        <is>
          <t>2022</t>
        </is>
      </c>
      <c r="G252" s="29" t="inlineStr">
        <is>
          <t>CFS</t>
        </is>
      </c>
      <c r="H252" s="29" t="inlineStr">
        <is>
          <t>BS</t>
        </is>
      </c>
      <c r="I252" s="29" t="inlineStr">
        <is>
          <t>재무상태표</t>
        </is>
      </c>
      <c r="J252" s="29" t="inlineStr">
        <is>
          <t>ifrs-full_NoncurrentProvisions</t>
        </is>
      </c>
      <c r="K252" s="29" t="inlineStr">
        <is>
          <t>충당부채</t>
        </is>
      </c>
      <c r="L252" s="29" t="inlineStr">
        <is>
          <t>-</t>
        </is>
      </c>
      <c r="M252" s="29" t="inlineStr">
        <is>
          <t>제 43 기</t>
        </is>
      </c>
      <c r="N252" s="29" t="inlineStr">
        <is>
          <t>593188200.0</t>
        </is>
      </c>
      <c r="O252" s="29" t="inlineStr">
        <is>
          <t>523391152.0</t>
        </is>
      </c>
      <c r="P252" s="29" t="inlineStr">
        <is>
          <t>KRW</t>
        </is>
      </c>
      <c r="Q252" s="29" t="inlineStr">
        <is>
          <t>32</t>
        </is>
      </c>
    </row>
    <row r="253" ht="24" customHeight="1">
      <c r="A253" s="24" t="inlineStr">
        <is>
          <t>OpenDART_fnlttSinglAcntAll</t>
        </is>
      </c>
      <c r="B253" s="24" t="inlineStr">
        <is>
          <t>00161383</t>
        </is>
      </c>
      <c r="C253" s="24" t="inlineStr">
        <is>
          <t>한미반도체</t>
        </is>
      </c>
      <c r="D253" s="24" t="inlineStr">
        <is>
          <t>hanmi</t>
        </is>
      </c>
      <c r="E253" s="24" t="inlineStr">
        <is>
          <t>042700</t>
        </is>
      </c>
      <c r="F253" s="24" t="inlineStr">
        <is>
          <t>2022</t>
        </is>
      </c>
      <c r="G253" s="24" t="inlineStr">
        <is>
          <t>CFS</t>
        </is>
      </c>
      <c r="H253" s="24" t="inlineStr">
        <is>
          <t>BS</t>
        </is>
      </c>
      <c r="I253" s="24" t="inlineStr">
        <is>
          <t>재무상태표</t>
        </is>
      </c>
      <c r="J253" s="24" t="inlineStr">
        <is>
          <t>ifrs-full_DeferredTaxLiabilities</t>
        </is>
      </c>
      <c r="K253" s="24" t="inlineStr">
        <is>
          <t>이연법인세부채</t>
        </is>
      </c>
      <c r="L253" s="24" t="inlineStr">
        <is>
          <t>-</t>
        </is>
      </c>
      <c r="M253" s="24" t="inlineStr">
        <is>
          <t>제 43 기</t>
        </is>
      </c>
      <c r="N253" s="24" t="inlineStr">
        <is>
          <t>9270810.0</t>
        </is>
      </c>
      <c r="O253" s="24" t="inlineStr">
        <is>
          <t>0.0</t>
        </is>
      </c>
      <c r="P253" s="24" t="inlineStr">
        <is>
          <t>KRW</t>
        </is>
      </c>
      <c r="Q253" s="24" t="inlineStr">
        <is>
          <t>33</t>
        </is>
      </c>
    </row>
    <row r="254" ht="24" customHeight="1">
      <c r="A254" s="29" t="inlineStr">
        <is>
          <t>OpenDART_fnlttSinglAcntAll</t>
        </is>
      </c>
      <c r="B254" s="29" t="inlineStr">
        <is>
          <t>00161383</t>
        </is>
      </c>
      <c r="C254" s="29" t="inlineStr">
        <is>
          <t>한미반도체</t>
        </is>
      </c>
      <c r="D254" s="29" t="inlineStr">
        <is>
          <t>hanmi</t>
        </is>
      </c>
      <c r="E254" s="29" t="inlineStr">
        <is>
          <t>042700</t>
        </is>
      </c>
      <c r="F254" s="29" t="inlineStr">
        <is>
          <t>2022</t>
        </is>
      </c>
      <c r="G254" s="29" t="inlineStr">
        <is>
          <t>CFS</t>
        </is>
      </c>
      <c r="H254" s="29" t="inlineStr">
        <is>
          <t>BS</t>
        </is>
      </c>
      <c r="I254" s="29" t="inlineStr">
        <is>
          <t>재무상태표</t>
        </is>
      </c>
      <c r="J254" s="29" t="inlineStr">
        <is>
          <t>ifrs-full_OtherNoncurrentFinancialLiabilities</t>
        </is>
      </c>
      <c r="K254" s="29" t="inlineStr">
        <is>
          <t>기타비유동금융부채</t>
        </is>
      </c>
      <c r="L254" s="29" t="inlineStr">
        <is>
          <t>-</t>
        </is>
      </c>
      <c r="M254" s="29" t="inlineStr">
        <is>
          <t>제 43 기</t>
        </is>
      </c>
      <c r="N254" s="29" t="inlineStr">
        <is>
          <t>426119871.0</t>
        </is>
      </c>
      <c r="O254" s="29" t="inlineStr">
        <is>
          <t>415793602.0</t>
        </is>
      </c>
      <c r="P254" s="29" t="inlineStr">
        <is>
          <t>KRW</t>
        </is>
      </c>
      <c r="Q254" s="29" t="inlineStr">
        <is>
          <t>34</t>
        </is>
      </c>
    </row>
    <row r="255" ht="24" customHeight="1">
      <c r="A255" s="24" t="inlineStr">
        <is>
          <t>OpenDART_fnlttSinglAcntAll</t>
        </is>
      </c>
      <c r="B255" s="24" t="inlineStr">
        <is>
          <t>00161383</t>
        </is>
      </c>
      <c r="C255" s="24" t="inlineStr">
        <is>
          <t>한미반도체</t>
        </is>
      </c>
      <c r="D255" s="24" t="inlineStr">
        <is>
          <t>hanmi</t>
        </is>
      </c>
      <c r="E255" s="24" t="inlineStr">
        <is>
          <t>042700</t>
        </is>
      </c>
      <c r="F255" s="24" t="inlineStr">
        <is>
          <t>2022</t>
        </is>
      </c>
      <c r="G255" s="24" t="inlineStr">
        <is>
          <t>CFS</t>
        </is>
      </c>
      <c r="H255" s="24" t="inlineStr">
        <is>
          <t>BS</t>
        </is>
      </c>
      <c r="I255" s="24" t="inlineStr">
        <is>
          <t>재무상태표</t>
        </is>
      </c>
      <c r="J255" s="24" t="inlineStr">
        <is>
          <t>dart_OtherNonCurrentLiabilities</t>
        </is>
      </c>
      <c r="K255" s="24" t="inlineStr">
        <is>
          <t>기타비유동부채</t>
        </is>
      </c>
      <c r="L255" s="24" t="inlineStr">
        <is>
          <t>-</t>
        </is>
      </c>
      <c r="M255" s="24" t="inlineStr">
        <is>
          <t>제 43 기</t>
        </is>
      </c>
      <c r="N255" s="24" t="inlineStr">
        <is>
          <t>474006205.0</t>
        </is>
      </c>
      <c r="O255" s="24" t="inlineStr">
        <is>
          <t>498864425.0</t>
        </is>
      </c>
      <c r="P255" s="24" t="inlineStr">
        <is>
          <t>KRW</t>
        </is>
      </c>
      <c r="Q255" s="24" t="inlineStr">
        <is>
          <t>35</t>
        </is>
      </c>
    </row>
    <row r="256" ht="24" customHeight="1">
      <c r="A256" s="29" t="inlineStr">
        <is>
          <t>OpenDART_fnlttSinglAcntAll</t>
        </is>
      </c>
      <c r="B256" s="29" t="inlineStr">
        <is>
          <t>00161383</t>
        </is>
      </c>
      <c r="C256" s="29" t="inlineStr">
        <is>
          <t>한미반도체</t>
        </is>
      </c>
      <c r="D256" s="29" t="inlineStr">
        <is>
          <t>hanmi</t>
        </is>
      </c>
      <c r="E256" s="29" t="inlineStr">
        <is>
          <t>042700</t>
        </is>
      </c>
      <c r="F256" s="29" t="inlineStr">
        <is>
          <t>2022</t>
        </is>
      </c>
      <c r="G256" s="29" t="inlineStr">
        <is>
          <t>CFS</t>
        </is>
      </c>
      <c r="H256" s="29" t="inlineStr">
        <is>
          <t>BS</t>
        </is>
      </c>
      <c r="I256" s="29" t="inlineStr">
        <is>
          <t>재무상태표</t>
        </is>
      </c>
      <c r="J256" s="29" t="inlineStr">
        <is>
          <t>ifrs-full_Liabilities</t>
        </is>
      </c>
      <c r="K256" s="29" t="inlineStr">
        <is>
          <t>부채총계</t>
        </is>
      </c>
      <c r="L256" s="29" t="inlineStr">
        <is>
          <t>-</t>
        </is>
      </c>
      <c r="M256" s="29" t="inlineStr">
        <is>
          <t>제 43 기</t>
        </is>
      </c>
      <c r="N256" s="29" t="inlineStr">
        <is>
          <t>65336210199.0</t>
        </is>
      </c>
      <c r="O256" s="29" t="inlineStr">
        <is>
          <t>82473641150.0</t>
        </is>
      </c>
      <c r="P256" s="29" t="inlineStr">
        <is>
          <t>KRW</t>
        </is>
      </c>
      <c r="Q256" s="29" t="inlineStr">
        <is>
          <t>36</t>
        </is>
      </c>
    </row>
    <row r="257" ht="24" customHeight="1">
      <c r="A257" s="24" t="inlineStr">
        <is>
          <t>OpenDART_fnlttSinglAcntAll</t>
        </is>
      </c>
      <c r="B257" s="24" t="inlineStr">
        <is>
          <t>00161383</t>
        </is>
      </c>
      <c r="C257" s="24" t="inlineStr">
        <is>
          <t>한미반도체</t>
        </is>
      </c>
      <c r="D257" s="24" t="inlineStr">
        <is>
          <t>hanmi</t>
        </is>
      </c>
      <c r="E257" s="24" t="inlineStr">
        <is>
          <t>042700</t>
        </is>
      </c>
      <c r="F257" s="24" t="inlineStr">
        <is>
          <t>2022</t>
        </is>
      </c>
      <c r="G257" s="24" t="inlineStr">
        <is>
          <t>CFS</t>
        </is>
      </c>
      <c r="H257" s="24" t="inlineStr">
        <is>
          <t>BS</t>
        </is>
      </c>
      <c r="I257" s="24" t="inlineStr">
        <is>
          <t>재무상태표</t>
        </is>
      </c>
      <c r="J257" s="24" t="inlineStr">
        <is>
          <t>ifrs-full_EquityAttributableToOwnersOfParent</t>
        </is>
      </c>
      <c r="K257" s="24" t="inlineStr">
        <is>
          <t>지배기업지분</t>
        </is>
      </c>
      <c r="L257" s="24" t="inlineStr">
        <is>
          <t>-</t>
        </is>
      </c>
      <c r="M257" s="24" t="inlineStr">
        <is>
          <t>제 43 기</t>
        </is>
      </c>
      <c r="N257" s="24" t="inlineStr">
        <is>
          <t>390096755786.0</t>
        </is>
      </c>
      <c r="O257" s="24" t="inlineStr">
        <is>
          <t>346812042277.0</t>
        </is>
      </c>
      <c r="P257" s="24" t="inlineStr">
        <is>
          <t>KRW</t>
        </is>
      </c>
      <c r="Q257" s="24" t="inlineStr">
        <is>
          <t>38</t>
        </is>
      </c>
    </row>
    <row r="258" ht="24" customHeight="1">
      <c r="A258" s="29" t="inlineStr">
        <is>
          <t>OpenDART_fnlttSinglAcntAll</t>
        </is>
      </c>
      <c r="B258" s="29" t="inlineStr">
        <is>
          <t>00161383</t>
        </is>
      </c>
      <c r="C258" s="29" t="inlineStr">
        <is>
          <t>한미반도체</t>
        </is>
      </c>
      <c r="D258" s="29" t="inlineStr">
        <is>
          <t>hanmi</t>
        </is>
      </c>
      <c r="E258" s="29" t="inlineStr">
        <is>
          <t>042700</t>
        </is>
      </c>
      <c r="F258" s="29" t="inlineStr">
        <is>
          <t>2022</t>
        </is>
      </c>
      <c r="G258" s="29" t="inlineStr">
        <is>
          <t>CFS</t>
        </is>
      </c>
      <c r="H258" s="29" t="inlineStr">
        <is>
          <t>BS</t>
        </is>
      </c>
      <c r="I258" s="29" t="inlineStr">
        <is>
          <t>재무상태표</t>
        </is>
      </c>
      <c r="J258" s="29" t="inlineStr">
        <is>
          <t>ifrs-full_IssuedCapital</t>
        </is>
      </c>
      <c r="K258" s="29" t="inlineStr">
        <is>
          <t>자본금</t>
        </is>
      </c>
      <c r="L258" s="29" t="inlineStr">
        <is>
          <t>-</t>
        </is>
      </c>
      <c r="M258" s="29" t="inlineStr">
        <is>
          <t>제 43 기</t>
        </is>
      </c>
      <c r="N258" s="29" t="inlineStr">
        <is>
          <t>12716420500.0</t>
        </is>
      </c>
      <c r="O258" s="29" t="inlineStr">
        <is>
          <t>12716420500.0</t>
        </is>
      </c>
      <c r="P258" s="29" t="inlineStr">
        <is>
          <t>KRW</t>
        </is>
      </c>
      <c r="Q258" s="29" t="inlineStr">
        <is>
          <t>39</t>
        </is>
      </c>
    </row>
    <row r="259" ht="24" customHeight="1">
      <c r="A259" s="24" t="inlineStr">
        <is>
          <t>OpenDART_fnlttSinglAcntAll</t>
        </is>
      </c>
      <c r="B259" s="24" t="inlineStr">
        <is>
          <t>00161383</t>
        </is>
      </c>
      <c r="C259" s="24" t="inlineStr">
        <is>
          <t>한미반도체</t>
        </is>
      </c>
      <c r="D259" s="24" t="inlineStr">
        <is>
          <t>hanmi</t>
        </is>
      </c>
      <c r="E259" s="24" t="inlineStr">
        <is>
          <t>042700</t>
        </is>
      </c>
      <c r="F259" s="24" t="inlineStr">
        <is>
          <t>2022</t>
        </is>
      </c>
      <c r="G259" s="24" t="inlineStr">
        <is>
          <t>CFS</t>
        </is>
      </c>
      <c r="H259" s="24" t="inlineStr">
        <is>
          <t>BS</t>
        </is>
      </c>
      <c r="I259" s="24" t="inlineStr">
        <is>
          <t>재무상태표</t>
        </is>
      </c>
      <c r="J259" s="24" t="inlineStr">
        <is>
          <t>dart_CapitalSurplus</t>
        </is>
      </c>
      <c r="K259" s="24" t="inlineStr">
        <is>
          <t>자본잉여금</t>
        </is>
      </c>
      <c r="L259" s="24" t="inlineStr">
        <is>
          <t>-</t>
        </is>
      </c>
      <c r="M259" s="24" t="inlineStr">
        <is>
          <t>제 43 기</t>
        </is>
      </c>
      <c r="N259" s="24" t="inlineStr">
        <is>
          <t>50917901810.0</t>
        </is>
      </c>
      <c r="O259" s="24" t="inlineStr">
        <is>
          <t>50917901810.0</t>
        </is>
      </c>
      <c r="P259" s="24" t="inlineStr">
        <is>
          <t>KRW</t>
        </is>
      </c>
      <c r="Q259" s="24" t="inlineStr">
        <is>
          <t>40</t>
        </is>
      </c>
    </row>
    <row r="260" ht="24" customHeight="1">
      <c r="A260" s="29" t="inlineStr">
        <is>
          <t>OpenDART_fnlttSinglAcntAll</t>
        </is>
      </c>
      <c r="B260" s="29" t="inlineStr">
        <is>
          <t>00161383</t>
        </is>
      </c>
      <c r="C260" s="29" t="inlineStr">
        <is>
          <t>한미반도체</t>
        </is>
      </c>
      <c r="D260" s="29" t="inlineStr">
        <is>
          <t>hanmi</t>
        </is>
      </c>
      <c r="E260" s="29" t="inlineStr">
        <is>
          <t>042700</t>
        </is>
      </c>
      <c r="F260" s="29" t="inlineStr">
        <is>
          <t>2022</t>
        </is>
      </c>
      <c r="G260" s="29" t="inlineStr">
        <is>
          <t>CFS</t>
        </is>
      </c>
      <c r="H260" s="29" t="inlineStr">
        <is>
          <t>BS</t>
        </is>
      </c>
      <c r="I260" s="29" t="inlineStr">
        <is>
          <t>재무상태표</t>
        </is>
      </c>
      <c r="J260" s="29" t="inlineStr">
        <is>
          <t>dart_ElementsOfOtherStockholdersEquity</t>
        </is>
      </c>
      <c r="K260" s="29" t="inlineStr">
        <is>
          <t>기타자본구성요소</t>
        </is>
      </c>
      <c r="L260" s="29" t="inlineStr">
        <is>
          <t>-</t>
        </is>
      </c>
      <c r="M260" s="29" t="inlineStr">
        <is>
          <t>제 43 기</t>
        </is>
      </c>
      <c r="N260" s="29" t="inlineStr">
        <is>
          <t>403275571.0</t>
        </is>
      </c>
      <c r="O260" s="29" t="inlineStr">
        <is>
          <t>403275571.0</t>
        </is>
      </c>
      <c r="P260" s="29" t="inlineStr">
        <is>
          <t>KRW</t>
        </is>
      </c>
      <c r="Q260" s="29" t="inlineStr">
        <is>
          <t>41</t>
        </is>
      </c>
    </row>
    <row r="261" ht="24" customHeight="1">
      <c r="A261" s="24" t="inlineStr">
        <is>
          <t>OpenDART_fnlttSinglAcntAll</t>
        </is>
      </c>
      <c r="B261" s="24" t="inlineStr">
        <is>
          <t>00161383</t>
        </is>
      </c>
      <c r="C261" s="24" t="inlineStr">
        <is>
          <t>한미반도체</t>
        </is>
      </c>
      <c r="D261" s="24" t="inlineStr">
        <is>
          <t>hanmi</t>
        </is>
      </c>
      <c r="E261" s="24" t="inlineStr">
        <is>
          <t>042700</t>
        </is>
      </c>
      <c r="F261" s="24" t="inlineStr">
        <is>
          <t>2022</t>
        </is>
      </c>
      <c r="G261" s="24" t="inlineStr">
        <is>
          <t>CFS</t>
        </is>
      </c>
      <c r="H261" s="24" t="inlineStr">
        <is>
          <t>BS</t>
        </is>
      </c>
      <c r="I261" s="24" t="inlineStr">
        <is>
          <t>재무상태표</t>
        </is>
      </c>
      <c r="J261" s="24" t="inlineStr">
        <is>
          <t>dart_OtherComprehensiveIncomeLossAccumulatedAmount</t>
        </is>
      </c>
      <c r="K261" s="24" t="inlineStr">
        <is>
          <t>기타포괄손익누계액</t>
        </is>
      </c>
      <c r="L261" s="24" t="inlineStr">
        <is>
          <t>-</t>
        </is>
      </c>
      <c r="M261" s="24" t="inlineStr">
        <is>
          <t>제 43 기</t>
        </is>
      </c>
      <c r="N261" s="24" t="inlineStr">
        <is>
          <t>789816976.0</t>
        </is>
      </c>
      <c r="O261" s="24" t="inlineStr">
        <is>
          <t>154903951.0</t>
        </is>
      </c>
      <c r="P261" s="24" t="inlineStr">
        <is>
          <t>KRW</t>
        </is>
      </c>
      <c r="Q261" s="24" t="inlineStr">
        <is>
          <t>42</t>
        </is>
      </c>
    </row>
    <row r="262" ht="24" customHeight="1">
      <c r="A262" s="29" t="inlineStr">
        <is>
          <t>OpenDART_fnlttSinglAcntAll</t>
        </is>
      </c>
      <c r="B262" s="29" t="inlineStr">
        <is>
          <t>00161383</t>
        </is>
      </c>
      <c r="C262" s="29" t="inlineStr">
        <is>
          <t>한미반도체</t>
        </is>
      </c>
      <c r="D262" s="29" t="inlineStr">
        <is>
          <t>hanmi</t>
        </is>
      </c>
      <c r="E262" s="29" t="inlineStr">
        <is>
          <t>042700</t>
        </is>
      </c>
      <c r="F262" s="29" t="inlineStr">
        <is>
          <t>2022</t>
        </is>
      </c>
      <c r="G262" s="29" t="inlineStr">
        <is>
          <t>CFS</t>
        </is>
      </c>
      <c r="H262" s="29" t="inlineStr">
        <is>
          <t>BS</t>
        </is>
      </c>
      <c r="I262" s="29" t="inlineStr">
        <is>
          <t>재무상태표</t>
        </is>
      </c>
      <c r="J262" s="29" t="inlineStr">
        <is>
          <t>ifrs-full_RetainedEarnings</t>
        </is>
      </c>
      <c r="K262" s="29" t="inlineStr">
        <is>
          <t>이익잉여금</t>
        </is>
      </c>
      <c r="L262" s="29" t="inlineStr">
        <is>
          <t>-</t>
        </is>
      </c>
      <c r="M262" s="29" t="inlineStr">
        <is>
          <t>제 43 기</t>
        </is>
      </c>
      <c r="N262" s="29" t="inlineStr">
        <is>
          <t>325269340929.0</t>
        </is>
      </c>
      <c r="O262" s="29" t="inlineStr">
        <is>
          <t>282619540445.0</t>
        </is>
      </c>
      <c r="P262" s="29" t="inlineStr">
        <is>
          <t>KRW</t>
        </is>
      </c>
      <c r="Q262" s="29" t="inlineStr">
        <is>
          <t>43</t>
        </is>
      </c>
    </row>
    <row r="263" ht="24" customHeight="1">
      <c r="A263" s="24" t="inlineStr">
        <is>
          <t>OpenDART_fnlttSinglAcntAll</t>
        </is>
      </c>
      <c r="B263" s="24" t="inlineStr">
        <is>
          <t>00161383</t>
        </is>
      </c>
      <c r="C263" s="24" t="inlineStr">
        <is>
          <t>한미반도체</t>
        </is>
      </c>
      <c r="D263" s="24" t="inlineStr">
        <is>
          <t>hanmi</t>
        </is>
      </c>
      <c r="E263" s="24" t="inlineStr">
        <is>
          <t>042700</t>
        </is>
      </c>
      <c r="F263" s="24" t="inlineStr">
        <is>
          <t>2022</t>
        </is>
      </c>
      <c r="G263" s="24" t="inlineStr">
        <is>
          <t>CFS</t>
        </is>
      </c>
      <c r="H263" s="24" t="inlineStr">
        <is>
          <t>BS</t>
        </is>
      </c>
      <c r="I263" s="24" t="inlineStr">
        <is>
          <t>재무상태표</t>
        </is>
      </c>
      <c r="J263" s="24" t="inlineStr">
        <is>
          <t>ifrs-full_NoncontrollingInterests</t>
        </is>
      </c>
      <c r="K263" s="24" t="inlineStr">
        <is>
          <t>비지배지분</t>
        </is>
      </c>
      <c r="L263" s="24" t="inlineStr">
        <is>
          <t>-</t>
        </is>
      </c>
      <c r="M263" s="24" t="inlineStr">
        <is>
          <t>제 43 기</t>
        </is>
      </c>
      <c r="N263" s="24" t="inlineStr">
        <is>
          <t>0.0</t>
        </is>
      </c>
      <c r="O263" s="24" t="inlineStr">
        <is>
          <t>0.0</t>
        </is>
      </c>
      <c r="P263" s="24" t="inlineStr">
        <is>
          <t>KRW</t>
        </is>
      </c>
      <c r="Q263" s="24" t="inlineStr">
        <is>
          <t>44</t>
        </is>
      </c>
    </row>
    <row r="264" ht="24" customHeight="1">
      <c r="A264" s="29" t="inlineStr">
        <is>
          <t>OpenDART_fnlttSinglAcntAll</t>
        </is>
      </c>
      <c r="B264" s="29" t="inlineStr">
        <is>
          <t>00161383</t>
        </is>
      </c>
      <c r="C264" s="29" t="inlineStr">
        <is>
          <t>한미반도체</t>
        </is>
      </c>
      <c r="D264" s="29" t="inlineStr">
        <is>
          <t>hanmi</t>
        </is>
      </c>
      <c r="E264" s="29" t="inlineStr">
        <is>
          <t>042700</t>
        </is>
      </c>
      <c r="F264" s="29" t="inlineStr">
        <is>
          <t>2022</t>
        </is>
      </c>
      <c r="G264" s="29" t="inlineStr">
        <is>
          <t>CFS</t>
        </is>
      </c>
      <c r="H264" s="29" t="inlineStr">
        <is>
          <t>BS</t>
        </is>
      </c>
      <c r="I264" s="29" t="inlineStr">
        <is>
          <t>재무상태표</t>
        </is>
      </c>
      <c r="J264" s="29" t="inlineStr">
        <is>
          <t>ifrs-full_Equity</t>
        </is>
      </c>
      <c r="K264" s="29" t="inlineStr">
        <is>
          <t>자본총계</t>
        </is>
      </c>
      <c r="L264" s="29" t="inlineStr">
        <is>
          <t>-</t>
        </is>
      </c>
      <c r="M264" s="29" t="inlineStr">
        <is>
          <t>제 43 기</t>
        </is>
      </c>
      <c r="N264" s="29" t="inlineStr">
        <is>
          <t>390096755786.0</t>
        </is>
      </c>
      <c r="O264" s="29" t="inlineStr">
        <is>
          <t>346812042277.0</t>
        </is>
      </c>
      <c r="P264" s="29" t="inlineStr">
        <is>
          <t>KRW</t>
        </is>
      </c>
      <c r="Q264" s="29" t="inlineStr">
        <is>
          <t>45</t>
        </is>
      </c>
    </row>
    <row r="265" ht="24" customHeight="1">
      <c r="A265" s="24" t="inlineStr">
        <is>
          <t>OpenDART_fnlttSinglAcntAll</t>
        </is>
      </c>
      <c r="B265" s="24" t="inlineStr">
        <is>
          <t>00161383</t>
        </is>
      </c>
      <c r="C265" s="24" t="inlineStr">
        <is>
          <t>한미반도체</t>
        </is>
      </c>
      <c r="D265" s="24" t="inlineStr">
        <is>
          <t>hanmi</t>
        </is>
      </c>
      <c r="E265" s="24" t="inlineStr">
        <is>
          <t>042700</t>
        </is>
      </c>
      <c r="F265" s="24" t="inlineStr">
        <is>
          <t>2022</t>
        </is>
      </c>
      <c r="G265" s="24" t="inlineStr">
        <is>
          <t>CFS</t>
        </is>
      </c>
      <c r="H265" s="24" t="inlineStr">
        <is>
          <t>BS</t>
        </is>
      </c>
      <c r="I265" s="24" t="inlineStr">
        <is>
          <t>재무상태표</t>
        </is>
      </c>
      <c r="J265" s="24" t="inlineStr">
        <is>
          <t>ifrs-full_EquityAndLiabilities</t>
        </is>
      </c>
      <c r="K265" s="24" t="inlineStr">
        <is>
          <t>부채와자본총계</t>
        </is>
      </c>
      <c r="L265" s="24" t="inlineStr">
        <is>
          <t>-</t>
        </is>
      </c>
      <c r="M265" s="24" t="inlineStr">
        <is>
          <t>제 43 기</t>
        </is>
      </c>
      <c r="N265" s="24" t="inlineStr">
        <is>
          <t>455432965985.0</t>
        </is>
      </c>
      <c r="O265" s="24" t="inlineStr">
        <is>
          <t>429285683427.0</t>
        </is>
      </c>
      <c r="P265" s="24" t="inlineStr">
        <is>
          <t>KRW</t>
        </is>
      </c>
      <c r="Q265" s="24" t="inlineStr">
        <is>
          <t>46</t>
        </is>
      </c>
    </row>
    <row r="266" ht="24" customHeight="1">
      <c r="A266" s="29" t="inlineStr">
        <is>
          <t>OpenDART_fnlttSinglAcntAll</t>
        </is>
      </c>
      <c r="B266" s="29" t="inlineStr">
        <is>
          <t>00161383</t>
        </is>
      </c>
      <c r="C266" s="29" t="inlineStr">
        <is>
          <t>한미반도체</t>
        </is>
      </c>
      <c r="D266" s="29" t="inlineStr">
        <is>
          <t>hanmi</t>
        </is>
      </c>
      <c r="E266" s="29" t="inlineStr">
        <is>
          <t>042700</t>
        </is>
      </c>
      <c r="F266" s="29" t="inlineStr">
        <is>
          <t>2022</t>
        </is>
      </c>
      <c r="G266" s="29" t="inlineStr">
        <is>
          <t>CFS</t>
        </is>
      </c>
      <c r="H266" s="29" t="inlineStr">
        <is>
          <t>CIS</t>
        </is>
      </c>
      <c r="I266" s="29" t="inlineStr">
        <is>
          <t>포괄손익계산서</t>
        </is>
      </c>
      <c r="J266" s="29" t="inlineStr">
        <is>
          <t>ifrs-full_Revenue</t>
        </is>
      </c>
      <c r="K266" s="29" t="inlineStr">
        <is>
          <t>매출액</t>
        </is>
      </c>
      <c r="L266" s="29" t="inlineStr">
        <is>
          <t>-</t>
        </is>
      </c>
      <c r="M266" s="29" t="inlineStr">
        <is>
          <t>제 43 기</t>
        </is>
      </c>
      <c r="N266" s="29" t="inlineStr">
        <is>
          <t>327592058714.0</t>
        </is>
      </c>
      <c r="O266" s="29" t="inlineStr">
        <is>
          <t>373169401913.0</t>
        </is>
      </c>
      <c r="P266" s="29" t="inlineStr">
        <is>
          <t>KRW</t>
        </is>
      </c>
      <c r="Q266" s="29" t="inlineStr">
        <is>
          <t>0</t>
        </is>
      </c>
    </row>
    <row r="267" ht="24" customHeight="1">
      <c r="A267" s="24" t="inlineStr">
        <is>
          <t>OpenDART_fnlttSinglAcntAll</t>
        </is>
      </c>
      <c r="B267" s="24" t="inlineStr">
        <is>
          <t>00161383</t>
        </is>
      </c>
      <c r="C267" s="24" t="inlineStr">
        <is>
          <t>한미반도체</t>
        </is>
      </c>
      <c r="D267" s="24" t="inlineStr">
        <is>
          <t>hanmi</t>
        </is>
      </c>
      <c r="E267" s="24" t="inlineStr">
        <is>
          <t>042700</t>
        </is>
      </c>
      <c r="F267" s="24" t="inlineStr">
        <is>
          <t>2022</t>
        </is>
      </c>
      <c r="G267" s="24" t="inlineStr">
        <is>
          <t>CFS</t>
        </is>
      </c>
      <c r="H267" s="24" t="inlineStr">
        <is>
          <t>CIS</t>
        </is>
      </c>
      <c r="I267" s="24" t="inlineStr">
        <is>
          <t>포괄손익계산서</t>
        </is>
      </c>
      <c r="J267" s="24" t="inlineStr">
        <is>
          <t>ifrs-full_CostOfSales</t>
        </is>
      </c>
      <c r="K267" s="24" t="inlineStr">
        <is>
          <t>매출원가</t>
        </is>
      </c>
      <c r="L267" s="24" t="inlineStr">
        <is>
          <t>-</t>
        </is>
      </c>
      <c r="M267" s="24" t="inlineStr">
        <is>
          <t>제 43 기</t>
        </is>
      </c>
      <c r="N267" s="24" t="inlineStr">
        <is>
          <t>142555702958.0</t>
        </is>
      </c>
      <c r="O267" s="24" t="inlineStr">
        <is>
          <t>192924061622.0</t>
        </is>
      </c>
      <c r="P267" s="24" t="inlineStr">
        <is>
          <t>KRW</t>
        </is>
      </c>
      <c r="Q267" s="24" t="inlineStr">
        <is>
          <t>1</t>
        </is>
      </c>
    </row>
    <row r="268" ht="24" customHeight="1">
      <c r="A268" s="29" t="inlineStr">
        <is>
          <t>OpenDART_fnlttSinglAcntAll</t>
        </is>
      </c>
      <c r="B268" s="29" t="inlineStr">
        <is>
          <t>00161383</t>
        </is>
      </c>
      <c r="C268" s="29" t="inlineStr">
        <is>
          <t>한미반도체</t>
        </is>
      </c>
      <c r="D268" s="29" t="inlineStr">
        <is>
          <t>hanmi</t>
        </is>
      </c>
      <c r="E268" s="29" t="inlineStr">
        <is>
          <t>042700</t>
        </is>
      </c>
      <c r="F268" s="29" t="inlineStr">
        <is>
          <t>2022</t>
        </is>
      </c>
      <c r="G268" s="29" t="inlineStr">
        <is>
          <t>CFS</t>
        </is>
      </c>
      <c r="H268" s="29" t="inlineStr">
        <is>
          <t>CIS</t>
        </is>
      </c>
      <c r="I268" s="29" t="inlineStr">
        <is>
          <t>포괄손익계산서</t>
        </is>
      </c>
      <c r="J268" s="29" t="inlineStr">
        <is>
          <t>ifrs-full_GrossProfit</t>
        </is>
      </c>
      <c r="K268" s="29" t="inlineStr">
        <is>
          <t>매출총이익</t>
        </is>
      </c>
      <c r="L268" s="29" t="inlineStr">
        <is>
          <t>-</t>
        </is>
      </c>
      <c r="M268" s="29" t="inlineStr">
        <is>
          <t>제 43 기</t>
        </is>
      </c>
      <c r="N268" s="29" t="inlineStr">
        <is>
          <t>185036355756.0</t>
        </is>
      </c>
      <c r="O268" s="29" t="inlineStr">
        <is>
          <t>180245340291.0</t>
        </is>
      </c>
      <c r="P268" s="29" t="inlineStr">
        <is>
          <t>KRW</t>
        </is>
      </c>
      <c r="Q268" s="29" t="inlineStr">
        <is>
          <t>2</t>
        </is>
      </c>
    </row>
    <row r="269" ht="24" customHeight="1">
      <c r="A269" s="24" t="inlineStr">
        <is>
          <t>OpenDART_fnlttSinglAcntAll</t>
        </is>
      </c>
      <c r="B269" s="24" t="inlineStr">
        <is>
          <t>00161383</t>
        </is>
      </c>
      <c r="C269" s="24" t="inlineStr">
        <is>
          <t>한미반도체</t>
        </is>
      </c>
      <c r="D269" s="24" t="inlineStr">
        <is>
          <t>hanmi</t>
        </is>
      </c>
      <c r="E269" s="24" t="inlineStr">
        <is>
          <t>042700</t>
        </is>
      </c>
      <c r="F269" s="24" t="inlineStr">
        <is>
          <t>2022</t>
        </is>
      </c>
      <c r="G269" s="24" t="inlineStr">
        <is>
          <t>CFS</t>
        </is>
      </c>
      <c r="H269" s="24" t="inlineStr">
        <is>
          <t>CIS</t>
        </is>
      </c>
      <c r="I269" s="24" t="inlineStr">
        <is>
          <t>포괄손익계산서</t>
        </is>
      </c>
      <c r="J269" s="24" t="inlineStr">
        <is>
          <t>dart_TotalSellingGeneralAdministrativeExpenses</t>
        </is>
      </c>
      <c r="K269" s="24" t="inlineStr">
        <is>
          <t>판매비와관리비</t>
        </is>
      </c>
      <c r="L269" s="24" t="inlineStr">
        <is>
          <t>-</t>
        </is>
      </c>
      <c r="M269" s="24" t="inlineStr">
        <is>
          <t>제 43 기</t>
        </is>
      </c>
      <c r="N269" s="24" t="inlineStr">
        <is>
          <t>54910431420.0</t>
        </is>
      </c>
      <c r="O269" s="24" t="inlineStr">
        <is>
          <t>39544571970.0</t>
        </is>
      </c>
      <c r="P269" s="24" t="inlineStr">
        <is>
          <t>KRW</t>
        </is>
      </c>
      <c r="Q269" s="24" t="inlineStr">
        <is>
          <t>3</t>
        </is>
      </c>
    </row>
    <row r="270" ht="24" customHeight="1">
      <c r="A270" s="29" t="inlineStr">
        <is>
          <t>OpenDART_fnlttSinglAcntAll</t>
        </is>
      </c>
      <c r="B270" s="29" t="inlineStr">
        <is>
          <t>00161383</t>
        </is>
      </c>
      <c r="C270" s="29" t="inlineStr">
        <is>
          <t>한미반도체</t>
        </is>
      </c>
      <c r="D270" s="29" t="inlineStr">
        <is>
          <t>hanmi</t>
        </is>
      </c>
      <c r="E270" s="29" t="inlineStr">
        <is>
          <t>042700</t>
        </is>
      </c>
      <c r="F270" s="29" t="inlineStr">
        <is>
          <t>2022</t>
        </is>
      </c>
      <c r="G270" s="29" t="inlineStr">
        <is>
          <t>CFS</t>
        </is>
      </c>
      <c r="H270" s="29" t="inlineStr">
        <is>
          <t>CIS</t>
        </is>
      </c>
      <c r="I270" s="29" t="inlineStr">
        <is>
          <t>포괄손익계산서</t>
        </is>
      </c>
      <c r="J270" s="29" t="inlineStr">
        <is>
          <t>-표준계정코드 미사용-</t>
        </is>
      </c>
      <c r="K270" s="29" t="inlineStr">
        <is>
          <t>연구개발비</t>
        </is>
      </c>
      <c r="L270" s="29" t="inlineStr">
        <is>
          <t>-</t>
        </is>
      </c>
      <c r="M270" s="29" t="inlineStr">
        <is>
          <t>제 43 기</t>
        </is>
      </c>
      <c r="N270" s="29" t="inlineStr">
        <is>
          <t>18266502256.0</t>
        </is>
      </c>
      <c r="O270" s="29" t="inlineStr">
        <is>
          <t>18281302821.0</t>
        </is>
      </c>
      <c r="P270" s="29" t="inlineStr">
        <is>
          <t>KRW</t>
        </is>
      </c>
      <c r="Q270" s="29" t="inlineStr">
        <is>
          <t>4</t>
        </is>
      </c>
    </row>
    <row r="271" ht="24" customHeight="1">
      <c r="A271" s="24" t="inlineStr">
        <is>
          <t>OpenDART_fnlttSinglAcntAll</t>
        </is>
      </c>
      <c r="B271" s="24" t="inlineStr">
        <is>
          <t>00161383</t>
        </is>
      </c>
      <c r="C271" s="24" t="inlineStr">
        <is>
          <t>한미반도체</t>
        </is>
      </c>
      <c r="D271" s="24" t="inlineStr">
        <is>
          <t>hanmi</t>
        </is>
      </c>
      <c r="E271" s="24" t="inlineStr">
        <is>
          <t>042700</t>
        </is>
      </c>
      <c r="F271" s="24" t="inlineStr">
        <is>
          <t>2022</t>
        </is>
      </c>
      <c r="G271" s="24" t="inlineStr">
        <is>
          <t>CFS</t>
        </is>
      </c>
      <c r="H271" s="24" t="inlineStr">
        <is>
          <t>CIS</t>
        </is>
      </c>
      <c r="I271" s="24" t="inlineStr">
        <is>
          <t>포괄손익계산서</t>
        </is>
      </c>
      <c r="J271" s="24" t="inlineStr">
        <is>
          <t>dart_OperatingIncomeLoss</t>
        </is>
      </c>
      <c r="K271" s="24" t="inlineStr">
        <is>
          <t>영업이익</t>
        </is>
      </c>
      <c r="L271" s="24" t="inlineStr">
        <is>
          <t>-</t>
        </is>
      </c>
      <c r="M271" s="24" t="inlineStr">
        <is>
          <t>제 43 기</t>
        </is>
      </c>
      <c r="N271" s="24" t="inlineStr">
        <is>
          <t>111859422080.0</t>
        </is>
      </c>
      <c r="O271" s="24" t="inlineStr">
        <is>
          <t>122419465500.0</t>
        </is>
      </c>
      <c r="P271" s="24" t="inlineStr">
        <is>
          <t>KRW</t>
        </is>
      </c>
      <c r="Q271" s="24" t="inlineStr">
        <is>
          <t>5</t>
        </is>
      </c>
    </row>
    <row r="272" ht="24" customHeight="1">
      <c r="A272" s="29" t="inlineStr">
        <is>
          <t>OpenDART_fnlttSinglAcntAll</t>
        </is>
      </c>
      <c r="B272" s="29" t="inlineStr">
        <is>
          <t>00161383</t>
        </is>
      </c>
      <c r="C272" s="29" t="inlineStr">
        <is>
          <t>한미반도체</t>
        </is>
      </c>
      <c r="D272" s="29" t="inlineStr">
        <is>
          <t>hanmi</t>
        </is>
      </c>
      <c r="E272" s="29" t="inlineStr">
        <is>
          <t>042700</t>
        </is>
      </c>
      <c r="F272" s="29" t="inlineStr">
        <is>
          <t>2022</t>
        </is>
      </c>
      <c r="G272" s="29" t="inlineStr">
        <is>
          <t>CFS</t>
        </is>
      </c>
      <c r="H272" s="29" t="inlineStr">
        <is>
          <t>CIS</t>
        </is>
      </c>
      <c r="I272" s="29" t="inlineStr">
        <is>
          <t>포괄손익계산서</t>
        </is>
      </c>
      <c r="J272" s="29" t="inlineStr">
        <is>
          <t>dart_OtherGains</t>
        </is>
      </c>
      <c r="K272" s="29" t="inlineStr">
        <is>
          <t>기타영업외수익</t>
        </is>
      </c>
      <c r="L272" s="29" t="inlineStr">
        <is>
          <t>-</t>
        </is>
      </c>
      <c r="M272" s="29" t="inlineStr">
        <is>
          <t>제 43 기</t>
        </is>
      </c>
      <c r="N272" s="29" t="inlineStr">
        <is>
          <t>5622842109.0</t>
        </is>
      </c>
      <c r="O272" s="29" t="inlineStr">
        <is>
          <t>1065468187.0</t>
        </is>
      </c>
      <c r="P272" s="29" t="inlineStr">
        <is>
          <t>KRW</t>
        </is>
      </c>
      <c r="Q272" s="29" t="inlineStr">
        <is>
          <t>6</t>
        </is>
      </c>
    </row>
    <row r="273" ht="24" customHeight="1">
      <c r="A273" s="24" t="inlineStr">
        <is>
          <t>OpenDART_fnlttSinglAcntAll</t>
        </is>
      </c>
      <c r="B273" s="24" t="inlineStr">
        <is>
          <t>00161383</t>
        </is>
      </c>
      <c r="C273" s="24" t="inlineStr">
        <is>
          <t>한미반도체</t>
        </is>
      </c>
      <c r="D273" s="24" t="inlineStr">
        <is>
          <t>hanmi</t>
        </is>
      </c>
      <c r="E273" s="24" t="inlineStr">
        <is>
          <t>042700</t>
        </is>
      </c>
      <c r="F273" s="24" t="inlineStr">
        <is>
          <t>2022</t>
        </is>
      </c>
      <c r="G273" s="24" t="inlineStr">
        <is>
          <t>CFS</t>
        </is>
      </c>
      <c r="H273" s="24" t="inlineStr">
        <is>
          <t>CIS</t>
        </is>
      </c>
      <c r="I273" s="24" t="inlineStr">
        <is>
          <t>포괄손익계산서</t>
        </is>
      </c>
      <c r="J273" s="24" t="inlineStr">
        <is>
          <t>-표준계정코드 미사용-</t>
        </is>
      </c>
      <c r="K273" s="24" t="inlineStr">
        <is>
          <t>기타영업외비용</t>
        </is>
      </c>
      <c r="L273" s="24" t="inlineStr">
        <is>
          <t>-</t>
        </is>
      </c>
      <c r="M273" s="24" t="inlineStr">
        <is>
          <t>제 43 기</t>
        </is>
      </c>
      <c r="N273" s="24" t="inlineStr">
        <is>
          <t>1508087362.0</t>
        </is>
      </c>
      <c r="O273" s="24" t="inlineStr">
        <is>
          <t>200002755.0</t>
        </is>
      </c>
      <c r="P273" s="24" t="inlineStr">
        <is>
          <t>KRW</t>
        </is>
      </c>
      <c r="Q273" s="24" t="inlineStr">
        <is>
          <t>7</t>
        </is>
      </c>
    </row>
    <row r="274" ht="24" customHeight="1">
      <c r="A274" s="29" t="inlineStr">
        <is>
          <t>OpenDART_fnlttSinglAcntAll</t>
        </is>
      </c>
      <c r="B274" s="29" t="inlineStr">
        <is>
          <t>00161383</t>
        </is>
      </c>
      <c r="C274" s="29" t="inlineStr">
        <is>
          <t>한미반도체</t>
        </is>
      </c>
      <c r="D274" s="29" t="inlineStr">
        <is>
          <t>hanmi</t>
        </is>
      </c>
      <c r="E274" s="29" t="inlineStr">
        <is>
          <t>042700</t>
        </is>
      </c>
      <c r="F274" s="29" t="inlineStr">
        <is>
          <t>2022</t>
        </is>
      </c>
      <c r="G274" s="29" t="inlineStr">
        <is>
          <t>CFS</t>
        </is>
      </c>
      <c r="H274" s="29" t="inlineStr">
        <is>
          <t>CIS</t>
        </is>
      </c>
      <c r="I274" s="29" t="inlineStr">
        <is>
          <t>포괄손익계산서</t>
        </is>
      </c>
      <c r="J274" s="29" t="inlineStr">
        <is>
          <t>ifrs-full_FinanceIncome</t>
        </is>
      </c>
      <c r="K274" s="29" t="inlineStr">
        <is>
          <t>금융수익</t>
        </is>
      </c>
      <c r="L274" s="29" t="inlineStr">
        <is>
          <t>-</t>
        </is>
      </c>
      <c r="M274" s="29" t="inlineStr">
        <is>
          <t>제 43 기</t>
        </is>
      </c>
      <c r="N274" s="29" t="inlineStr">
        <is>
          <t>20256659783.0</t>
        </is>
      </c>
      <c r="O274" s="29" t="inlineStr">
        <is>
          <t>12415171107.0</t>
        </is>
      </c>
      <c r="P274" s="29" t="inlineStr">
        <is>
          <t>KRW</t>
        </is>
      </c>
      <c r="Q274" s="29" t="inlineStr">
        <is>
          <t>8</t>
        </is>
      </c>
    </row>
    <row r="275" ht="24" customHeight="1">
      <c r="A275" s="24" t="inlineStr">
        <is>
          <t>OpenDART_fnlttSinglAcntAll</t>
        </is>
      </c>
      <c r="B275" s="24" t="inlineStr">
        <is>
          <t>00161383</t>
        </is>
      </c>
      <c r="C275" s="24" t="inlineStr">
        <is>
          <t>한미반도체</t>
        </is>
      </c>
      <c r="D275" s="24" t="inlineStr">
        <is>
          <t>hanmi</t>
        </is>
      </c>
      <c r="E275" s="24" t="inlineStr">
        <is>
          <t>042700</t>
        </is>
      </c>
      <c r="F275" s="24" t="inlineStr">
        <is>
          <t>2022</t>
        </is>
      </c>
      <c r="G275" s="24" t="inlineStr">
        <is>
          <t>CFS</t>
        </is>
      </c>
      <c r="H275" s="24" t="inlineStr">
        <is>
          <t>CIS</t>
        </is>
      </c>
      <c r="I275" s="24" t="inlineStr">
        <is>
          <t>포괄손익계산서</t>
        </is>
      </c>
      <c r="J275" s="24" t="inlineStr">
        <is>
          <t>ifrs-full_FinanceCosts</t>
        </is>
      </c>
      <c r="K275" s="24" t="inlineStr">
        <is>
          <t>금융비용</t>
        </is>
      </c>
      <c r="L275" s="24" t="inlineStr">
        <is>
          <t>-</t>
        </is>
      </c>
      <c r="M275" s="24" t="inlineStr">
        <is>
          <t>제 43 기</t>
        </is>
      </c>
      <c r="N275" s="24" t="inlineStr">
        <is>
          <t>9567800296.0</t>
        </is>
      </c>
      <c r="O275" s="24" t="inlineStr">
        <is>
          <t>5525202196.0</t>
        </is>
      </c>
      <c r="P275" s="24" t="inlineStr">
        <is>
          <t>KRW</t>
        </is>
      </c>
      <c r="Q275" s="24" t="inlineStr">
        <is>
          <t>9</t>
        </is>
      </c>
    </row>
    <row r="276" ht="24" customHeight="1">
      <c r="A276" s="29" t="inlineStr">
        <is>
          <t>OpenDART_fnlttSinglAcntAll</t>
        </is>
      </c>
      <c r="B276" s="29" t="inlineStr">
        <is>
          <t>00161383</t>
        </is>
      </c>
      <c r="C276" s="29" t="inlineStr">
        <is>
          <t>한미반도체</t>
        </is>
      </c>
      <c r="D276" s="29" t="inlineStr">
        <is>
          <t>hanmi</t>
        </is>
      </c>
      <c r="E276" s="29" t="inlineStr">
        <is>
          <t>042700</t>
        </is>
      </c>
      <c r="F276" s="29" t="inlineStr">
        <is>
          <t>2022</t>
        </is>
      </c>
      <c r="G276" s="29" t="inlineStr">
        <is>
          <t>CFS</t>
        </is>
      </c>
      <c r="H276" s="29" t="inlineStr">
        <is>
          <t>CIS</t>
        </is>
      </c>
      <c r="I276" s="29" t="inlineStr">
        <is>
          <t>포괄손익계산서</t>
        </is>
      </c>
      <c r="J276" s="29" t="inlineStr">
        <is>
          <t>-표준계정코드 미사용-</t>
        </is>
      </c>
      <c r="K276" s="29" t="inlineStr">
        <is>
          <t>관계기업투자손익</t>
        </is>
      </c>
      <c r="L276" s="29" t="inlineStr">
        <is>
          <t>-</t>
        </is>
      </c>
      <c r="M276" s="29" t="inlineStr">
        <is>
          <t>제 43 기</t>
        </is>
      </c>
      <c r="N276" s="29" t="inlineStr">
        <is>
          <t>1180984703.0</t>
        </is>
      </c>
      <c r="O276" s="29" t="inlineStr">
        <is>
          <t>6076657647.0</t>
        </is>
      </c>
      <c r="P276" s="29" t="inlineStr">
        <is>
          <t>KRW</t>
        </is>
      </c>
      <c r="Q276" s="29" t="inlineStr">
        <is>
          <t>10</t>
        </is>
      </c>
    </row>
    <row r="277" ht="24" customHeight="1">
      <c r="A277" s="24" t="inlineStr">
        <is>
          <t>OpenDART_fnlttSinglAcntAll</t>
        </is>
      </c>
      <c r="B277" s="24" t="inlineStr">
        <is>
          <t>00161383</t>
        </is>
      </c>
      <c r="C277" s="24" t="inlineStr">
        <is>
          <t>한미반도체</t>
        </is>
      </c>
      <c r="D277" s="24" t="inlineStr">
        <is>
          <t>hanmi</t>
        </is>
      </c>
      <c r="E277" s="24" t="inlineStr">
        <is>
          <t>042700</t>
        </is>
      </c>
      <c r="F277" s="24" t="inlineStr">
        <is>
          <t>2022</t>
        </is>
      </c>
      <c r="G277" s="24" t="inlineStr">
        <is>
          <t>CFS</t>
        </is>
      </c>
      <c r="H277" s="24" t="inlineStr">
        <is>
          <t>CIS</t>
        </is>
      </c>
      <c r="I277" s="24" t="inlineStr">
        <is>
          <t>포괄손익계산서</t>
        </is>
      </c>
      <c r="J277" s="24" t="inlineStr">
        <is>
          <t>ifrs-full_ProfitLossBeforeTax</t>
        </is>
      </c>
      <c r="K277" s="24" t="inlineStr">
        <is>
          <t>법인세비용차감전순이익</t>
        </is>
      </c>
      <c r="L277" s="24" t="inlineStr">
        <is>
          <t>-</t>
        </is>
      </c>
      <c r="M277" s="24" t="inlineStr">
        <is>
          <t>제 43 기</t>
        </is>
      </c>
      <c r="N277" s="24" t="inlineStr">
        <is>
          <t>127844021017.0</t>
        </is>
      </c>
      <c r="O277" s="24" t="inlineStr">
        <is>
          <t>136251557490.0</t>
        </is>
      </c>
      <c r="P277" s="24" t="inlineStr">
        <is>
          <t>KRW</t>
        </is>
      </c>
      <c r="Q277" s="24" t="inlineStr">
        <is>
          <t>11</t>
        </is>
      </c>
    </row>
    <row r="278" ht="24" customHeight="1">
      <c r="A278" s="29" t="inlineStr">
        <is>
          <t>OpenDART_fnlttSinglAcntAll</t>
        </is>
      </c>
      <c r="B278" s="29" t="inlineStr">
        <is>
          <t>00161383</t>
        </is>
      </c>
      <c r="C278" s="29" t="inlineStr">
        <is>
          <t>한미반도체</t>
        </is>
      </c>
      <c r="D278" s="29" t="inlineStr">
        <is>
          <t>hanmi</t>
        </is>
      </c>
      <c r="E278" s="29" t="inlineStr">
        <is>
          <t>042700</t>
        </is>
      </c>
      <c r="F278" s="29" t="inlineStr">
        <is>
          <t>2022</t>
        </is>
      </c>
      <c r="G278" s="29" t="inlineStr">
        <is>
          <t>CFS</t>
        </is>
      </c>
      <c r="H278" s="29" t="inlineStr">
        <is>
          <t>CIS</t>
        </is>
      </c>
      <c r="I278" s="29" t="inlineStr">
        <is>
          <t>포괄손익계산서</t>
        </is>
      </c>
      <c r="J278" s="29" t="inlineStr">
        <is>
          <t>ifrs-full_IncomeTaxExpenseContinuingOperations</t>
        </is>
      </c>
      <c r="K278" s="29" t="inlineStr">
        <is>
          <t>법인세비용</t>
        </is>
      </c>
      <c r="L278" s="29" t="inlineStr">
        <is>
          <t>-</t>
        </is>
      </c>
      <c r="M278" s="29" t="inlineStr">
        <is>
          <t>제 43 기</t>
        </is>
      </c>
      <c r="N278" s="29" t="inlineStr">
        <is>
          <t>35584763606.0</t>
        </is>
      </c>
      <c r="O278" s="29" t="inlineStr">
        <is>
          <t>31813253225.0</t>
        </is>
      </c>
      <c r="P278" s="29" t="inlineStr">
        <is>
          <t>KRW</t>
        </is>
      </c>
      <c r="Q278" s="29" t="inlineStr">
        <is>
          <t>12</t>
        </is>
      </c>
    </row>
    <row r="279" ht="24" customHeight="1">
      <c r="A279" s="24" t="inlineStr">
        <is>
          <t>OpenDART_fnlttSinglAcntAll</t>
        </is>
      </c>
      <c r="B279" s="24" t="inlineStr">
        <is>
          <t>00161383</t>
        </is>
      </c>
      <c r="C279" s="24" t="inlineStr">
        <is>
          <t>한미반도체</t>
        </is>
      </c>
      <c r="D279" s="24" t="inlineStr">
        <is>
          <t>hanmi</t>
        </is>
      </c>
      <c r="E279" s="24" t="inlineStr">
        <is>
          <t>042700</t>
        </is>
      </c>
      <c r="F279" s="24" t="inlineStr">
        <is>
          <t>2022</t>
        </is>
      </c>
      <c r="G279" s="24" t="inlineStr">
        <is>
          <t>CFS</t>
        </is>
      </c>
      <c r="H279" s="24" t="inlineStr">
        <is>
          <t>CIS</t>
        </is>
      </c>
      <c r="I279" s="24" t="inlineStr">
        <is>
          <t>포괄손익계산서</t>
        </is>
      </c>
      <c r="J279" s="24" t="inlineStr">
        <is>
          <t>ifrs-full_ProfitLoss</t>
        </is>
      </c>
      <c r="K279" s="24" t="inlineStr">
        <is>
          <t>당기순이익</t>
        </is>
      </c>
      <c r="L279" s="24" t="inlineStr">
        <is>
          <t>-</t>
        </is>
      </c>
      <c r="M279" s="24" t="inlineStr">
        <is>
          <t>제 43 기</t>
        </is>
      </c>
      <c r="N279" s="24" t="inlineStr">
        <is>
          <t>92259257411.0</t>
        </is>
      </c>
      <c r="O279" s="24" t="inlineStr">
        <is>
          <t>104438304265.0</t>
        </is>
      </c>
      <c r="P279" s="24" t="inlineStr">
        <is>
          <t>KRW</t>
        </is>
      </c>
      <c r="Q279" s="24" t="inlineStr">
        <is>
          <t>13</t>
        </is>
      </c>
    </row>
    <row r="280" ht="24" customHeight="1">
      <c r="A280" s="29" t="inlineStr">
        <is>
          <t>OpenDART_fnlttSinglAcntAll</t>
        </is>
      </c>
      <c r="B280" s="29" t="inlineStr">
        <is>
          <t>00161383</t>
        </is>
      </c>
      <c r="C280" s="29" t="inlineStr">
        <is>
          <t>한미반도체</t>
        </is>
      </c>
      <c r="D280" s="29" t="inlineStr">
        <is>
          <t>hanmi</t>
        </is>
      </c>
      <c r="E280" s="29" t="inlineStr">
        <is>
          <t>042700</t>
        </is>
      </c>
      <c r="F280" s="29" t="inlineStr">
        <is>
          <t>2022</t>
        </is>
      </c>
      <c r="G280" s="29" t="inlineStr">
        <is>
          <t>CFS</t>
        </is>
      </c>
      <c r="H280" s="29" t="inlineStr">
        <is>
          <t>CIS</t>
        </is>
      </c>
      <c r="I280" s="29" t="inlineStr">
        <is>
          <t>포괄손익계산서</t>
        </is>
      </c>
      <c r="J280" s="29" t="inlineStr">
        <is>
          <t>ifrs-full_ProfitLossAttributableToOwnersOfParent</t>
        </is>
      </c>
      <c r="K280" s="29" t="inlineStr">
        <is>
          <t>지배기업지분순이익</t>
        </is>
      </c>
      <c r="L280" s="29" t="inlineStr">
        <is>
          <t>-</t>
        </is>
      </c>
      <c r="M280" s="29" t="inlineStr">
        <is>
          <t>제 43 기</t>
        </is>
      </c>
      <c r="N280" s="29" t="inlineStr">
        <is>
          <t>92259257411.0</t>
        </is>
      </c>
      <c r="O280" s="29" t="inlineStr">
        <is>
          <t>104438304265.0</t>
        </is>
      </c>
      <c r="P280" s="29" t="inlineStr">
        <is>
          <t>KRW</t>
        </is>
      </c>
      <c r="Q280" s="29" t="inlineStr">
        <is>
          <t>15</t>
        </is>
      </c>
    </row>
    <row r="281" ht="24" customHeight="1">
      <c r="A281" s="24" t="inlineStr">
        <is>
          <t>OpenDART_fnlttSinglAcntAll</t>
        </is>
      </c>
      <c r="B281" s="24" t="inlineStr">
        <is>
          <t>00161383</t>
        </is>
      </c>
      <c r="C281" s="24" t="inlineStr">
        <is>
          <t>한미반도체</t>
        </is>
      </c>
      <c r="D281" s="24" t="inlineStr">
        <is>
          <t>hanmi</t>
        </is>
      </c>
      <c r="E281" s="24" t="inlineStr">
        <is>
          <t>042700</t>
        </is>
      </c>
      <c r="F281" s="24" t="inlineStr">
        <is>
          <t>2022</t>
        </is>
      </c>
      <c r="G281" s="24" t="inlineStr">
        <is>
          <t>CFS</t>
        </is>
      </c>
      <c r="H281" s="24" t="inlineStr">
        <is>
          <t>CIS</t>
        </is>
      </c>
      <c r="I281" s="24" t="inlineStr">
        <is>
          <t>포괄손익계산서</t>
        </is>
      </c>
      <c r="J281" s="24" t="inlineStr">
        <is>
          <t>ifrs-full_ProfitLossAttributableToNoncontrollingInterests</t>
        </is>
      </c>
      <c r="K281" s="24" t="inlineStr">
        <is>
          <t>비지배지분순이익</t>
        </is>
      </c>
      <c r="L281" s="24" t="inlineStr">
        <is>
          <t>-</t>
        </is>
      </c>
      <c r="M281" s="24" t="inlineStr">
        <is>
          <t>제 43 기</t>
        </is>
      </c>
      <c r="N281" s="24" t="inlineStr">
        <is>
          <t>0.0</t>
        </is>
      </c>
      <c r="O281" s="24" t="inlineStr">
        <is>
          <t>0.0</t>
        </is>
      </c>
      <c r="P281" s="24" t="inlineStr">
        <is>
          <t>KRW</t>
        </is>
      </c>
      <c r="Q281" s="24" t="inlineStr">
        <is>
          <t>16</t>
        </is>
      </c>
    </row>
    <row r="282" ht="24" customHeight="1">
      <c r="A282" s="29" t="inlineStr">
        <is>
          <t>OpenDART_fnlttSinglAcntAll</t>
        </is>
      </c>
      <c r="B282" s="29" t="inlineStr">
        <is>
          <t>00161383</t>
        </is>
      </c>
      <c r="C282" s="29" t="inlineStr">
        <is>
          <t>한미반도체</t>
        </is>
      </c>
      <c r="D282" s="29" t="inlineStr">
        <is>
          <t>hanmi</t>
        </is>
      </c>
      <c r="E282" s="29" t="inlineStr">
        <is>
          <t>042700</t>
        </is>
      </c>
      <c r="F282" s="29" t="inlineStr">
        <is>
          <t>2022</t>
        </is>
      </c>
      <c r="G282" s="29" t="inlineStr">
        <is>
          <t>CFS</t>
        </is>
      </c>
      <c r="H282" s="29" t="inlineStr">
        <is>
          <t>CIS</t>
        </is>
      </c>
      <c r="I282" s="29" t="inlineStr">
        <is>
          <t>포괄손익계산서</t>
        </is>
      </c>
      <c r="J282" s="29" t="inlineStr">
        <is>
          <t>ifrs-full_OtherComprehensiveIncome</t>
        </is>
      </c>
      <c r="K282" s="29" t="inlineStr">
        <is>
          <t>기타포괄손익</t>
        </is>
      </c>
      <c r="L282" s="29" t="inlineStr">
        <is>
          <t>-</t>
        </is>
      </c>
      <c r="M282" s="29" t="inlineStr">
        <is>
          <t>제 43 기</t>
        </is>
      </c>
      <c r="N282" s="29" t="inlineStr">
        <is>
          <t>697188798.0</t>
        </is>
      </c>
      <c r="O282" s="29" t="inlineStr">
        <is>
          <t>-577872224.0</t>
        </is>
      </c>
      <c r="P282" s="29" t="inlineStr">
        <is>
          <t>KRW</t>
        </is>
      </c>
      <c r="Q282" s="29" t="inlineStr">
        <is>
          <t>17</t>
        </is>
      </c>
    </row>
    <row r="283" ht="24" customHeight="1">
      <c r="A283" s="24" t="inlineStr">
        <is>
          <t>OpenDART_fnlttSinglAcntAll</t>
        </is>
      </c>
      <c r="B283" s="24" t="inlineStr">
        <is>
          <t>00161383</t>
        </is>
      </c>
      <c r="C283" s="24" t="inlineStr">
        <is>
          <t>한미반도체</t>
        </is>
      </c>
      <c r="D283" s="24" t="inlineStr">
        <is>
          <t>hanmi</t>
        </is>
      </c>
      <c r="E283" s="24" t="inlineStr">
        <is>
          <t>042700</t>
        </is>
      </c>
      <c r="F283" s="24" t="inlineStr">
        <is>
          <t>2022</t>
        </is>
      </c>
      <c r="G283" s="24" t="inlineStr">
        <is>
          <t>CFS</t>
        </is>
      </c>
      <c r="H283" s="24" t="inlineStr">
        <is>
          <t>CIS</t>
        </is>
      </c>
      <c r="I283" s="24" t="inlineStr">
        <is>
          <t>포괄손익계산서</t>
        </is>
      </c>
      <c r="J283" s="24" t="inlineStr">
        <is>
          <t>dart_OtherComprehensiveIncomeThatWillNotBeReclassifiedToProfitOrLossBeforeTax</t>
        </is>
      </c>
      <c r="K283" s="24" t="inlineStr">
        <is>
          <t>후속기간에당기손익으로재분류되지않는항목</t>
        </is>
      </c>
      <c r="L283" s="24" t="inlineStr">
        <is>
          <t>-</t>
        </is>
      </c>
      <c r="M283" s="24" t="inlineStr">
        <is>
          <t>제 43 기</t>
        </is>
      </c>
      <c r="N283" s="24" t="inlineStr">
        <is>
          <t>62275773.0</t>
        </is>
      </c>
      <c r="O283" s="24" t="inlineStr">
        <is>
          <t>-868599926.0</t>
        </is>
      </c>
      <c r="P283" s="24" t="inlineStr">
        <is>
          <t>KRW</t>
        </is>
      </c>
      <c r="Q283" s="24" t="inlineStr">
        <is>
          <t>18</t>
        </is>
      </c>
    </row>
    <row r="284" ht="24" customHeight="1">
      <c r="A284" s="29" t="inlineStr">
        <is>
          <t>OpenDART_fnlttSinglAcntAll</t>
        </is>
      </c>
      <c r="B284" s="29" t="inlineStr">
        <is>
          <t>00161383</t>
        </is>
      </c>
      <c r="C284" s="29" t="inlineStr">
        <is>
          <t>한미반도체</t>
        </is>
      </c>
      <c r="D284" s="29" t="inlineStr">
        <is>
          <t>hanmi</t>
        </is>
      </c>
      <c r="E284" s="29" t="inlineStr">
        <is>
          <t>042700</t>
        </is>
      </c>
      <c r="F284" s="29" t="inlineStr">
        <is>
          <t>2022</t>
        </is>
      </c>
      <c r="G284" s="29" t="inlineStr">
        <is>
          <t>CFS</t>
        </is>
      </c>
      <c r="H284" s="29" t="inlineStr">
        <is>
          <t>CIS</t>
        </is>
      </c>
      <c r="I284" s="29" t="inlineStr">
        <is>
          <t>포괄손익계산서</t>
        </is>
      </c>
      <c r="J284" s="29" t="inlineStr">
        <is>
          <t>dart_OtherComprehensiveIncomeBeforeTaxGainsLossesOnRemeasurementsOfDefinedBenefitPlans</t>
        </is>
      </c>
      <c r="K284" s="29" t="inlineStr">
        <is>
          <t>확정급여제도의 재측정요소</t>
        </is>
      </c>
      <c r="L284" s="29" t="inlineStr">
        <is>
          <t>-</t>
        </is>
      </c>
      <c r="M284" s="29" t="inlineStr">
        <is>
          <t>제 43 기</t>
        </is>
      </c>
      <c r="N284" s="29" t="inlineStr">
        <is>
          <t>81088246.0</t>
        </is>
      </c>
      <c r="O284" s="29" t="inlineStr">
        <is>
          <t>-1145910193.0</t>
        </is>
      </c>
      <c r="P284" s="29" t="inlineStr">
        <is>
          <t>KRW</t>
        </is>
      </c>
      <c r="Q284" s="29" t="inlineStr">
        <is>
          <t>19</t>
        </is>
      </c>
    </row>
    <row r="285" ht="24" customHeight="1">
      <c r="A285" s="24" t="inlineStr">
        <is>
          <t>OpenDART_fnlttSinglAcntAll</t>
        </is>
      </c>
      <c r="B285" s="24" t="inlineStr">
        <is>
          <t>00161383</t>
        </is>
      </c>
      <c r="C285" s="24" t="inlineStr">
        <is>
          <t>한미반도체</t>
        </is>
      </c>
      <c r="D285" s="24" t="inlineStr">
        <is>
          <t>hanmi</t>
        </is>
      </c>
      <c r="E285" s="24" t="inlineStr">
        <is>
          <t>042700</t>
        </is>
      </c>
      <c r="F285" s="24" t="inlineStr">
        <is>
          <t>2022</t>
        </is>
      </c>
      <c r="G285" s="24" t="inlineStr">
        <is>
          <t>CFS</t>
        </is>
      </c>
      <c r="H285" s="24" t="inlineStr">
        <is>
          <t>CIS</t>
        </is>
      </c>
      <c r="I285" s="24" t="inlineStr">
        <is>
          <t>포괄손익계산서</t>
        </is>
      </c>
      <c r="J285" s="24" t="inlineStr">
        <is>
          <t>-표준계정코드 미사용-</t>
        </is>
      </c>
      <c r="K285" s="24" t="inlineStr">
        <is>
          <t>법인세효과</t>
        </is>
      </c>
      <c r="L285" s="24" t="inlineStr">
        <is>
          <t>-</t>
        </is>
      </c>
      <c r="M285" s="24" t="inlineStr">
        <is>
          <t>제 43 기</t>
        </is>
      </c>
      <c r="N285" s="24" t="inlineStr">
        <is>
          <t>-18812473.0</t>
        </is>
      </c>
      <c r="O285" s="24" t="inlineStr">
        <is>
          <t>277310267.0</t>
        </is>
      </c>
      <c r="P285" s="24" t="inlineStr">
        <is>
          <t>KRW</t>
        </is>
      </c>
      <c r="Q285" s="24" t="inlineStr">
        <is>
          <t>20</t>
        </is>
      </c>
    </row>
    <row r="286" ht="24" customHeight="1">
      <c r="A286" s="29" t="inlineStr">
        <is>
          <t>OpenDART_fnlttSinglAcntAll</t>
        </is>
      </c>
      <c r="B286" s="29" t="inlineStr">
        <is>
          <t>00161383</t>
        </is>
      </c>
      <c r="C286" s="29" t="inlineStr">
        <is>
          <t>한미반도체</t>
        </is>
      </c>
      <c r="D286" s="29" t="inlineStr">
        <is>
          <t>hanmi</t>
        </is>
      </c>
      <c r="E286" s="29" t="inlineStr">
        <is>
          <t>042700</t>
        </is>
      </c>
      <c r="F286" s="29" t="inlineStr">
        <is>
          <t>2022</t>
        </is>
      </c>
      <c r="G286" s="29" t="inlineStr">
        <is>
          <t>CFS</t>
        </is>
      </c>
      <c r="H286" s="29" t="inlineStr">
        <is>
          <t>CIS</t>
        </is>
      </c>
      <c r="I286" s="29" t="inlineStr">
        <is>
          <t>포괄손익계산서</t>
        </is>
      </c>
      <c r="J286" s="29" t="inlineStr">
        <is>
          <t>dart_OtherComprehensiveIncomeThatWillBeReclassifiedToProfitOrLossBeforeTax</t>
        </is>
      </c>
      <c r="K286" s="29" t="inlineStr">
        <is>
          <t>후속기간에당기손익으로재분류되는항목</t>
        </is>
      </c>
      <c r="L286" s="29" t="inlineStr">
        <is>
          <t>-</t>
        </is>
      </c>
      <c r="M286" s="29" t="inlineStr">
        <is>
          <t>제 43 기</t>
        </is>
      </c>
      <c r="N286" s="29" t="inlineStr">
        <is>
          <t>634913025.0</t>
        </is>
      </c>
      <c r="O286" s="29" t="inlineStr">
        <is>
          <t>290727702.0</t>
        </is>
      </c>
      <c r="P286" s="29" t="inlineStr">
        <is>
          <t>KRW</t>
        </is>
      </c>
      <c r="Q286" s="29" t="inlineStr">
        <is>
          <t>21</t>
        </is>
      </c>
    </row>
    <row r="287" ht="24" customHeight="1">
      <c r="A287" s="24" t="inlineStr">
        <is>
          <t>OpenDART_fnlttSinglAcntAll</t>
        </is>
      </c>
      <c r="B287" s="24" t="inlineStr">
        <is>
          <t>00161383</t>
        </is>
      </c>
      <c r="C287" s="24" t="inlineStr">
        <is>
          <t>한미반도체</t>
        </is>
      </c>
      <c r="D287" s="24" t="inlineStr">
        <is>
          <t>hanmi</t>
        </is>
      </c>
      <c r="E287" s="24" t="inlineStr">
        <is>
          <t>042700</t>
        </is>
      </c>
      <c r="F287" s="24" t="inlineStr">
        <is>
          <t>2022</t>
        </is>
      </c>
      <c r="G287" s="24" t="inlineStr">
        <is>
          <t>CFS</t>
        </is>
      </c>
      <c r="H287" s="24" t="inlineStr">
        <is>
          <t>CIS</t>
        </is>
      </c>
      <c r="I287" s="24" t="inlineStr">
        <is>
          <t>포괄손익계산서</t>
        </is>
      </c>
      <c r="J287" s="24" t="inlineStr">
        <is>
          <t>dart_ShareOfOtherComprehensiveIncomeOfAssociatesAndJointVenturesAccountedForUsingEquityMethodThatWillBeReclassifiedToProfitOrLossBeforeTax</t>
        </is>
      </c>
      <c r="K287" s="24" t="inlineStr">
        <is>
          <t>지분법 자본변동</t>
        </is>
      </c>
      <c r="L287" s="24" t="inlineStr">
        <is>
          <t>-</t>
        </is>
      </c>
      <c r="M287" s="24" t="inlineStr">
        <is>
          <t>제 43 기</t>
        </is>
      </c>
      <c r="N287" s="24" t="inlineStr">
        <is>
          <t>893153470.0</t>
        </is>
      </c>
      <c r="O287" s="24" t="inlineStr">
        <is>
          <t>-30685622.0</t>
        </is>
      </c>
      <c r="P287" s="24" t="inlineStr">
        <is>
          <t>KRW</t>
        </is>
      </c>
      <c r="Q287" s="24" t="inlineStr">
        <is>
          <t>22</t>
        </is>
      </c>
    </row>
    <row r="288" ht="24" customHeight="1">
      <c r="A288" s="29" t="inlineStr">
        <is>
          <t>OpenDART_fnlttSinglAcntAll</t>
        </is>
      </c>
      <c r="B288" s="29" t="inlineStr">
        <is>
          <t>00161383</t>
        </is>
      </c>
      <c r="C288" s="29" t="inlineStr">
        <is>
          <t>한미반도체</t>
        </is>
      </c>
      <c r="D288" s="29" t="inlineStr">
        <is>
          <t>hanmi</t>
        </is>
      </c>
      <c r="E288" s="29" t="inlineStr">
        <is>
          <t>042700</t>
        </is>
      </c>
      <c r="F288" s="29" t="inlineStr">
        <is>
          <t>2022</t>
        </is>
      </c>
      <c r="G288" s="29" t="inlineStr">
        <is>
          <t>CFS</t>
        </is>
      </c>
      <c r="H288" s="29" t="inlineStr">
        <is>
          <t>CIS</t>
        </is>
      </c>
      <c r="I288" s="29" t="inlineStr">
        <is>
          <t>포괄손익계산서</t>
        </is>
      </c>
      <c r="J288" s="29" t="inlineStr">
        <is>
          <t>ifrs-full_GainsLossesOnExchangeDifferencesOnTranslationBeforeTax</t>
        </is>
      </c>
      <c r="K288" s="29" t="inlineStr">
        <is>
          <t>해외사업환산손익</t>
        </is>
      </c>
      <c r="L288" s="29" t="inlineStr">
        <is>
          <t>-</t>
        </is>
      </c>
      <c r="M288" s="29" t="inlineStr">
        <is>
          <t>제 43 기</t>
        </is>
      </c>
      <c r="N288" s="29" t="inlineStr">
        <is>
          <t>-258240445.0</t>
        </is>
      </c>
      <c r="O288" s="29" t="inlineStr">
        <is>
          <t>321413324.0</t>
        </is>
      </c>
      <c r="P288" s="29" t="inlineStr">
        <is>
          <t>KRW</t>
        </is>
      </c>
      <c r="Q288" s="29" t="inlineStr">
        <is>
          <t>23</t>
        </is>
      </c>
    </row>
    <row r="289" ht="24" customHeight="1">
      <c r="A289" s="24" t="inlineStr">
        <is>
          <t>OpenDART_fnlttSinglAcntAll</t>
        </is>
      </c>
      <c r="B289" s="24" t="inlineStr">
        <is>
          <t>00161383</t>
        </is>
      </c>
      <c r="C289" s="24" t="inlineStr">
        <is>
          <t>한미반도체</t>
        </is>
      </c>
      <c r="D289" s="24" t="inlineStr">
        <is>
          <t>hanmi</t>
        </is>
      </c>
      <c r="E289" s="24" t="inlineStr">
        <is>
          <t>042700</t>
        </is>
      </c>
      <c r="F289" s="24" t="inlineStr">
        <is>
          <t>2022</t>
        </is>
      </c>
      <c r="G289" s="24" t="inlineStr">
        <is>
          <t>CFS</t>
        </is>
      </c>
      <c r="H289" s="24" t="inlineStr">
        <is>
          <t>CIS</t>
        </is>
      </c>
      <c r="I289" s="24" t="inlineStr">
        <is>
          <t>포괄손익계산서</t>
        </is>
      </c>
      <c r="J289" s="24" t="inlineStr">
        <is>
          <t>ifrs-full_ComprehensiveIncome</t>
        </is>
      </c>
      <c r="K289" s="24" t="inlineStr">
        <is>
          <t>총포괄이익</t>
        </is>
      </c>
      <c r="L289" s="24" t="inlineStr">
        <is>
          <t>-</t>
        </is>
      </c>
      <c r="M289" s="24" t="inlineStr">
        <is>
          <t>제 43 기</t>
        </is>
      </c>
      <c r="N289" s="24" t="inlineStr">
        <is>
          <t>92956446209.0</t>
        </is>
      </c>
      <c r="O289" s="24" t="inlineStr">
        <is>
          <t>103860432041.0</t>
        </is>
      </c>
      <c r="P289" s="24" t="inlineStr">
        <is>
          <t>KRW</t>
        </is>
      </c>
      <c r="Q289" s="24" t="inlineStr">
        <is>
          <t>24</t>
        </is>
      </c>
    </row>
    <row r="290" ht="24" customHeight="1">
      <c r="A290" s="29" t="inlineStr">
        <is>
          <t>OpenDART_fnlttSinglAcntAll</t>
        </is>
      </c>
      <c r="B290" s="29" t="inlineStr">
        <is>
          <t>00161383</t>
        </is>
      </c>
      <c r="C290" s="29" t="inlineStr">
        <is>
          <t>한미반도체</t>
        </is>
      </c>
      <c r="D290" s="29" t="inlineStr">
        <is>
          <t>hanmi</t>
        </is>
      </c>
      <c r="E290" s="29" t="inlineStr">
        <is>
          <t>042700</t>
        </is>
      </c>
      <c r="F290" s="29" t="inlineStr">
        <is>
          <t>2022</t>
        </is>
      </c>
      <c r="G290" s="29" t="inlineStr">
        <is>
          <t>CFS</t>
        </is>
      </c>
      <c r="H290" s="29" t="inlineStr">
        <is>
          <t>CIS</t>
        </is>
      </c>
      <c r="I290" s="29" t="inlineStr">
        <is>
          <t>포괄손익계산서</t>
        </is>
      </c>
      <c r="J290" s="29" t="inlineStr">
        <is>
          <t>ifrs-full_ComprehensiveIncomeAttributableToOwnersOfParent</t>
        </is>
      </c>
      <c r="K290" s="29" t="inlineStr">
        <is>
          <t>지배기업지분포괄이익</t>
        </is>
      </c>
      <c r="L290" s="29" t="inlineStr">
        <is>
          <t>-</t>
        </is>
      </c>
      <c r="M290" s="29" t="inlineStr">
        <is>
          <t>제 43 기</t>
        </is>
      </c>
      <c r="N290" s="29" t="inlineStr">
        <is>
          <t>92956446209.0</t>
        </is>
      </c>
      <c r="O290" s="29" t="inlineStr">
        <is>
          <t>103860432041.0</t>
        </is>
      </c>
      <c r="P290" s="29" t="inlineStr">
        <is>
          <t>KRW</t>
        </is>
      </c>
      <c r="Q290" s="29" t="inlineStr">
        <is>
          <t>26</t>
        </is>
      </c>
    </row>
    <row r="291" ht="24" customHeight="1">
      <c r="A291" s="24" t="inlineStr">
        <is>
          <t>OpenDART_fnlttSinglAcntAll</t>
        </is>
      </c>
      <c r="B291" s="24" t="inlineStr">
        <is>
          <t>00161383</t>
        </is>
      </c>
      <c r="C291" s="24" t="inlineStr">
        <is>
          <t>한미반도체</t>
        </is>
      </c>
      <c r="D291" s="24" t="inlineStr">
        <is>
          <t>hanmi</t>
        </is>
      </c>
      <c r="E291" s="24" t="inlineStr">
        <is>
          <t>042700</t>
        </is>
      </c>
      <c r="F291" s="24" t="inlineStr">
        <is>
          <t>2022</t>
        </is>
      </c>
      <c r="G291" s="24" t="inlineStr">
        <is>
          <t>CFS</t>
        </is>
      </c>
      <c r="H291" s="24" t="inlineStr">
        <is>
          <t>CIS</t>
        </is>
      </c>
      <c r="I291" s="24" t="inlineStr">
        <is>
          <t>포괄손익계산서</t>
        </is>
      </c>
      <c r="J291" s="24" t="inlineStr">
        <is>
          <t>ifrs-full_ComprehensiveIncomeAttributableToNoncontrollingInterests</t>
        </is>
      </c>
      <c r="K291" s="24" t="inlineStr">
        <is>
          <t>비지배지분포괄이익</t>
        </is>
      </c>
      <c r="L291" s="24" t="inlineStr">
        <is>
          <t>-</t>
        </is>
      </c>
      <c r="M291" s="24" t="inlineStr">
        <is>
          <t>제 43 기</t>
        </is>
      </c>
      <c r="N291" s="24" t="inlineStr">
        <is>
          <t>0.0</t>
        </is>
      </c>
      <c r="O291" s="24" t="inlineStr">
        <is>
          <t>0.0</t>
        </is>
      </c>
      <c r="P291" s="24" t="inlineStr">
        <is>
          <t>KRW</t>
        </is>
      </c>
      <c r="Q291" s="24" t="inlineStr">
        <is>
          <t>27</t>
        </is>
      </c>
    </row>
    <row r="292" ht="24" customHeight="1">
      <c r="A292" s="29" t="inlineStr">
        <is>
          <t>OpenDART_fnlttSinglAcntAll</t>
        </is>
      </c>
      <c r="B292" s="29" t="inlineStr">
        <is>
          <t>00161383</t>
        </is>
      </c>
      <c r="C292" s="29" t="inlineStr">
        <is>
          <t>한미반도체</t>
        </is>
      </c>
      <c r="D292" s="29" t="inlineStr">
        <is>
          <t>hanmi</t>
        </is>
      </c>
      <c r="E292" s="29" t="inlineStr">
        <is>
          <t>042700</t>
        </is>
      </c>
      <c r="F292" s="29" t="inlineStr">
        <is>
          <t>2022</t>
        </is>
      </c>
      <c r="G292" s="29" t="inlineStr">
        <is>
          <t>CFS</t>
        </is>
      </c>
      <c r="H292" s="29" t="inlineStr">
        <is>
          <t>CIS</t>
        </is>
      </c>
      <c r="I292" s="29" t="inlineStr">
        <is>
          <t>포괄손익계산서</t>
        </is>
      </c>
      <c r="J292" s="29" t="inlineStr">
        <is>
          <t>ifrs-full_BasicEarningsLossPerShare</t>
        </is>
      </c>
      <c r="K292" s="29" t="inlineStr">
        <is>
          <t>기본주당이익</t>
        </is>
      </c>
      <c r="L292" s="29" t="inlineStr">
        <is>
          <t>-</t>
        </is>
      </c>
      <c r="M292" s="29" t="inlineStr">
        <is>
          <t>제 43 기</t>
        </is>
      </c>
      <c r="N292" s="29" t="inlineStr">
        <is>
          <t>939.0</t>
        </is>
      </c>
      <c r="O292" s="29" t="inlineStr">
        <is>
          <t>1057.0</t>
        </is>
      </c>
      <c r="P292" s="29" t="inlineStr">
        <is>
          <t>KRW</t>
        </is>
      </c>
      <c r="Q292" s="29" t="inlineStr">
        <is>
          <t>29</t>
        </is>
      </c>
    </row>
    <row r="293" ht="24" customHeight="1">
      <c r="A293" s="24" t="inlineStr">
        <is>
          <t>OpenDART_fnlttSinglAcntAll</t>
        </is>
      </c>
      <c r="B293" s="24" t="inlineStr">
        <is>
          <t>00161383</t>
        </is>
      </c>
      <c r="C293" s="24" t="inlineStr">
        <is>
          <t>한미반도체</t>
        </is>
      </c>
      <c r="D293" s="24" t="inlineStr">
        <is>
          <t>hanmi</t>
        </is>
      </c>
      <c r="E293" s="24" t="inlineStr">
        <is>
          <t>042700</t>
        </is>
      </c>
      <c r="F293" s="24" t="inlineStr">
        <is>
          <t>2022</t>
        </is>
      </c>
      <c r="G293" s="24" t="inlineStr">
        <is>
          <t>CFS</t>
        </is>
      </c>
      <c r="H293" s="24" t="inlineStr">
        <is>
          <t>CIS</t>
        </is>
      </c>
      <c r="I293" s="24" t="inlineStr">
        <is>
          <t>포괄손익계산서</t>
        </is>
      </c>
      <c r="J293" s="24" t="inlineStr">
        <is>
          <t>ifrs-full_DilutedEarningsLossPerShare</t>
        </is>
      </c>
      <c r="K293" s="24" t="inlineStr">
        <is>
          <t>희석주당이익</t>
        </is>
      </c>
      <c r="L293" s="24" t="inlineStr">
        <is>
          <t>-</t>
        </is>
      </c>
      <c r="M293" s="24" t="inlineStr">
        <is>
          <t>제 43 기</t>
        </is>
      </c>
      <c r="N293" s="24" t="inlineStr">
        <is>
          <t>939.0</t>
        </is>
      </c>
      <c r="O293" s="24" t="inlineStr">
        <is>
          <t>1057.0</t>
        </is>
      </c>
      <c r="P293" s="24" t="inlineStr">
        <is>
          <t>KRW</t>
        </is>
      </c>
      <c r="Q293" s="24" t="inlineStr">
        <is>
          <t>30</t>
        </is>
      </c>
    </row>
    <row r="294" ht="24" customHeight="1">
      <c r="A294" s="29" t="inlineStr">
        <is>
          <t>OpenDART_fnlttSinglAcntAll</t>
        </is>
      </c>
      <c r="B294" s="29" t="inlineStr">
        <is>
          <t>00161383</t>
        </is>
      </c>
      <c r="C294" s="29" t="inlineStr">
        <is>
          <t>한미반도체</t>
        </is>
      </c>
      <c r="D294" s="29" t="inlineStr">
        <is>
          <t>hanmi</t>
        </is>
      </c>
      <c r="E294" s="29" t="inlineStr">
        <is>
          <t>042700</t>
        </is>
      </c>
      <c r="F294" s="29" t="inlineStr">
        <is>
          <t>2022</t>
        </is>
      </c>
      <c r="G294" s="29" t="inlineStr">
        <is>
          <t>CFS</t>
        </is>
      </c>
      <c r="H294" s="29" t="inlineStr">
        <is>
          <t>CF</t>
        </is>
      </c>
      <c r="I294" s="29" t="inlineStr">
        <is>
          <t>현금흐름표</t>
        </is>
      </c>
      <c r="J294" s="29" t="inlineStr">
        <is>
          <t>ifrs-full_CashFlowsFromUsedInOperatingActivities</t>
        </is>
      </c>
      <c r="K294" s="29" t="inlineStr">
        <is>
          <t>영업활동현금흐름</t>
        </is>
      </c>
      <c r="L294" s="29" t="inlineStr">
        <is>
          <t>-</t>
        </is>
      </c>
      <c r="M294" s="29" t="inlineStr">
        <is>
          <t>제 43 기</t>
        </is>
      </c>
      <c r="N294" s="29" t="inlineStr">
        <is>
          <t>109501808221.0</t>
        </is>
      </c>
      <c r="O294" s="29" t="inlineStr">
        <is>
          <t>52279090690.0</t>
        </is>
      </c>
      <c r="P294" s="29" t="inlineStr">
        <is>
          <t>KRW</t>
        </is>
      </c>
      <c r="Q294" s="29" t="inlineStr">
        <is>
          <t>0</t>
        </is>
      </c>
    </row>
    <row r="295" ht="24" customHeight="1">
      <c r="A295" s="24" t="inlineStr">
        <is>
          <t>OpenDART_fnlttSinglAcntAll</t>
        </is>
      </c>
      <c r="B295" s="24" t="inlineStr">
        <is>
          <t>00161383</t>
        </is>
      </c>
      <c r="C295" s="24" t="inlineStr">
        <is>
          <t>한미반도체</t>
        </is>
      </c>
      <c r="D295" s="24" t="inlineStr">
        <is>
          <t>hanmi</t>
        </is>
      </c>
      <c r="E295" s="24" t="inlineStr">
        <is>
          <t>042700</t>
        </is>
      </c>
      <c r="F295" s="24" t="inlineStr">
        <is>
          <t>2022</t>
        </is>
      </c>
      <c r="G295" s="24" t="inlineStr">
        <is>
          <t>CFS</t>
        </is>
      </c>
      <c r="H295" s="24" t="inlineStr">
        <is>
          <t>CF</t>
        </is>
      </c>
      <c r="I295" s="24" t="inlineStr">
        <is>
          <t>현금흐름표</t>
        </is>
      </c>
      <c r="J295" s="24" t="inlineStr">
        <is>
          <t>ifrs-full_AdjustmentsForReconcileProfitLoss</t>
        </is>
      </c>
      <c r="K295" s="24" t="inlineStr">
        <is>
          <t>조정</t>
        </is>
      </c>
      <c r="L295" s="24" t="inlineStr">
        <is>
          <t>-</t>
        </is>
      </c>
      <c r="M295" s="24" t="inlineStr">
        <is>
          <t>제 43 기</t>
        </is>
      </c>
      <c r="N295" s="24" t="inlineStr">
        <is>
          <t>63123198882.0</t>
        </is>
      </c>
      <c r="O295" s="24" t="inlineStr">
        <is>
          <t>41220740302.0</t>
        </is>
      </c>
      <c r="P295" s="24" t="inlineStr">
        <is>
          <t>KRW</t>
        </is>
      </c>
      <c r="Q295" s="24" t="inlineStr">
        <is>
          <t>1</t>
        </is>
      </c>
    </row>
    <row r="296" ht="24" customHeight="1">
      <c r="A296" s="29" t="inlineStr">
        <is>
          <t>OpenDART_fnlttSinglAcntAll</t>
        </is>
      </c>
      <c r="B296" s="29" t="inlineStr">
        <is>
          <t>00161383</t>
        </is>
      </c>
      <c r="C296" s="29" t="inlineStr">
        <is>
          <t>한미반도체</t>
        </is>
      </c>
      <c r="D296" s="29" t="inlineStr">
        <is>
          <t>hanmi</t>
        </is>
      </c>
      <c r="E296" s="29" t="inlineStr">
        <is>
          <t>042700</t>
        </is>
      </c>
      <c r="F296" s="29" t="inlineStr">
        <is>
          <t>2022</t>
        </is>
      </c>
      <c r="G296" s="29" t="inlineStr">
        <is>
          <t>CFS</t>
        </is>
      </c>
      <c r="H296" s="29" t="inlineStr">
        <is>
          <t>CF</t>
        </is>
      </c>
      <c r="I296" s="29" t="inlineStr">
        <is>
          <t>현금흐름표</t>
        </is>
      </c>
      <c r="J296" s="29" t="inlineStr">
        <is>
          <t>dart_AdjustmentsForWritedownsOfInventories</t>
        </is>
      </c>
      <c r="K296" s="29" t="inlineStr">
        <is>
          <t>재고자산평가손실</t>
        </is>
      </c>
      <c r="L296" s="29" t="inlineStr">
        <is>
          <t>-</t>
        </is>
      </c>
      <c r="M296" s="29" t="inlineStr">
        <is>
          <t>제 43 기</t>
        </is>
      </c>
      <c r="N296" s="29" t="inlineStr">
        <is>
          <t>5085220261.0</t>
        </is>
      </c>
      <c r="O296" s="29" t="inlineStr">
        <is>
          <t>1230680078.0</t>
        </is>
      </c>
      <c r="P296" s="29" t="inlineStr">
        <is>
          <t>KRW</t>
        </is>
      </c>
      <c r="Q296" s="29" t="inlineStr">
        <is>
          <t>2</t>
        </is>
      </c>
    </row>
    <row r="297" ht="24" customHeight="1">
      <c r="A297" s="24" t="inlineStr">
        <is>
          <t>OpenDART_fnlttSinglAcntAll</t>
        </is>
      </c>
      <c r="B297" s="24" t="inlineStr">
        <is>
          <t>00161383</t>
        </is>
      </c>
      <c r="C297" s="24" t="inlineStr">
        <is>
          <t>한미반도체</t>
        </is>
      </c>
      <c r="D297" s="24" t="inlineStr">
        <is>
          <t>hanmi</t>
        </is>
      </c>
      <c r="E297" s="24" t="inlineStr">
        <is>
          <t>042700</t>
        </is>
      </c>
      <c r="F297" s="24" t="inlineStr">
        <is>
          <t>2022</t>
        </is>
      </c>
      <c r="G297" s="24" t="inlineStr">
        <is>
          <t>CFS</t>
        </is>
      </c>
      <c r="H297" s="24" t="inlineStr">
        <is>
          <t>CF</t>
        </is>
      </c>
      <c r="I297" s="24" t="inlineStr">
        <is>
          <t>현금흐름표</t>
        </is>
      </c>
      <c r="J297" s="24" t="inlineStr">
        <is>
          <t>dart_AdjustmentsForProvisionForSeveranceIndemnities</t>
        </is>
      </c>
      <c r="K297" s="24" t="inlineStr">
        <is>
          <t>퇴직급여</t>
        </is>
      </c>
      <c r="L297" s="24" t="inlineStr">
        <is>
          <t>-</t>
        </is>
      </c>
      <c r="M297" s="24" t="inlineStr">
        <is>
          <t>제 43 기</t>
        </is>
      </c>
      <c r="N297" s="24" t="inlineStr">
        <is>
          <t>2219766960.0</t>
        </is>
      </c>
      <c r="O297" s="24" t="inlineStr">
        <is>
          <t>1855379796.0</t>
        </is>
      </c>
      <c r="P297" s="24" t="inlineStr">
        <is>
          <t>KRW</t>
        </is>
      </c>
      <c r="Q297" s="24" t="inlineStr">
        <is>
          <t>3</t>
        </is>
      </c>
    </row>
    <row r="298" ht="24" customHeight="1">
      <c r="A298" s="29" t="inlineStr">
        <is>
          <t>OpenDART_fnlttSinglAcntAll</t>
        </is>
      </c>
      <c r="B298" s="29" t="inlineStr">
        <is>
          <t>00161383</t>
        </is>
      </c>
      <c r="C298" s="29" t="inlineStr">
        <is>
          <t>한미반도체</t>
        </is>
      </c>
      <c r="D298" s="29" t="inlineStr">
        <is>
          <t>hanmi</t>
        </is>
      </c>
      <c r="E298" s="29" t="inlineStr">
        <is>
          <t>042700</t>
        </is>
      </c>
      <c r="F298" s="29" t="inlineStr">
        <is>
          <t>2022</t>
        </is>
      </c>
      <c r="G298" s="29" t="inlineStr">
        <is>
          <t>CFS</t>
        </is>
      </c>
      <c r="H298" s="29" t="inlineStr">
        <is>
          <t>CF</t>
        </is>
      </c>
      <c r="I298" s="29" t="inlineStr">
        <is>
          <t>현금흐름표</t>
        </is>
      </c>
      <c r="J298" s="29" t="inlineStr">
        <is>
          <t>dart_AdjustmentsForDepreciationExpense</t>
        </is>
      </c>
      <c r="K298" s="29" t="inlineStr">
        <is>
          <t>감가상각비</t>
        </is>
      </c>
      <c r="L298" s="29" t="inlineStr">
        <is>
          <t>-</t>
        </is>
      </c>
      <c r="M298" s="29" t="inlineStr">
        <is>
          <t>제 43 기</t>
        </is>
      </c>
      <c r="N298" s="29" t="inlineStr">
        <is>
          <t>8391371700.0</t>
        </is>
      </c>
      <c r="O298" s="29" t="inlineStr">
        <is>
          <t>6101121932.0</t>
        </is>
      </c>
      <c r="P298" s="29" t="inlineStr">
        <is>
          <t>KRW</t>
        </is>
      </c>
      <c r="Q298" s="29" t="inlineStr">
        <is>
          <t>4</t>
        </is>
      </c>
    </row>
    <row r="299" ht="24" customHeight="1">
      <c r="A299" s="24" t="inlineStr">
        <is>
          <t>OpenDART_fnlttSinglAcntAll</t>
        </is>
      </c>
      <c r="B299" s="24" t="inlineStr">
        <is>
          <t>00161383</t>
        </is>
      </c>
      <c r="C299" s="24" t="inlineStr">
        <is>
          <t>한미반도체</t>
        </is>
      </c>
      <c r="D299" s="24" t="inlineStr">
        <is>
          <t>hanmi</t>
        </is>
      </c>
      <c r="E299" s="24" t="inlineStr">
        <is>
          <t>042700</t>
        </is>
      </c>
      <c r="F299" s="24" t="inlineStr">
        <is>
          <t>2022</t>
        </is>
      </c>
      <c r="G299" s="24" t="inlineStr">
        <is>
          <t>CFS</t>
        </is>
      </c>
      <c r="H299" s="24" t="inlineStr">
        <is>
          <t>CF</t>
        </is>
      </c>
      <c r="I299" s="24" t="inlineStr">
        <is>
          <t>현금흐름표</t>
        </is>
      </c>
      <c r="J299" s="24" t="inlineStr">
        <is>
          <t>dart_AdjustmentsForBadDebtExpenses</t>
        </is>
      </c>
      <c r="K299" s="24" t="inlineStr">
        <is>
          <t>대손상각비(환입)</t>
        </is>
      </c>
      <c r="L299" s="24" t="inlineStr">
        <is>
          <t>-</t>
        </is>
      </c>
      <c r="M299" s="24" t="inlineStr">
        <is>
          <t>제 43 기</t>
        </is>
      </c>
      <c r="N299" s="24" t="inlineStr">
        <is>
          <t>14286657306.0</t>
        </is>
      </c>
      <c r="O299" s="24" t="inlineStr">
        <is>
          <t>2299386729.0</t>
        </is>
      </c>
      <c r="P299" s="24" t="inlineStr">
        <is>
          <t>KRW</t>
        </is>
      </c>
      <c r="Q299" s="24" t="inlineStr">
        <is>
          <t>5</t>
        </is>
      </c>
    </row>
    <row r="300" ht="24" customHeight="1">
      <c r="A300" s="29" t="inlineStr">
        <is>
          <t>OpenDART_fnlttSinglAcntAll</t>
        </is>
      </c>
      <c r="B300" s="29" t="inlineStr">
        <is>
          <t>00161383</t>
        </is>
      </c>
      <c r="C300" s="29" t="inlineStr">
        <is>
          <t>한미반도체</t>
        </is>
      </c>
      <c r="D300" s="29" t="inlineStr">
        <is>
          <t>hanmi</t>
        </is>
      </c>
      <c r="E300" s="29" t="inlineStr">
        <is>
          <t>042700</t>
        </is>
      </c>
      <c r="F300" s="29" t="inlineStr">
        <is>
          <t>2022</t>
        </is>
      </c>
      <c r="G300" s="29" t="inlineStr">
        <is>
          <t>CFS</t>
        </is>
      </c>
      <c r="H300" s="29" t="inlineStr">
        <is>
          <t>CF</t>
        </is>
      </c>
      <c r="I300" s="29" t="inlineStr">
        <is>
          <t>현금흐름표</t>
        </is>
      </c>
      <c r="J300" s="29" t="inlineStr">
        <is>
          <t>dart_AdjustmentsForAmortisationExpense</t>
        </is>
      </c>
      <c r="K300" s="29" t="inlineStr">
        <is>
          <t>무형자산상각비</t>
        </is>
      </c>
      <c r="L300" s="29" t="inlineStr">
        <is>
          <t>-</t>
        </is>
      </c>
      <c r="M300" s="29" t="inlineStr">
        <is>
          <t>제 43 기</t>
        </is>
      </c>
      <c r="N300" s="29" t="inlineStr">
        <is>
          <t>361252471.0</t>
        </is>
      </c>
      <c r="O300" s="29" t="inlineStr">
        <is>
          <t>372075224.0</t>
        </is>
      </c>
      <c r="P300" s="29" t="inlineStr">
        <is>
          <t>KRW</t>
        </is>
      </c>
      <c r="Q300" s="29" t="inlineStr">
        <is>
          <t>6</t>
        </is>
      </c>
    </row>
    <row r="301" ht="24" customHeight="1">
      <c r="A301" s="24" t="inlineStr">
        <is>
          <t>OpenDART_fnlttSinglAcntAll</t>
        </is>
      </c>
      <c r="B301" s="24" t="inlineStr">
        <is>
          <t>00161383</t>
        </is>
      </c>
      <c r="C301" s="24" t="inlineStr">
        <is>
          <t>한미반도체</t>
        </is>
      </c>
      <c r="D301" s="24" t="inlineStr">
        <is>
          <t>hanmi</t>
        </is>
      </c>
      <c r="E301" s="24" t="inlineStr">
        <is>
          <t>042700</t>
        </is>
      </c>
      <c r="F301" s="24" t="inlineStr">
        <is>
          <t>2022</t>
        </is>
      </c>
      <c r="G301" s="24" t="inlineStr">
        <is>
          <t>CFS</t>
        </is>
      </c>
      <c r="H301" s="24" t="inlineStr">
        <is>
          <t>CF</t>
        </is>
      </c>
      <c r="I301" s="24" t="inlineStr">
        <is>
          <t>현금흐름표</t>
        </is>
      </c>
      <c r="J301" s="24" t="inlineStr">
        <is>
          <t>dart_AdjustmentsForGainsOnDisposalsOfInvestmentProperty</t>
        </is>
      </c>
      <c r="K301" s="24" t="inlineStr">
        <is>
          <t>투자부동산처분이익</t>
        </is>
      </c>
      <c r="L301" s="24" t="inlineStr">
        <is>
          <t>-</t>
        </is>
      </c>
      <c r="M301" s="24" t="inlineStr">
        <is>
          <t>제 43 기</t>
        </is>
      </c>
      <c r="N301" s="24" t="inlineStr">
        <is>
          <t>0.0</t>
        </is>
      </c>
      <c r="O301" s="24" t="inlineStr">
        <is>
          <t>0.0</t>
        </is>
      </c>
      <c r="P301" s="24" t="inlineStr">
        <is>
          <t>KRW</t>
        </is>
      </c>
      <c r="Q301" s="24" t="inlineStr">
        <is>
          <t>7</t>
        </is>
      </c>
    </row>
    <row r="302" ht="24" customHeight="1">
      <c r="A302" s="29" t="inlineStr">
        <is>
          <t>OpenDART_fnlttSinglAcntAll</t>
        </is>
      </c>
      <c r="B302" s="29" t="inlineStr">
        <is>
          <t>00161383</t>
        </is>
      </c>
      <c r="C302" s="29" t="inlineStr">
        <is>
          <t>한미반도체</t>
        </is>
      </c>
      <c r="D302" s="29" t="inlineStr">
        <is>
          <t>hanmi</t>
        </is>
      </c>
      <c r="E302" s="29" t="inlineStr">
        <is>
          <t>042700</t>
        </is>
      </c>
      <c r="F302" s="29" t="inlineStr">
        <is>
          <t>2022</t>
        </is>
      </c>
      <c r="G302" s="29" t="inlineStr">
        <is>
          <t>CFS</t>
        </is>
      </c>
      <c r="H302" s="29" t="inlineStr">
        <is>
          <t>CF</t>
        </is>
      </c>
      <c r="I302" s="29" t="inlineStr">
        <is>
          <t>현금흐름표</t>
        </is>
      </c>
      <c r="J302" s="29" t="inlineStr">
        <is>
          <t>dart_AdjustmentsForGainOnDispositionOfTangibleAssets</t>
        </is>
      </c>
      <c r="K302" s="29" t="inlineStr">
        <is>
          <t>유형자산처분이익</t>
        </is>
      </c>
      <c r="L302" s="29" t="inlineStr">
        <is>
          <t>-</t>
        </is>
      </c>
      <c r="M302" s="29" t="inlineStr">
        <is>
          <t>제 43 기</t>
        </is>
      </c>
      <c r="N302" s="29" t="inlineStr">
        <is>
          <t>84740491.0</t>
        </is>
      </c>
      <c r="O302" s="29" t="inlineStr">
        <is>
          <t>191067090.0</t>
        </is>
      </c>
      <c r="P302" s="29" t="inlineStr">
        <is>
          <t>KRW</t>
        </is>
      </c>
      <c r="Q302" s="29" t="inlineStr">
        <is>
          <t>8</t>
        </is>
      </c>
    </row>
    <row r="303" ht="24" customHeight="1">
      <c r="A303" s="24" t="inlineStr">
        <is>
          <t>OpenDART_fnlttSinglAcntAll</t>
        </is>
      </c>
      <c r="B303" s="24" t="inlineStr">
        <is>
          <t>00161383</t>
        </is>
      </c>
      <c r="C303" s="24" t="inlineStr">
        <is>
          <t>한미반도체</t>
        </is>
      </c>
      <c r="D303" s="24" t="inlineStr">
        <is>
          <t>hanmi</t>
        </is>
      </c>
      <c r="E303" s="24" t="inlineStr">
        <is>
          <t>042700</t>
        </is>
      </c>
      <c r="F303" s="24" t="inlineStr">
        <is>
          <t>2022</t>
        </is>
      </c>
      <c r="G303" s="24" t="inlineStr">
        <is>
          <t>CFS</t>
        </is>
      </c>
      <c r="H303" s="24" t="inlineStr">
        <is>
          <t>CF</t>
        </is>
      </c>
      <c r="I303" s="24" t="inlineStr">
        <is>
          <t>현금흐름표</t>
        </is>
      </c>
      <c r="J303" s="24" t="inlineStr">
        <is>
          <t>dart_AdjustmentsForLossesOnDispositionOfPropertyPlantAndEquipment</t>
        </is>
      </c>
      <c r="K303" s="24" t="inlineStr">
        <is>
          <t>유형자산처분손실</t>
        </is>
      </c>
      <c r="L303" s="24" t="inlineStr">
        <is>
          <t>-</t>
        </is>
      </c>
      <c r="M303" s="24" t="inlineStr">
        <is>
          <t>제 43 기</t>
        </is>
      </c>
      <c r="N303" s="24" t="inlineStr">
        <is>
          <t>147782085.0</t>
        </is>
      </c>
      <c r="O303" s="24" t="inlineStr">
        <is>
          <t>8300006.0</t>
        </is>
      </c>
      <c r="P303" s="24" t="inlineStr">
        <is>
          <t>KRW</t>
        </is>
      </c>
      <c r="Q303" s="24" t="inlineStr">
        <is>
          <t>9</t>
        </is>
      </c>
    </row>
    <row r="304" ht="24" customHeight="1">
      <c r="A304" s="29" t="inlineStr">
        <is>
          <t>OpenDART_fnlttSinglAcntAll</t>
        </is>
      </c>
      <c r="B304" s="29" t="inlineStr">
        <is>
          <t>00161383</t>
        </is>
      </c>
      <c r="C304" s="29" t="inlineStr">
        <is>
          <t>한미반도체</t>
        </is>
      </c>
      <c r="D304" s="29" t="inlineStr">
        <is>
          <t>hanmi</t>
        </is>
      </c>
      <c r="E304" s="29" t="inlineStr">
        <is>
          <t>042700</t>
        </is>
      </c>
      <c r="F304" s="29" t="inlineStr">
        <is>
          <t>2022</t>
        </is>
      </c>
      <c r="G304" s="29" t="inlineStr">
        <is>
          <t>CFS</t>
        </is>
      </c>
      <c r="H304" s="29" t="inlineStr">
        <is>
          <t>CF</t>
        </is>
      </c>
      <c r="I304" s="29" t="inlineStr">
        <is>
          <t>현금흐름표</t>
        </is>
      </c>
      <c r="J304" s="29" t="inlineStr">
        <is>
          <t>dart_AdjustmentsForLossesOnDisposalsOfIntangibleAssets</t>
        </is>
      </c>
      <c r="K304" s="29" t="inlineStr">
        <is>
          <t>무형자산처분손실</t>
        </is>
      </c>
      <c r="L304" s="29" t="inlineStr">
        <is>
          <t>-</t>
        </is>
      </c>
      <c r="M304" s="29" t="inlineStr">
        <is>
          <t>제 43 기</t>
        </is>
      </c>
      <c r="N304" s="29" t="inlineStr">
        <is>
          <t>1661500.0</t>
        </is>
      </c>
      <c r="O304" s="29" t="inlineStr">
        <is>
          <t>5999.0</t>
        </is>
      </c>
      <c r="P304" s="29" t="inlineStr">
        <is>
          <t>KRW</t>
        </is>
      </c>
      <c r="Q304" s="29" t="inlineStr">
        <is>
          <t>10</t>
        </is>
      </c>
    </row>
    <row r="305" ht="24" customHeight="1">
      <c r="A305" s="24" t="inlineStr">
        <is>
          <t>OpenDART_fnlttSinglAcntAll</t>
        </is>
      </c>
      <c r="B305" s="24" t="inlineStr">
        <is>
          <t>00161383</t>
        </is>
      </c>
      <c r="C305" s="24" t="inlineStr">
        <is>
          <t>한미반도체</t>
        </is>
      </c>
      <c r="D305" s="24" t="inlineStr">
        <is>
          <t>hanmi</t>
        </is>
      </c>
      <c r="E305" s="24" t="inlineStr">
        <is>
          <t>042700</t>
        </is>
      </c>
      <c r="F305" s="24" t="inlineStr">
        <is>
          <t>2022</t>
        </is>
      </c>
      <c r="G305" s="24" t="inlineStr">
        <is>
          <t>CFS</t>
        </is>
      </c>
      <c r="H305" s="24" t="inlineStr">
        <is>
          <t>CF</t>
        </is>
      </c>
      <c r="I305" s="24" t="inlineStr">
        <is>
          <t>현금흐름표</t>
        </is>
      </c>
      <c r="J305" s="24" t="inlineStr">
        <is>
          <t>dart_AdjustmentsForImpairmentLossesOfIntangibleAssets</t>
        </is>
      </c>
      <c r="K305" s="24" t="inlineStr">
        <is>
          <t>무형자산손상차손</t>
        </is>
      </c>
      <c r="L305" s="24" t="inlineStr">
        <is>
          <t>-</t>
        </is>
      </c>
      <c r="M305" s="24" t="inlineStr">
        <is>
          <t>제 43 기</t>
        </is>
      </c>
      <c r="N305" s="24" t="inlineStr">
        <is>
          <t>130456524.0</t>
        </is>
      </c>
      <c r="O305" s="24" t="inlineStr">
        <is>
          <t>116596533.0</t>
        </is>
      </c>
      <c r="P305" s="24" t="inlineStr">
        <is>
          <t>KRW</t>
        </is>
      </c>
      <c r="Q305" s="24" t="inlineStr">
        <is>
          <t>11</t>
        </is>
      </c>
    </row>
    <row r="306" ht="24" customHeight="1">
      <c r="A306" s="29" t="inlineStr">
        <is>
          <t>OpenDART_fnlttSinglAcntAll</t>
        </is>
      </c>
      <c r="B306" s="29" t="inlineStr">
        <is>
          <t>00161383</t>
        </is>
      </c>
      <c r="C306" s="29" t="inlineStr">
        <is>
          <t>한미반도체</t>
        </is>
      </c>
      <c r="D306" s="29" t="inlineStr">
        <is>
          <t>hanmi</t>
        </is>
      </c>
      <c r="E306" s="29" t="inlineStr">
        <is>
          <t>042700</t>
        </is>
      </c>
      <c r="F306" s="29" t="inlineStr">
        <is>
          <t>2022</t>
        </is>
      </c>
      <c r="G306" s="29" t="inlineStr">
        <is>
          <t>CFS</t>
        </is>
      </c>
      <c r="H306" s="29" t="inlineStr">
        <is>
          <t>CF</t>
        </is>
      </c>
      <c r="I306" s="29" t="inlineStr">
        <is>
          <t>현금흐름표</t>
        </is>
      </c>
      <c r="J306" s="29" t="inlineStr">
        <is>
          <t>-표준계정코드 미사용-</t>
        </is>
      </c>
      <c r="K306" s="29" t="inlineStr">
        <is>
          <t>리스상환이익</t>
        </is>
      </c>
      <c r="L306" s="29" t="inlineStr">
        <is>
          <t>-</t>
        </is>
      </c>
      <c r="M306" s="29" t="inlineStr">
        <is>
          <t>제 43 기</t>
        </is>
      </c>
      <c r="N306" s="29" t="inlineStr">
        <is>
          <t>0.0</t>
        </is>
      </c>
      <c r="O306" s="29" t="inlineStr">
        <is>
          <t>34280.0</t>
        </is>
      </c>
      <c r="P306" s="29" t="inlineStr">
        <is>
          <t>KRW</t>
        </is>
      </c>
      <c r="Q306" s="29" t="inlineStr">
        <is>
          <t>12</t>
        </is>
      </c>
    </row>
    <row r="307" ht="24" customHeight="1">
      <c r="A307" s="24" t="inlineStr">
        <is>
          <t>OpenDART_fnlttSinglAcntAll</t>
        </is>
      </c>
      <c r="B307" s="24" t="inlineStr">
        <is>
          <t>00161383</t>
        </is>
      </c>
      <c r="C307" s="24" t="inlineStr">
        <is>
          <t>한미반도체</t>
        </is>
      </c>
      <c r="D307" s="24" t="inlineStr">
        <is>
          <t>hanmi</t>
        </is>
      </c>
      <c r="E307" s="24" t="inlineStr">
        <is>
          <t>042700</t>
        </is>
      </c>
      <c r="F307" s="24" t="inlineStr">
        <is>
          <t>2022</t>
        </is>
      </c>
      <c r="G307" s="24" t="inlineStr">
        <is>
          <t>CFS</t>
        </is>
      </c>
      <c r="H307" s="24" t="inlineStr">
        <is>
          <t>CF</t>
        </is>
      </c>
      <c r="I307" s="24" t="inlineStr">
        <is>
          <t>현금흐름표</t>
        </is>
      </c>
      <c r="J307" s="24" t="inlineStr">
        <is>
          <t>dart_AdjustmentsForInterestIncome</t>
        </is>
      </c>
      <c r="K307" s="24" t="inlineStr">
        <is>
          <t>이자수익</t>
        </is>
      </c>
      <c r="L307" s="24" t="inlineStr">
        <is>
          <t>-</t>
        </is>
      </c>
      <c r="M307" s="24" t="inlineStr">
        <is>
          <t>제 43 기</t>
        </is>
      </c>
      <c r="N307" s="24" t="inlineStr">
        <is>
          <t>759082909.0</t>
        </is>
      </c>
      <c r="O307" s="24" t="inlineStr">
        <is>
          <t>62325309.0</t>
        </is>
      </c>
      <c r="P307" s="24" t="inlineStr">
        <is>
          <t>KRW</t>
        </is>
      </c>
      <c r="Q307" s="24" t="inlineStr">
        <is>
          <t>13</t>
        </is>
      </c>
    </row>
    <row r="308" ht="24" customHeight="1">
      <c r="A308" s="29" t="inlineStr">
        <is>
          <t>OpenDART_fnlttSinglAcntAll</t>
        </is>
      </c>
      <c r="B308" s="29" t="inlineStr">
        <is>
          <t>00161383</t>
        </is>
      </c>
      <c r="C308" s="29" t="inlineStr">
        <is>
          <t>한미반도체</t>
        </is>
      </c>
      <c r="D308" s="29" t="inlineStr">
        <is>
          <t>hanmi</t>
        </is>
      </c>
      <c r="E308" s="29" t="inlineStr">
        <is>
          <t>042700</t>
        </is>
      </c>
      <c r="F308" s="29" t="inlineStr">
        <is>
          <t>2022</t>
        </is>
      </c>
      <c r="G308" s="29" t="inlineStr">
        <is>
          <t>CFS</t>
        </is>
      </c>
      <c r="H308" s="29" t="inlineStr">
        <is>
          <t>CF</t>
        </is>
      </c>
      <c r="I308" s="29" t="inlineStr">
        <is>
          <t>현금흐름표</t>
        </is>
      </c>
      <c r="J308" s="29" t="inlineStr">
        <is>
          <t>dart_AdjustmentsForGainOnForeignExchangeTranslations</t>
        </is>
      </c>
      <c r="K308" s="29" t="inlineStr">
        <is>
          <t>외화환산이익</t>
        </is>
      </c>
      <c r="L308" s="29" t="inlineStr">
        <is>
          <t>-</t>
        </is>
      </c>
      <c r="M308" s="29" t="inlineStr">
        <is>
          <t>제 43 기</t>
        </is>
      </c>
      <c r="N308" s="29" t="inlineStr">
        <is>
          <t>1945855537.0</t>
        </is>
      </c>
      <c r="O308" s="29" t="inlineStr">
        <is>
          <t>3047949428.0</t>
        </is>
      </c>
      <c r="P308" s="29" t="inlineStr">
        <is>
          <t>KRW</t>
        </is>
      </c>
      <c r="Q308" s="29" t="inlineStr">
        <is>
          <t>14</t>
        </is>
      </c>
    </row>
    <row r="309" ht="24" customHeight="1">
      <c r="A309" s="24" t="inlineStr">
        <is>
          <t>OpenDART_fnlttSinglAcntAll</t>
        </is>
      </c>
      <c r="B309" s="24" t="inlineStr">
        <is>
          <t>00161383</t>
        </is>
      </c>
      <c r="C309" s="24" t="inlineStr">
        <is>
          <t>한미반도체</t>
        </is>
      </c>
      <c r="D309" s="24" t="inlineStr">
        <is>
          <t>hanmi</t>
        </is>
      </c>
      <c r="E309" s="24" t="inlineStr">
        <is>
          <t>042700</t>
        </is>
      </c>
      <c r="F309" s="24" t="inlineStr">
        <is>
          <t>2022</t>
        </is>
      </c>
      <c r="G309" s="24" t="inlineStr">
        <is>
          <t>CFS</t>
        </is>
      </c>
      <c r="H309" s="24" t="inlineStr">
        <is>
          <t>CF</t>
        </is>
      </c>
      <c r="I309" s="24" t="inlineStr">
        <is>
          <t>현금흐름표</t>
        </is>
      </c>
      <c r="J309" s="24" t="inlineStr">
        <is>
          <t>dart_AdjustmentsForGainsOnEvaluationOfFairValueFinancialAssets</t>
        </is>
      </c>
      <c r="K309" s="24" t="inlineStr">
        <is>
          <t>당기손익인식금융자산평가이익</t>
        </is>
      </c>
      <c r="L309" s="24" t="inlineStr">
        <is>
          <t>-</t>
        </is>
      </c>
      <c r="M309" s="24" t="inlineStr">
        <is>
          <t>제 43 기</t>
        </is>
      </c>
      <c r="N309" s="24" t="inlineStr">
        <is>
          <t>0.0</t>
        </is>
      </c>
      <c r="O309" s="24" t="inlineStr">
        <is>
          <t>0.0</t>
        </is>
      </c>
      <c r="P309" s="24" t="inlineStr">
        <is>
          <t>KRW</t>
        </is>
      </c>
      <c r="Q309" s="24" t="inlineStr">
        <is>
          <t>15</t>
        </is>
      </c>
    </row>
    <row r="310" ht="24" customHeight="1">
      <c r="A310" s="29" t="inlineStr">
        <is>
          <t>OpenDART_fnlttSinglAcntAll</t>
        </is>
      </c>
      <c r="B310" s="29" t="inlineStr">
        <is>
          <t>00161383</t>
        </is>
      </c>
      <c r="C310" s="29" t="inlineStr">
        <is>
          <t>한미반도체</t>
        </is>
      </c>
      <c r="D310" s="29" t="inlineStr">
        <is>
          <t>hanmi</t>
        </is>
      </c>
      <c r="E310" s="29" t="inlineStr">
        <is>
          <t>042700</t>
        </is>
      </c>
      <c r="F310" s="29" t="inlineStr">
        <is>
          <t>2022</t>
        </is>
      </c>
      <c r="G310" s="29" t="inlineStr">
        <is>
          <t>CFS</t>
        </is>
      </c>
      <c r="H310" s="29" t="inlineStr">
        <is>
          <t>CF</t>
        </is>
      </c>
      <c r="I310" s="29" t="inlineStr">
        <is>
          <t>현금흐름표</t>
        </is>
      </c>
      <c r="J310" s="29" t="inlineStr">
        <is>
          <t>dart_AdjustmentsForLossesOnEvaluationOfFairValueFinancialAssets</t>
        </is>
      </c>
      <c r="K310" s="29" t="inlineStr">
        <is>
          <t>당기손익인식금융자산평가손실</t>
        </is>
      </c>
      <c r="L310" s="29" t="inlineStr">
        <is>
          <t>-</t>
        </is>
      </c>
      <c r="M310" s="29" t="inlineStr">
        <is>
          <t>제 43 기</t>
        </is>
      </c>
      <c r="N310" s="29" t="inlineStr">
        <is>
          <t>0.0</t>
        </is>
      </c>
      <c r="O310" s="29" t="inlineStr">
        <is>
          <t>2812800000.0</t>
        </is>
      </c>
      <c r="P310" s="29" t="inlineStr">
        <is>
          <t>KRW</t>
        </is>
      </c>
      <c r="Q310" s="29" t="inlineStr">
        <is>
          <t>16</t>
        </is>
      </c>
    </row>
    <row r="311" ht="24" customHeight="1">
      <c r="A311" s="24" t="inlineStr">
        <is>
          <t>OpenDART_fnlttSinglAcntAll</t>
        </is>
      </c>
      <c r="B311" s="24" t="inlineStr">
        <is>
          <t>00161383</t>
        </is>
      </c>
      <c r="C311" s="24" t="inlineStr">
        <is>
          <t>한미반도체</t>
        </is>
      </c>
      <c r="D311" s="24" t="inlineStr">
        <is>
          <t>hanmi</t>
        </is>
      </c>
      <c r="E311" s="24" t="inlineStr">
        <is>
          <t>042700</t>
        </is>
      </c>
      <c r="F311" s="24" t="inlineStr">
        <is>
          <t>2022</t>
        </is>
      </c>
      <c r="G311" s="24" t="inlineStr">
        <is>
          <t>CFS</t>
        </is>
      </c>
      <c r="H311" s="24" t="inlineStr">
        <is>
          <t>CF</t>
        </is>
      </c>
      <c r="I311" s="24" t="inlineStr">
        <is>
          <t>현금흐름표</t>
        </is>
      </c>
      <c r="J311" s="24" t="inlineStr">
        <is>
          <t>dart_AdjustmentsForLossesOnDisposalsofInvestmentsInAssociates</t>
        </is>
      </c>
      <c r="K311" s="24" t="inlineStr">
        <is>
          <t>지분법적용투자주식처분손실</t>
        </is>
      </c>
      <c r="L311" s="24" t="inlineStr">
        <is>
          <t>-</t>
        </is>
      </c>
      <c r="M311" s="24" t="inlineStr">
        <is>
          <t>제 43 기</t>
        </is>
      </c>
      <c r="N311" s="24" t="inlineStr">
        <is>
          <t>1129059749.0</t>
        </is>
      </c>
      <c r="O311" s="24" t="inlineStr">
        <is>
          <t>0.0</t>
        </is>
      </c>
      <c r="P311" s="24" t="inlineStr">
        <is>
          <t>KRW</t>
        </is>
      </c>
      <c r="Q311" s="24" t="inlineStr">
        <is>
          <t>17</t>
        </is>
      </c>
    </row>
    <row r="312" ht="24" customHeight="1">
      <c r="A312" s="29" t="inlineStr">
        <is>
          <t>OpenDART_fnlttSinglAcntAll</t>
        </is>
      </c>
      <c r="B312" s="29" t="inlineStr">
        <is>
          <t>00161383</t>
        </is>
      </c>
      <c r="C312" s="29" t="inlineStr">
        <is>
          <t>한미반도체</t>
        </is>
      </c>
      <c r="D312" s="29" t="inlineStr">
        <is>
          <t>hanmi</t>
        </is>
      </c>
      <c r="E312" s="29" t="inlineStr">
        <is>
          <t>042700</t>
        </is>
      </c>
      <c r="F312" s="29" t="inlineStr">
        <is>
          <t>2022</t>
        </is>
      </c>
      <c r="G312" s="29" t="inlineStr">
        <is>
          <t>CFS</t>
        </is>
      </c>
      <c r="H312" s="29" t="inlineStr">
        <is>
          <t>CF</t>
        </is>
      </c>
      <c r="I312" s="29" t="inlineStr">
        <is>
          <t>현금흐름표</t>
        </is>
      </c>
      <c r="J312" s="29" t="inlineStr">
        <is>
          <t>dart_AdjustmentsForGainsOnDisposalsOfNoncurrentAssetsOrDisposalGroupsClassifiedAsHeldForSale</t>
        </is>
      </c>
      <c r="K312" s="29" t="inlineStr">
        <is>
          <t>매각예정비유동자산처분이익</t>
        </is>
      </c>
      <c r="L312" s="29" t="inlineStr">
        <is>
          <t>-</t>
        </is>
      </c>
      <c r="M312" s="29" t="inlineStr">
        <is>
          <t>제 43 기</t>
        </is>
      </c>
      <c r="N312" s="29" t="inlineStr">
        <is>
          <t>4664047681.0</t>
        </is>
      </c>
      <c r="O312" s="29" t="inlineStr">
        <is>
          <t>0.0</t>
        </is>
      </c>
      <c r="P312" s="29" t="inlineStr">
        <is>
          <t>KRW</t>
        </is>
      </c>
      <c r="Q312" s="29" t="inlineStr">
        <is>
          <t>18</t>
        </is>
      </c>
    </row>
    <row r="313" ht="24" customHeight="1">
      <c r="A313" s="24" t="inlineStr">
        <is>
          <t>OpenDART_fnlttSinglAcntAll</t>
        </is>
      </c>
      <c r="B313" s="24" t="inlineStr">
        <is>
          <t>00161383</t>
        </is>
      </c>
      <c r="C313" s="24" t="inlineStr">
        <is>
          <t>한미반도체</t>
        </is>
      </c>
      <c r="D313" s="24" t="inlineStr">
        <is>
          <t>hanmi</t>
        </is>
      </c>
      <c r="E313" s="24" t="inlineStr">
        <is>
          <t>042700</t>
        </is>
      </c>
      <c r="F313" s="24" t="inlineStr">
        <is>
          <t>2022</t>
        </is>
      </c>
      <c r="G313" s="24" t="inlineStr">
        <is>
          <t>CFS</t>
        </is>
      </c>
      <c r="H313" s="24" t="inlineStr">
        <is>
          <t>CF</t>
        </is>
      </c>
      <c r="I313" s="24" t="inlineStr">
        <is>
          <t>현금흐름표</t>
        </is>
      </c>
      <c r="J313" s="24" t="inlineStr">
        <is>
          <t>dart_AdjustmentsForInterestExpenses</t>
        </is>
      </c>
      <c r="K313" s="24" t="inlineStr">
        <is>
          <t>이자비용</t>
        </is>
      </c>
      <c r="L313" s="24" t="inlineStr">
        <is>
          <t>-</t>
        </is>
      </c>
      <c r="M313" s="24" t="inlineStr">
        <is>
          <t>제 43 기</t>
        </is>
      </c>
      <c r="N313" s="24" t="inlineStr">
        <is>
          <t>55790405.0</t>
        </is>
      </c>
      <c r="O313" s="24" t="inlineStr">
        <is>
          <t>27753913.0</t>
        </is>
      </c>
      <c r="P313" s="24" t="inlineStr">
        <is>
          <t>KRW</t>
        </is>
      </c>
      <c r="Q313" s="24" t="inlineStr">
        <is>
          <t>19</t>
        </is>
      </c>
    </row>
    <row r="314" ht="24" customHeight="1">
      <c r="A314" s="29" t="inlineStr">
        <is>
          <t>OpenDART_fnlttSinglAcntAll</t>
        </is>
      </c>
      <c r="B314" s="29" t="inlineStr">
        <is>
          <t>00161383</t>
        </is>
      </c>
      <c r="C314" s="29" t="inlineStr">
        <is>
          <t>한미반도체</t>
        </is>
      </c>
      <c r="D314" s="29" t="inlineStr">
        <is>
          <t>hanmi</t>
        </is>
      </c>
      <c r="E314" s="29" t="inlineStr">
        <is>
          <t>042700</t>
        </is>
      </c>
      <c r="F314" s="29" t="inlineStr">
        <is>
          <t>2022</t>
        </is>
      </c>
      <c r="G314" s="29" t="inlineStr">
        <is>
          <t>CFS</t>
        </is>
      </c>
      <c r="H314" s="29" t="inlineStr">
        <is>
          <t>CF</t>
        </is>
      </c>
      <c r="I314" s="29" t="inlineStr">
        <is>
          <t>현금흐름표</t>
        </is>
      </c>
      <c r="J314" s="29" t="inlineStr">
        <is>
          <t>-표준계정코드 미사용-</t>
        </is>
      </c>
      <c r="K314" s="29" t="inlineStr">
        <is>
          <t>리스이자비용</t>
        </is>
      </c>
      <c r="L314" s="29" t="inlineStr">
        <is>
          <t>-</t>
        </is>
      </c>
      <c r="M314" s="29" t="inlineStr">
        <is>
          <t>제 43 기</t>
        </is>
      </c>
      <c r="N314" s="29" t="inlineStr">
        <is>
          <t>65276503.0</t>
        </is>
      </c>
      <c r="O314" s="29" t="inlineStr">
        <is>
          <t>8883299.0</t>
        </is>
      </c>
      <c r="P314" s="29" t="inlineStr">
        <is>
          <t>KRW</t>
        </is>
      </c>
      <c r="Q314" s="29" t="inlineStr">
        <is>
          <t>20</t>
        </is>
      </c>
    </row>
    <row r="315" ht="24" customHeight="1">
      <c r="A315" s="24" t="inlineStr">
        <is>
          <t>OpenDART_fnlttSinglAcntAll</t>
        </is>
      </c>
      <c r="B315" s="24" t="inlineStr">
        <is>
          <t>00161383</t>
        </is>
      </c>
      <c r="C315" s="24" t="inlineStr">
        <is>
          <t>한미반도체</t>
        </is>
      </c>
      <c r="D315" s="24" t="inlineStr">
        <is>
          <t>hanmi</t>
        </is>
      </c>
      <c r="E315" s="24" t="inlineStr">
        <is>
          <t>042700</t>
        </is>
      </c>
      <c r="F315" s="24" t="inlineStr">
        <is>
          <t>2022</t>
        </is>
      </c>
      <c r="G315" s="24" t="inlineStr">
        <is>
          <t>CFS</t>
        </is>
      </c>
      <c r="H315" s="24" t="inlineStr">
        <is>
          <t>CF</t>
        </is>
      </c>
      <c r="I315" s="24" t="inlineStr">
        <is>
          <t>현금흐름표</t>
        </is>
      </c>
      <c r="J315" s="24" t="inlineStr">
        <is>
          <t>dart_AdjustmentsForLossesOnForeignExchangeTranslations</t>
        </is>
      </c>
      <c r="K315" s="24" t="inlineStr">
        <is>
          <t>외화환산손실</t>
        </is>
      </c>
      <c r="L315" s="24" t="inlineStr">
        <is>
          <t>-</t>
        </is>
      </c>
      <c r="M315" s="24" t="inlineStr">
        <is>
          <t>제 43 기</t>
        </is>
      </c>
      <c r="N315" s="24" t="inlineStr">
        <is>
          <t>4293406188.0</t>
        </is>
      </c>
      <c r="O315" s="24" t="inlineStr">
        <is>
          <t>378435003.0</t>
        </is>
      </c>
      <c r="P315" s="24" t="inlineStr">
        <is>
          <t>KRW</t>
        </is>
      </c>
      <c r="Q315" s="24" t="inlineStr">
        <is>
          <t>21</t>
        </is>
      </c>
    </row>
    <row r="316" ht="24" customHeight="1">
      <c r="A316" s="29" t="inlineStr">
        <is>
          <t>OpenDART_fnlttSinglAcntAll</t>
        </is>
      </c>
      <c r="B316" s="29" t="inlineStr">
        <is>
          <t>00161383</t>
        </is>
      </c>
      <c r="C316" s="29" t="inlineStr">
        <is>
          <t>한미반도체</t>
        </is>
      </c>
      <c r="D316" s="29" t="inlineStr">
        <is>
          <t>hanmi</t>
        </is>
      </c>
      <c r="E316" s="29" t="inlineStr">
        <is>
          <t>042700</t>
        </is>
      </c>
      <c r="F316" s="29" t="inlineStr">
        <is>
          <t>2022</t>
        </is>
      </c>
      <c r="G316" s="29" t="inlineStr">
        <is>
          <t>CFS</t>
        </is>
      </c>
      <c r="H316" s="29" t="inlineStr">
        <is>
          <t>CF</t>
        </is>
      </c>
      <c r="I316" s="29" t="inlineStr">
        <is>
          <t>현금흐름표</t>
        </is>
      </c>
      <c r="J316" s="29" t="inlineStr">
        <is>
          <t>dart_AdjustmentsForShareBasedPayment</t>
        </is>
      </c>
      <c r="K316" s="29" t="inlineStr">
        <is>
          <t>주식보상비용(환입)</t>
        </is>
      </c>
      <c r="L316" s="29" t="inlineStr">
        <is>
          <t>-</t>
        </is>
      </c>
      <c r="M316" s="29" t="inlineStr">
        <is>
          <t>제 43 기</t>
        </is>
      </c>
      <c r="N316" s="29" t="inlineStr">
        <is>
          <t>해당 없음</t>
        </is>
      </c>
      <c r="O316" s="29" t="inlineStr">
        <is>
          <t>3583831429.0</t>
        </is>
      </c>
      <c r="P316" s="29" t="inlineStr">
        <is>
          <t>KRW</t>
        </is>
      </c>
      <c r="Q316" s="29" t="inlineStr">
        <is>
          <t>22</t>
        </is>
      </c>
    </row>
    <row r="317" ht="24" customHeight="1">
      <c r="A317" s="24" t="inlineStr">
        <is>
          <t>OpenDART_fnlttSinglAcntAll</t>
        </is>
      </c>
      <c r="B317" s="24" t="inlineStr">
        <is>
          <t>00161383</t>
        </is>
      </c>
      <c r="C317" s="24" t="inlineStr">
        <is>
          <t>한미반도체</t>
        </is>
      </c>
      <c r="D317" s="24" t="inlineStr">
        <is>
          <t>hanmi</t>
        </is>
      </c>
      <c r="E317" s="24" t="inlineStr">
        <is>
          <t>042700</t>
        </is>
      </c>
      <c r="F317" s="24" t="inlineStr">
        <is>
          <t>2022</t>
        </is>
      </c>
      <c r="G317" s="24" t="inlineStr">
        <is>
          <t>CFS</t>
        </is>
      </c>
      <c r="H317" s="24" t="inlineStr">
        <is>
          <t>CF</t>
        </is>
      </c>
      <c r="I317" s="24" t="inlineStr">
        <is>
          <t>현금흐름표</t>
        </is>
      </c>
      <c r="J317" s="24" t="inlineStr">
        <is>
          <t>dart_AdjustmentsForProfitsOfAssociatesAndJointVenturesAccountedForUsingEquityMethod</t>
        </is>
      </c>
      <c r="K317" s="24" t="inlineStr">
        <is>
          <t>지분법손익</t>
        </is>
      </c>
      <c r="L317" s="24" t="inlineStr">
        <is>
          <t>-</t>
        </is>
      </c>
      <c r="M317" s="24" t="inlineStr">
        <is>
          <t>제 43 기</t>
        </is>
      </c>
      <c r="N317" s="24" t="inlineStr">
        <is>
          <t>1180984703.0</t>
        </is>
      </c>
      <c r="O317" s="24" t="inlineStr">
        <is>
          <t>6076657647.0</t>
        </is>
      </c>
      <c r="P317" s="24" t="inlineStr">
        <is>
          <t>KRW</t>
        </is>
      </c>
      <c r="Q317" s="24" t="inlineStr">
        <is>
          <t>23</t>
        </is>
      </c>
    </row>
    <row r="318" ht="24" customHeight="1">
      <c r="A318" s="29" t="inlineStr">
        <is>
          <t>OpenDART_fnlttSinglAcntAll</t>
        </is>
      </c>
      <c r="B318" s="29" t="inlineStr">
        <is>
          <t>00161383</t>
        </is>
      </c>
      <c r="C318" s="29" t="inlineStr">
        <is>
          <t>한미반도체</t>
        </is>
      </c>
      <c r="D318" s="29" t="inlineStr">
        <is>
          <t>hanmi</t>
        </is>
      </c>
      <c r="E318" s="29" t="inlineStr">
        <is>
          <t>042700</t>
        </is>
      </c>
      <c r="F318" s="29" t="inlineStr">
        <is>
          <t>2022</t>
        </is>
      </c>
      <c r="G318" s="29" t="inlineStr">
        <is>
          <t>CFS</t>
        </is>
      </c>
      <c r="H318" s="29" t="inlineStr">
        <is>
          <t>CF</t>
        </is>
      </c>
      <c r="I318" s="29" t="inlineStr">
        <is>
          <t>현금흐름표</t>
        </is>
      </c>
      <c r="J318" s="29" t="inlineStr">
        <is>
          <t>ifrs-full_AdjustmentsForIncomeTaxExpense</t>
        </is>
      </c>
      <c r="K318" s="29" t="inlineStr">
        <is>
          <t>법인세비용</t>
        </is>
      </c>
      <c r="L318" s="29" t="inlineStr">
        <is>
          <t>-</t>
        </is>
      </c>
      <c r="M318" s="29" t="inlineStr">
        <is>
          <t>제 43 기</t>
        </is>
      </c>
      <c r="N318" s="29" t="inlineStr">
        <is>
          <t>35584763606.0</t>
        </is>
      </c>
      <c r="O318" s="29" t="inlineStr">
        <is>
          <t>31813253225.0</t>
        </is>
      </c>
      <c r="P318" s="29" t="inlineStr">
        <is>
          <t>KRW</t>
        </is>
      </c>
      <c r="Q318" s="29" t="inlineStr">
        <is>
          <t>24</t>
        </is>
      </c>
    </row>
    <row r="319" ht="24" customHeight="1">
      <c r="A319" s="24" t="inlineStr">
        <is>
          <t>OpenDART_fnlttSinglAcntAll</t>
        </is>
      </c>
      <c r="B319" s="24" t="inlineStr">
        <is>
          <t>00161383</t>
        </is>
      </c>
      <c r="C319" s="24" t="inlineStr">
        <is>
          <t>한미반도체</t>
        </is>
      </c>
      <c r="D319" s="24" t="inlineStr">
        <is>
          <t>hanmi</t>
        </is>
      </c>
      <c r="E319" s="24" t="inlineStr">
        <is>
          <t>042700</t>
        </is>
      </c>
      <c r="F319" s="24" t="inlineStr">
        <is>
          <t>2022</t>
        </is>
      </c>
      <c r="G319" s="24" t="inlineStr">
        <is>
          <t>CFS</t>
        </is>
      </c>
      <c r="H319" s="24" t="inlineStr">
        <is>
          <t>CF</t>
        </is>
      </c>
      <c r="I319" s="24" t="inlineStr">
        <is>
          <t>현금흐름표</t>
        </is>
      </c>
      <c r="J319" s="24" t="inlineStr">
        <is>
          <t>dart_AdjustmentsForOtherLossesWithoutCashFlowOut</t>
        </is>
      </c>
      <c r="K319" s="24" t="inlineStr">
        <is>
          <t>기타 현금유출입이 없는 수익</t>
        </is>
      </c>
      <c r="L319" s="24" t="inlineStr">
        <is>
          <t>-</t>
        </is>
      </c>
      <c r="M319" s="24" t="inlineStr">
        <is>
          <t>제 43 기</t>
        </is>
      </c>
      <c r="N319" s="24" t="inlineStr">
        <is>
          <t>5444945.0</t>
        </is>
      </c>
      <c r="O319" s="24" t="inlineStr">
        <is>
          <t>-9729110.0</t>
        </is>
      </c>
      <c r="P319" s="24" t="inlineStr">
        <is>
          <t>KRW</t>
        </is>
      </c>
      <c r="Q319" s="24" t="inlineStr">
        <is>
          <t>25</t>
        </is>
      </c>
    </row>
    <row r="320" ht="24" customHeight="1">
      <c r="A320" s="29" t="inlineStr">
        <is>
          <t>OpenDART_fnlttSinglAcntAll</t>
        </is>
      </c>
      <c r="B320" s="29" t="inlineStr">
        <is>
          <t>00161383</t>
        </is>
      </c>
      <c r="C320" s="29" t="inlineStr">
        <is>
          <t>한미반도체</t>
        </is>
      </c>
      <c r="D320" s="29" t="inlineStr">
        <is>
          <t>hanmi</t>
        </is>
      </c>
      <c r="E320" s="29" t="inlineStr">
        <is>
          <t>042700</t>
        </is>
      </c>
      <c r="F320" s="29" t="inlineStr">
        <is>
          <t>2022</t>
        </is>
      </c>
      <c r="G320" s="29" t="inlineStr">
        <is>
          <t>CFS</t>
        </is>
      </c>
      <c r="H320" s="29" t="inlineStr">
        <is>
          <t>CF</t>
        </is>
      </c>
      <c r="I320" s="29" t="inlineStr">
        <is>
          <t>현금흐름표</t>
        </is>
      </c>
      <c r="J320" s="29" t="inlineStr">
        <is>
          <t>dart_ProfitLossForStatementOfCashFlows</t>
        </is>
      </c>
      <c r="K320" s="29" t="inlineStr">
        <is>
          <t>당기순이익(손실)</t>
        </is>
      </c>
      <c r="L320" s="29" t="inlineStr">
        <is>
          <t>-</t>
        </is>
      </c>
      <c r="M320" s="29" t="inlineStr">
        <is>
          <t>제 43 기</t>
        </is>
      </c>
      <c r="N320" s="29" t="inlineStr">
        <is>
          <t>92259257411.0</t>
        </is>
      </c>
      <c r="O320" s="29" t="inlineStr">
        <is>
          <t>104438304265.0</t>
        </is>
      </c>
      <c r="P320" s="29" t="inlineStr">
        <is>
          <t>KRW</t>
        </is>
      </c>
      <c r="Q320" s="29" t="inlineStr">
        <is>
          <t>26</t>
        </is>
      </c>
    </row>
    <row r="321" ht="24" customHeight="1">
      <c r="A321" s="24" t="inlineStr">
        <is>
          <t>OpenDART_fnlttSinglAcntAll</t>
        </is>
      </c>
      <c r="B321" s="24" t="inlineStr">
        <is>
          <t>00161383</t>
        </is>
      </c>
      <c r="C321" s="24" t="inlineStr">
        <is>
          <t>한미반도체</t>
        </is>
      </c>
      <c r="D321" s="24" t="inlineStr">
        <is>
          <t>hanmi</t>
        </is>
      </c>
      <c r="E321" s="24" t="inlineStr">
        <is>
          <t>042700</t>
        </is>
      </c>
      <c r="F321" s="24" t="inlineStr">
        <is>
          <t>2022</t>
        </is>
      </c>
      <c r="G321" s="24" t="inlineStr">
        <is>
          <t>CFS</t>
        </is>
      </c>
      <c r="H321" s="24" t="inlineStr">
        <is>
          <t>CF</t>
        </is>
      </c>
      <c r="I321" s="24" t="inlineStr">
        <is>
          <t>현금흐름표</t>
        </is>
      </c>
      <c r="J321" s="24" t="inlineStr">
        <is>
          <t>dart_AdjustmentsForAssetsLiabilitiesOfOperatingActivities</t>
        </is>
      </c>
      <c r="K321" s="24" t="inlineStr">
        <is>
          <t>자산ㆍ부채의증감</t>
        </is>
      </c>
      <c r="L321" s="24" t="inlineStr">
        <is>
          <t>-</t>
        </is>
      </c>
      <c r="M321" s="24" t="inlineStr">
        <is>
          <t>제 43 기</t>
        </is>
      </c>
      <c r="N321" s="24" t="inlineStr">
        <is>
          <t>-7241047028.0</t>
        </is>
      </c>
      <c r="O321" s="24" t="inlineStr">
        <is>
          <t>-70796754002.0</t>
        </is>
      </c>
      <c r="P321" s="24" t="inlineStr">
        <is>
          <t>KRW</t>
        </is>
      </c>
      <c r="Q321" s="24" t="inlineStr">
        <is>
          <t>27</t>
        </is>
      </c>
    </row>
    <row r="322" ht="24" customHeight="1">
      <c r="A322" s="29" t="inlineStr">
        <is>
          <t>OpenDART_fnlttSinglAcntAll</t>
        </is>
      </c>
      <c r="B322" s="29" t="inlineStr">
        <is>
          <t>00161383</t>
        </is>
      </c>
      <c r="C322" s="29" t="inlineStr">
        <is>
          <t>한미반도체</t>
        </is>
      </c>
      <c r="D322" s="29" t="inlineStr">
        <is>
          <t>hanmi</t>
        </is>
      </c>
      <c r="E322" s="29" t="inlineStr">
        <is>
          <t>042700</t>
        </is>
      </c>
      <c r="F322" s="29" t="inlineStr">
        <is>
          <t>2022</t>
        </is>
      </c>
      <c r="G322" s="29" t="inlineStr">
        <is>
          <t>CFS</t>
        </is>
      </c>
      <c r="H322" s="29" t="inlineStr">
        <is>
          <t>CF</t>
        </is>
      </c>
      <c r="I322" s="29" t="inlineStr">
        <is>
          <t>현금흐름표</t>
        </is>
      </c>
      <c r="J322" s="29" t="inlineStr">
        <is>
          <t>dart_AdjustmentsForIncreasedecreaseInPostemploymentBenefitObligations</t>
        </is>
      </c>
      <c r="K322" s="29" t="inlineStr">
        <is>
          <t>퇴직급여충당부채의증가(감소)</t>
        </is>
      </c>
      <c r="L322" s="29" t="inlineStr">
        <is>
          <t>-</t>
        </is>
      </c>
      <c r="M322" s="29" t="inlineStr">
        <is>
          <t>제 43 기</t>
        </is>
      </c>
      <c r="N322" s="29" t="inlineStr">
        <is>
          <t>0.0</t>
        </is>
      </c>
      <c r="O322" s="29" t="inlineStr">
        <is>
          <t>-229502260.0</t>
        </is>
      </c>
      <c r="P322" s="29" t="inlineStr">
        <is>
          <t>KRW</t>
        </is>
      </c>
      <c r="Q322" s="29" t="inlineStr">
        <is>
          <t>28</t>
        </is>
      </c>
    </row>
    <row r="323" ht="24" customHeight="1">
      <c r="A323" s="24" t="inlineStr">
        <is>
          <t>OpenDART_fnlttSinglAcntAll</t>
        </is>
      </c>
      <c r="B323" s="24" t="inlineStr">
        <is>
          <t>00161383</t>
        </is>
      </c>
      <c r="C323" s="24" t="inlineStr">
        <is>
          <t>한미반도체</t>
        </is>
      </c>
      <c r="D323" s="24" t="inlineStr">
        <is>
          <t>hanmi</t>
        </is>
      </c>
      <c r="E323" s="24" t="inlineStr">
        <is>
          <t>042700</t>
        </is>
      </c>
      <c r="F323" s="24" t="inlineStr">
        <is>
          <t>2022</t>
        </is>
      </c>
      <c r="G323" s="24" t="inlineStr">
        <is>
          <t>CFS</t>
        </is>
      </c>
      <c r="H323" s="24" t="inlineStr">
        <is>
          <t>CF</t>
        </is>
      </c>
      <c r="I323" s="24" t="inlineStr">
        <is>
          <t>현금흐름표</t>
        </is>
      </c>
      <c r="J323" s="24" t="inlineStr">
        <is>
          <t>dart_AdjustmentsForDecreaseincreaseInFairValueOfPlanAssets</t>
        </is>
      </c>
      <c r="K323" s="24" t="inlineStr">
        <is>
          <t>사외적립자산의공정가치의 감소(증가)</t>
        </is>
      </c>
      <c r="L323" s="24" t="inlineStr">
        <is>
          <t>-</t>
        </is>
      </c>
      <c r="M323" s="24" t="inlineStr">
        <is>
          <t>제 43 기</t>
        </is>
      </c>
      <c r="N323" s="24" t="inlineStr">
        <is>
          <t>0.0</t>
        </is>
      </c>
      <c r="O323" s="24" t="inlineStr">
        <is>
          <t>-3000000000.0</t>
        </is>
      </c>
      <c r="P323" s="24" t="inlineStr">
        <is>
          <t>KRW</t>
        </is>
      </c>
      <c r="Q323" s="24" t="inlineStr">
        <is>
          <t>29</t>
        </is>
      </c>
    </row>
    <row r="324" ht="24" customHeight="1">
      <c r="A324" s="29" t="inlineStr">
        <is>
          <t>OpenDART_fnlttSinglAcntAll</t>
        </is>
      </c>
      <c r="B324" s="29" t="inlineStr">
        <is>
          <t>00161383</t>
        </is>
      </c>
      <c r="C324" s="29" t="inlineStr">
        <is>
          <t>한미반도체</t>
        </is>
      </c>
      <c r="D324" s="29" t="inlineStr">
        <is>
          <t>hanmi</t>
        </is>
      </c>
      <c r="E324" s="29" t="inlineStr">
        <is>
          <t>042700</t>
        </is>
      </c>
      <c r="F324" s="29" t="inlineStr">
        <is>
          <t>2022</t>
        </is>
      </c>
      <c r="G324" s="29" t="inlineStr">
        <is>
          <t>CFS</t>
        </is>
      </c>
      <c r="H324" s="29" t="inlineStr">
        <is>
          <t>CF</t>
        </is>
      </c>
      <c r="I324" s="29" t="inlineStr">
        <is>
          <t>현금흐름표</t>
        </is>
      </c>
      <c r="J324" s="29" t="inlineStr">
        <is>
          <t>-표준계정코드 미사용-</t>
        </is>
      </c>
      <c r="K324" s="29" t="inlineStr">
        <is>
          <t>퇴직급여자산의 감소(증가)</t>
        </is>
      </c>
      <c r="L324" s="29" t="inlineStr">
        <is>
          <t>-</t>
        </is>
      </c>
      <c r="M324" s="29" t="inlineStr">
        <is>
          <t>제 43 기</t>
        </is>
      </c>
      <c r="N324" s="29" t="inlineStr">
        <is>
          <t>-4155164670.0</t>
        </is>
      </c>
      <c r="O324" s="29" t="inlineStr">
        <is>
          <t>해당 없음</t>
        </is>
      </c>
      <c r="P324" s="29" t="inlineStr">
        <is>
          <t>KRW</t>
        </is>
      </c>
      <c r="Q324" s="29" t="inlineStr">
        <is>
          <t>30</t>
        </is>
      </c>
    </row>
    <row r="325" ht="24" customHeight="1">
      <c r="A325" s="24" t="inlineStr">
        <is>
          <t>OpenDART_fnlttSinglAcntAll</t>
        </is>
      </c>
      <c r="B325" s="24" t="inlineStr">
        <is>
          <t>00161383</t>
        </is>
      </c>
      <c r="C325" s="24" t="inlineStr">
        <is>
          <t>한미반도체</t>
        </is>
      </c>
      <c r="D325" s="24" t="inlineStr">
        <is>
          <t>hanmi</t>
        </is>
      </c>
      <c r="E325" s="24" t="inlineStr">
        <is>
          <t>042700</t>
        </is>
      </c>
      <c r="F325" s="24" t="inlineStr">
        <is>
          <t>2022</t>
        </is>
      </c>
      <c r="G325" s="24" t="inlineStr">
        <is>
          <t>CFS</t>
        </is>
      </c>
      <c r="H325" s="24" t="inlineStr">
        <is>
          <t>CF</t>
        </is>
      </c>
      <c r="I325" s="24" t="inlineStr">
        <is>
          <t>현금흐름표</t>
        </is>
      </c>
      <c r="J325" s="24" t="inlineStr">
        <is>
          <t>ifrs-full_OtherAdjustmentsForNoncashItems</t>
        </is>
      </c>
      <c r="K325" s="24" t="inlineStr">
        <is>
          <t>국민연금전환금의 감소</t>
        </is>
      </c>
      <c r="L325" s="24" t="inlineStr">
        <is>
          <t>-</t>
        </is>
      </c>
      <c r="M325" s="24" t="inlineStr">
        <is>
          <t>제 43 기</t>
        </is>
      </c>
      <c r="N325" s="24" t="inlineStr">
        <is>
          <t>0.0</t>
        </is>
      </c>
      <c r="O325" s="24" t="inlineStr">
        <is>
          <t>0.0</t>
        </is>
      </c>
      <c r="P325" s="24" t="inlineStr">
        <is>
          <t>KRW</t>
        </is>
      </c>
      <c r="Q325" s="24" t="inlineStr">
        <is>
          <t>31</t>
        </is>
      </c>
    </row>
    <row r="326" ht="24" customHeight="1">
      <c r="A326" s="29" t="inlineStr">
        <is>
          <t>OpenDART_fnlttSinglAcntAll</t>
        </is>
      </c>
      <c r="B326" s="29" t="inlineStr">
        <is>
          <t>00161383</t>
        </is>
      </c>
      <c r="C326" s="29" t="inlineStr">
        <is>
          <t>한미반도체</t>
        </is>
      </c>
      <c r="D326" s="29" t="inlineStr">
        <is>
          <t>hanmi</t>
        </is>
      </c>
      <c r="E326" s="29" t="inlineStr">
        <is>
          <t>042700</t>
        </is>
      </c>
      <c r="F326" s="29" t="inlineStr">
        <is>
          <t>2022</t>
        </is>
      </c>
      <c r="G326" s="29" t="inlineStr">
        <is>
          <t>CFS</t>
        </is>
      </c>
      <c r="H326" s="29" t="inlineStr">
        <is>
          <t>CF</t>
        </is>
      </c>
      <c r="I326" s="29" t="inlineStr">
        <is>
          <t>현금흐름표</t>
        </is>
      </c>
      <c r="J326" s="29" t="inlineStr">
        <is>
          <t>ifrs-full_AdjustmentsForDecreaseIncreaseInTradeAccountReceivable</t>
        </is>
      </c>
      <c r="K326" s="29" t="inlineStr">
        <is>
          <t>매출채권의 감소(증가)</t>
        </is>
      </c>
      <c r="L326" s="29" t="inlineStr">
        <is>
          <t>-</t>
        </is>
      </c>
      <c r="M326" s="29" t="inlineStr">
        <is>
          <t>제 43 기</t>
        </is>
      </c>
      <c r="N326" s="29" t="inlineStr">
        <is>
          <t>10867638357.0</t>
        </is>
      </c>
      <c r="O326" s="29" t="inlineStr">
        <is>
          <t>-31831514350.0</t>
        </is>
      </c>
      <c r="P326" s="29" t="inlineStr">
        <is>
          <t>KRW</t>
        </is>
      </c>
      <c r="Q326" s="29" t="inlineStr">
        <is>
          <t>32</t>
        </is>
      </c>
    </row>
    <row r="327" ht="24" customHeight="1">
      <c r="A327" s="24" t="inlineStr">
        <is>
          <t>OpenDART_fnlttSinglAcntAll</t>
        </is>
      </c>
      <c r="B327" s="24" t="inlineStr">
        <is>
          <t>00161383</t>
        </is>
      </c>
      <c r="C327" s="24" t="inlineStr">
        <is>
          <t>한미반도체</t>
        </is>
      </c>
      <c r="D327" s="24" t="inlineStr">
        <is>
          <t>hanmi</t>
        </is>
      </c>
      <c r="E327" s="24" t="inlineStr">
        <is>
          <t>042700</t>
        </is>
      </c>
      <c r="F327" s="24" t="inlineStr">
        <is>
          <t>2022</t>
        </is>
      </c>
      <c r="G327" s="24" t="inlineStr">
        <is>
          <t>CFS</t>
        </is>
      </c>
      <c r="H327" s="24" t="inlineStr">
        <is>
          <t>CF</t>
        </is>
      </c>
      <c r="I327" s="24" t="inlineStr">
        <is>
          <t>현금흐름표</t>
        </is>
      </c>
      <c r="J327" s="24" t="inlineStr">
        <is>
          <t>ifrs-full_AdjustmentsForDecreaseIncreaseInInventories</t>
        </is>
      </c>
      <c r="K327" s="24" t="inlineStr">
        <is>
          <t>재고자산의 감소(증가)</t>
        </is>
      </c>
      <c r="L327" s="24" t="inlineStr">
        <is>
          <t>-</t>
        </is>
      </c>
      <c r="M327" s="24" t="inlineStr">
        <is>
          <t>제 43 기</t>
        </is>
      </c>
      <c r="N327" s="24" t="inlineStr">
        <is>
          <t>638511624.0</t>
        </is>
      </c>
      <c r="O327" s="24" t="inlineStr">
        <is>
          <t>-38734091444.0</t>
        </is>
      </c>
      <c r="P327" s="24" t="inlineStr">
        <is>
          <t>KRW</t>
        </is>
      </c>
      <c r="Q327" s="24" t="inlineStr">
        <is>
          <t>33</t>
        </is>
      </c>
    </row>
    <row r="328" ht="24" customHeight="1">
      <c r="A328" s="29" t="inlineStr">
        <is>
          <t>OpenDART_fnlttSinglAcntAll</t>
        </is>
      </c>
      <c r="B328" s="29" t="inlineStr">
        <is>
          <t>00161383</t>
        </is>
      </c>
      <c r="C328" s="29" t="inlineStr">
        <is>
          <t>한미반도체</t>
        </is>
      </c>
      <c r="D328" s="29" t="inlineStr">
        <is>
          <t>hanmi</t>
        </is>
      </c>
      <c r="E328" s="29" t="inlineStr">
        <is>
          <t>042700</t>
        </is>
      </c>
      <c r="F328" s="29" t="inlineStr">
        <is>
          <t>2022</t>
        </is>
      </c>
      <c r="G328" s="29" t="inlineStr">
        <is>
          <t>CFS</t>
        </is>
      </c>
      <c r="H328" s="29" t="inlineStr">
        <is>
          <t>CF</t>
        </is>
      </c>
      <c r="I328" s="29" t="inlineStr">
        <is>
          <t>현금흐름표</t>
        </is>
      </c>
      <c r="J328" s="29" t="inlineStr">
        <is>
          <t>dart_AdjustmentsForDecreaseincreaseInOtherCurrentFinancialAssets</t>
        </is>
      </c>
      <c r="K328" s="29" t="inlineStr">
        <is>
          <t>기타유동금융자산의 감소(증가)</t>
        </is>
      </c>
      <c r="L328" s="29" t="inlineStr">
        <is>
          <t>-</t>
        </is>
      </c>
      <c r="M328" s="29" t="inlineStr">
        <is>
          <t>제 43 기</t>
        </is>
      </c>
      <c r="N328" s="29" t="inlineStr">
        <is>
          <t>4844730598.0</t>
        </is>
      </c>
      <c r="O328" s="29" t="inlineStr">
        <is>
          <t>-3029527352.0</t>
        </is>
      </c>
      <c r="P328" s="29" t="inlineStr">
        <is>
          <t>KRW</t>
        </is>
      </c>
      <c r="Q328" s="29" t="inlineStr">
        <is>
          <t>34</t>
        </is>
      </c>
    </row>
    <row r="329" ht="24" customHeight="1">
      <c r="A329" s="24" t="inlineStr">
        <is>
          <t>OpenDART_fnlttSinglAcntAll</t>
        </is>
      </c>
      <c r="B329" s="24" t="inlineStr">
        <is>
          <t>00161383</t>
        </is>
      </c>
      <c r="C329" s="24" t="inlineStr">
        <is>
          <t>한미반도체</t>
        </is>
      </c>
      <c r="D329" s="24" t="inlineStr">
        <is>
          <t>hanmi</t>
        </is>
      </c>
      <c r="E329" s="24" t="inlineStr">
        <is>
          <t>042700</t>
        </is>
      </c>
      <c r="F329" s="24" t="inlineStr">
        <is>
          <t>2022</t>
        </is>
      </c>
      <c r="G329" s="24" t="inlineStr">
        <is>
          <t>CFS</t>
        </is>
      </c>
      <c r="H329" s="24" t="inlineStr">
        <is>
          <t>CF</t>
        </is>
      </c>
      <c r="I329" s="24" t="inlineStr">
        <is>
          <t>현금흐름표</t>
        </is>
      </c>
      <c r="J329" s="24" t="inlineStr">
        <is>
          <t>dart_AdjustmentsForDecreaseIncreaseInOtherCurrentAssets</t>
        </is>
      </c>
      <c r="K329" s="24" t="inlineStr">
        <is>
          <t>기타유동자산의 감소(증가)</t>
        </is>
      </c>
      <c r="L329" s="24" t="inlineStr">
        <is>
          <t>-</t>
        </is>
      </c>
      <c r="M329" s="24" t="inlineStr">
        <is>
          <t>제 43 기</t>
        </is>
      </c>
      <c r="N329" s="24" t="inlineStr">
        <is>
          <t>-856375701.0</t>
        </is>
      </c>
      <c r="O329" s="24" t="inlineStr">
        <is>
          <t>26594400.0</t>
        </is>
      </c>
      <c r="P329" s="24" t="inlineStr">
        <is>
          <t>KRW</t>
        </is>
      </c>
      <c r="Q329" s="24" t="inlineStr">
        <is>
          <t>35</t>
        </is>
      </c>
    </row>
    <row r="330" ht="24" customHeight="1">
      <c r="A330" s="29" t="inlineStr">
        <is>
          <t>OpenDART_fnlttSinglAcntAll</t>
        </is>
      </c>
      <c r="B330" s="29" t="inlineStr">
        <is>
          <t>00161383</t>
        </is>
      </c>
      <c r="C330" s="29" t="inlineStr">
        <is>
          <t>한미반도체</t>
        </is>
      </c>
      <c r="D330" s="29" t="inlineStr">
        <is>
          <t>hanmi</t>
        </is>
      </c>
      <c r="E330" s="29" t="inlineStr">
        <is>
          <t>042700</t>
        </is>
      </c>
      <c r="F330" s="29" t="inlineStr">
        <is>
          <t>2022</t>
        </is>
      </c>
      <c r="G330" s="29" t="inlineStr">
        <is>
          <t>CFS</t>
        </is>
      </c>
      <c r="H330" s="29" t="inlineStr">
        <is>
          <t>CF</t>
        </is>
      </c>
      <c r="I330" s="29" t="inlineStr">
        <is>
          <t>현금흐름표</t>
        </is>
      </c>
      <c r="J330" s="29" t="inlineStr">
        <is>
          <t>ifrs-full_AdjustmentsForIncreaseDecreaseInTradeAccountPayable</t>
        </is>
      </c>
      <c r="K330" s="29" t="inlineStr">
        <is>
          <t>매입채무의 증가(감소)</t>
        </is>
      </c>
      <c r="L330" s="29" t="inlineStr">
        <is>
          <t>-</t>
        </is>
      </c>
      <c r="M330" s="29" t="inlineStr">
        <is>
          <t>제 43 기</t>
        </is>
      </c>
      <c r="N330" s="29" t="inlineStr">
        <is>
          <t>-20418448894.0</t>
        </is>
      </c>
      <c r="O330" s="29" t="inlineStr">
        <is>
          <t>9207406424.0</t>
        </is>
      </c>
      <c r="P330" s="29" t="inlineStr">
        <is>
          <t>KRW</t>
        </is>
      </c>
      <c r="Q330" s="29" t="inlineStr">
        <is>
          <t>36</t>
        </is>
      </c>
    </row>
    <row r="331" ht="24" customHeight="1">
      <c r="A331" s="24" t="inlineStr">
        <is>
          <t>OpenDART_fnlttSinglAcntAll</t>
        </is>
      </c>
      <c r="B331" s="24" t="inlineStr">
        <is>
          <t>00161383</t>
        </is>
      </c>
      <c r="C331" s="24" t="inlineStr">
        <is>
          <t>한미반도체</t>
        </is>
      </c>
      <c r="D331" s="24" t="inlineStr">
        <is>
          <t>hanmi</t>
        </is>
      </c>
      <c r="E331" s="24" t="inlineStr">
        <is>
          <t>042700</t>
        </is>
      </c>
      <c r="F331" s="24" t="inlineStr">
        <is>
          <t>2022</t>
        </is>
      </c>
      <c r="G331" s="24" t="inlineStr">
        <is>
          <t>CFS</t>
        </is>
      </c>
      <c r="H331" s="24" t="inlineStr">
        <is>
          <t>CF</t>
        </is>
      </c>
      <c r="I331" s="24" t="inlineStr">
        <is>
          <t>현금흐름표</t>
        </is>
      </c>
      <c r="J331" s="24" t="inlineStr">
        <is>
          <t>dart_AdjustmentsForIncreasedecreaseInProvisions</t>
        </is>
      </c>
      <c r="K331" s="24" t="inlineStr">
        <is>
          <t>충당부채의 증가(감소)</t>
        </is>
      </c>
      <c r="L331" s="24" t="inlineStr">
        <is>
          <t>-</t>
        </is>
      </c>
      <c r="M331" s="24" t="inlineStr">
        <is>
          <t>제 43 기</t>
        </is>
      </c>
      <c r="N331" s="24" t="inlineStr">
        <is>
          <t>388722598.0</t>
        </is>
      </c>
      <c r="O331" s="24" t="inlineStr">
        <is>
          <t>999915593.0</t>
        </is>
      </c>
      <c r="P331" s="24" t="inlineStr">
        <is>
          <t>KRW</t>
        </is>
      </c>
      <c r="Q331" s="24" t="inlineStr">
        <is>
          <t>37</t>
        </is>
      </c>
    </row>
    <row r="332" ht="24" customHeight="1">
      <c r="A332" s="29" t="inlineStr">
        <is>
          <t>OpenDART_fnlttSinglAcntAll</t>
        </is>
      </c>
      <c r="B332" s="29" t="inlineStr">
        <is>
          <t>00161383</t>
        </is>
      </c>
      <c r="C332" s="29" t="inlineStr">
        <is>
          <t>한미반도체</t>
        </is>
      </c>
      <c r="D332" s="29" t="inlineStr">
        <is>
          <t>hanmi</t>
        </is>
      </c>
      <c r="E332" s="29" t="inlineStr">
        <is>
          <t>042700</t>
        </is>
      </c>
      <c r="F332" s="29" t="inlineStr">
        <is>
          <t>2022</t>
        </is>
      </c>
      <c r="G332" s="29" t="inlineStr">
        <is>
          <t>CFS</t>
        </is>
      </c>
      <c r="H332" s="29" t="inlineStr">
        <is>
          <t>CF</t>
        </is>
      </c>
      <c r="I332" s="29" t="inlineStr">
        <is>
          <t>현금흐름표</t>
        </is>
      </c>
      <c r="J332" s="29" t="inlineStr">
        <is>
          <t>dart_AdjustmentsForIncreasedecreaseInOtherCurrentFinancialLiabilities</t>
        </is>
      </c>
      <c r="K332" s="29" t="inlineStr">
        <is>
          <t>기타유동금융부채의 증가(감소)</t>
        </is>
      </c>
      <c r="L332" s="29" t="inlineStr">
        <is>
          <t>-</t>
        </is>
      </c>
      <c r="M332" s="29" t="inlineStr">
        <is>
          <t>제 43 기</t>
        </is>
      </c>
      <c r="N332" s="29" t="inlineStr">
        <is>
          <t>1054191394.0</t>
        </is>
      </c>
      <c r="O332" s="29" t="inlineStr">
        <is>
          <t>-1622857006.0</t>
        </is>
      </c>
      <c r="P332" s="29" t="inlineStr">
        <is>
          <t>KRW</t>
        </is>
      </c>
      <c r="Q332" s="29" t="inlineStr">
        <is>
          <t>38</t>
        </is>
      </c>
    </row>
    <row r="333" ht="24" customHeight="1">
      <c r="A333" s="24" t="inlineStr">
        <is>
          <t>OpenDART_fnlttSinglAcntAll</t>
        </is>
      </c>
      <c r="B333" s="24" t="inlineStr">
        <is>
          <t>00161383</t>
        </is>
      </c>
      <c r="C333" s="24" t="inlineStr">
        <is>
          <t>한미반도체</t>
        </is>
      </c>
      <c r="D333" s="24" t="inlineStr">
        <is>
          <t>hanmi</t>
        </is>
      </c>
      <c r="E333" s="24" t="inlineStr">
        <is>
          <t>042700</t>
        </is>
      </c>
      <c r="F333" s="24" t="inlineStr">
        <is>
          <t>2022</t>
        </is>
      </c>
      <c r="G333" s="24" t="inlineStr">
        <is>
          <t>CFS</t>
        </is>
      </c>
      <c r="H333" s="24" t="inlineStr">
        <is>
          <t>CF</t>
        </is>
      </c>
      <c r="I333" s="24" t="inlineStr">
        <is>
          <t>현금흐름표</t>
        </is>
      </c>
      <c r="J333" s="24" t="inlineStr">
        <is>
          <t>dart_AdjustmentsForIncreaseDecreaseInOtherCurrentLiabilities</t>
        </is>
      </c>
      <c r="K333" s="24" t="inlineStr">
        <is>
          <t>기타유동부채의 증가(감소)</t>
        </is>
      </c>
      <c r="L333" s="24" t="inlineStr">
        <is>
          <t>-</t>
        </is>
      </c>
      <c r="M333" s="24" t="inlineStr">
        <is>
          <t>제 43 기</t>
        </is>
      </c>
      <c r="N333" s="24" t="inlineStr">
        <is>
          <t>438708666.0</t>
        </is>
      </c>
      <c r="O333" s="24" t="inlineStr">
        <is>
          <t>-2135751737.0</t>
        </is>
      </c>
      <c r="P333" s="24" t="inlineStr">
        <is>
          <t>KRW</t>
        </is>
      </c>
      <c r="Q333" s="24" t="inlineStr">
        <is>
          <t>39</t>
        </is>
      </c>
    </row>
    <row r="334" ht="24" customHeight="1">
      <c r="A334" s="29" t="inlineStr">
        <is>
          <t>OpenDART_fnlttSinglAcntAll</t>
        </is>
      </c>
      <c r="B334" s="29" t="inlineStr">
        <is>
          <t>00161383</t>
        </is>
      </c>
      <c r="C334" s="29" t="inlineStr">
        <is>
          <t>한미반도체</t>
        </is>
      </c>
      <c r="D334" s="29" t="inlineStr">
        <is>
          <t>hanmi</t>
        </is>
      </c>
      <c r="E334" s="29" t="inlineStr">
        <is>
          <t>042700</t>
        </is>
      </c>
      <c r="F334" s="29" t="inlineStr">
        <is>
          <t>2022</t>
        </is>
      </c>
      <c r="G334" s="29" t="inlineStr">
        <is>
          <t>CFS</t>
        </is>
      </c>
      <c r="H334" s="29" t="inlineStr">
        <is>
          <t>CF</t>
        </is>
      </c>
      <c r="I334" s="29" t="inlineStr">
        <is>
          <t>현금흐름표</t>
        </is>
      </c>
      <c r="J334" s="29" t="inlineStr">
        <is>
          <t>dart_AdjustmentsForIncreasedecreaseInOtherNonCurrentFinancialLiabilities</t>
        </is>
      </c>
      <c r="K334" s="29" t="inlineStr">
        <is>
          <t>기타비유동금융부채의 증가(감소)</t>
        </is>
      </c>
      <c r="L334" s="29" t="inlineStr">
        <is>
          <t>-</t>
        </is>
      </c>
      <c r="M334" s="29" t="inlineStr">
        <is>
          <t>제 43 기</t>
        </is>
      </c>
      <c r="N334" s="29" t="inlineStr">
        <is>
          <t>1000000.0</t>
        </is>
      </c>
      <c r="O334" s="29" t="inlineStr">
        <is>
          <t>62000000.0</t>
        </is>
      </c>
      <c r="P334" s="29" t="inlineStr">
        <is>
          <t>KRW</t>
        </is>
      </c>
      <c r="Q334" s="29" t="inlineStr">
        <is>
          <t>40</t>
        </is>
      </c>
    </row>
    <row r="335" ht="24" customHeight="1">
      <c r="A335" s="24" t="inlineStr">
        <is>
          <t>OpenDART_fnlttSinglAcntAll</t>
        </is>
      </c>
      <c r="B335" s="24" t="inlineStr">
        <is>
          <t>00161383</t>
        </is>
      </c>
      <c r="C335" s="24" t="inlineStr">
        <is>
          <t>한미반도체</t>
        </is>
      </c>
      <c r="D335" s="24" t="inlineStr">
        <is>
          <t>hanmi</t>
        </is>
      </c>
      <c r="E335" s="24" t="inlineStr">
        <is>
          <t>042700</t>
        </is>
      </c>
      <c r="F335" s="24" t="inlineStr">
        <is>
          <t>2022</t>
        </is>
      </c>
      <c r="G335" s="24" t="inlineStr">
        <is>
          <t>CFS</t>
        </is>
      </c>
      <c r="H335" s="24" t="inlineStr">
        <is>
          <t>CF</t>
        </is>
      </c>
      <c r="I335" s="24" t="inlineStr">
        <is>
          <t>현금흐름표</t>
        </is>
      </c>
      <c r="J335" s="24" t="inlineStr">
        <is>
          <t>dart_AdjustmentsForIncreaseDecreaseInOtherNonCurrentLiabilities</t>
        </is>
      </c>
      <c r="K335" s="24" t="inlineStr">
        <is>
          <t>기타비유동부채의 증가(감소)</t>
        </is>
      </c>
      <c r="L335" s="24" t="inlineStr">
        <is>
          <t>-</t>
        </is>
      </c>
      <c r="M335" s="24" t="inlineStr">
        <is>
          <t>제 43 기</t>
        </is>
      </c>
      <c r="N335" s="24" t="inlineStr">
        <is>
          <t>-44561000.0</t>
        </is>
      </c>
      <c r="O335" s="24" t="inlineStr">
        <is>
          <t>-509426270.0</t>
        </is>
      </c>
      <c r="P335" s="24" t="inlineStr">
        <is>
          <t>KRW</t>
        </is>
      </c>
      <c r="Q335" s="24" t="inlineStr">
        <is>
          <t>41</t>
        </is>
      </c>
    </row>
    <row r="336" ht="24" customHeight="1">
      <c r="A336" s="29" t="inlineStr">
        <is>
          <t>OpenDART_fnlttSinglAcntAll</t>
        </is>
      </c>
      <c r="B336" s="29" t="inlineStr">
        <is>
          <t>00161383</t>
        </is>
      </c>
      <c r="C336" s="29" t="inlineStr">
        <is>
          <t>한미반도체</t>
        </is>
      </c>
      <c r="D336" s="29" t="inlineStr">
        <is>
          <t>hanmi</t>
        </is>
      </c>
      <c r="E336" s="29" t="inlineStr">
        <is>
          <t>042700</t>
        </is>
      </c>
      <c r="F336" s="29" t="inlineStr">
        <is>
          <t>2022</t>
        </is>
      </c>
      <c r="G336" s="29" t="inlineStr">
        <is>
          <t>CFS</t>
        </is>
      </c>
      <c r="H336" s="29" t="inlineStr">
        <is>
          <t>CF</t>
        </is>
      </c>
      <c r="I336" s="29" t="inlineStr">
        <is>
          <t>현금흐름표</t>
        </is>
      </c>
      <c r="J336" s="29" t="inlineStr">
        <is>
          <t>ifrs-full_InterestReceivedClassifiedAsOperatingActivities</t>
        </is>
      </c>
      <c r="K336" s="29" t="inlineStr">
        <is>
          <t>이자수취</t>
        </is>
      </c>
      <c r="L336" s="29" t="inlineStr">
        <is>
          <t>-</t>
        </is>
      </c>
      <c r="M336" s="29" t="inlineStr">
        <is>
          <t>제 43 기</t>
        </is>
      </c>
      <c r="N336" s="29" t="inlineStr">
        <is>
          <t>591557845.0</t>
        </is>
      </c>
      <c r="O336" s="29" t="inlineStr">
        <is>
          <t>85778307.0</t>
        </is>
      </c>
      <c r="P336" s="29" t="inlineStr">
        <is>
          <t>KRW</t>
        </is>
      </c>
      <c r="Q336" s="29" t="inlineStr">
        <is>
          <t>42</t>
        </is>
      </c>
    </row>
    <row r="337" ht="24" customHeight="1">
      <c r="A337" s="24" t="inlineStr">
        <is>
          <t>OpenDART_fnlttSinglAcntAll</t>
        </is>
      </c>
      <c r="B337" s="24" t="inlineStr">
        <is>
          <t>00161383</t>
        </is>
      </c>
      <c r="C337" s="24" t="inlineStr">
        <is>
          <t>한미반도체</t>
        </is>
      </c>
      <c r="D337" s="24" t="inlineStr">
        <is>
          <t>hanmi</t>
        </is>
      </c>
      <c r="E337" s="24" t="inlineStr">
        <is>
          <t>042700</t>
        </is>
      </c>
      <c r="F337" s="24" t="inlineStr">
        <is>
          <t>2022</t>
        </is>
      </c>
      <c r="G337" s="24" t="inlineStr">
        <is>
          <t>CFS</t>
        </is>
      </c>
      <c r="H337" s="24" t="inlineStr">
        <is>
          <t>CF</t>
        </is>
      </c>
      <c r="I337" s="24" t="inlineStr">
        <is>
          <t>현금흐름표</t>
        </is>
      </c>
      <c r="J337" s="24" t="inlineStr">
        <is>
          <t>ifrs-full_InterestPaidClassifiedAsOperatingActivities</t>
        </is>
      </c>
      <c r="K337" s="24" t="inlineStr">
        <is>
          <t>이자지급</t>
        </is>
      </c>
      <c r="L337" s="24" t="inlineStr">
        <is>
          <t>-</t>
        </is>
      </c>
      <c r="M337" s="24" t="inlineStr">
        <is>
          <t>제 43 기</t>
        </is>
      </c>
      <c r="N337" s="24" t="inlineStr">
        <is>
          <t>110485464.0</t>
        </is>
      </c>
      <c r="O337" s="24" t="inlineStr">
        <is>
          <t>27405050.0</t>
        </is>
      </c>
      <c r="P337" s="24" t="inlineStr">
        <is>
          <t>KRW</t>
        </is>
      </c>
      <c r="Q337" s="24" t="inlineStr">
        <is>
          <t>43</t>
        </is>
      </c>
    </row>
    <row r="338" ht="24" customHeight="1">
      <c r="A338" s="29" t="inlineStr">
        <is>
          <t>OpenDART_fnlttSinglAcntAll</t>
        </is>
      </c>
      <c r="B338" s="29" t="inlineStr">
        <is>
          <t>00161383</t>
        </is>
      </c>
      <c r="C338" s="29" t="inlineStr">
        <is>
          <t>한미반도체</t>
        </is>
      </c>
      <c r="D338" s="29" t="inlineStr">
        <is>
          <t>hanmi</t>
        </is>
      </c>
      <c r="E338" s="29" t="inlineStr">
        <is>
          <t>042700</t>
        </is>
      </c>
      <c r="F338" s="29" t="inlineStr">
        <is>
          <t>2022</t>
        </is>
      </c>
      <c r="G338" s="29" t="inlineStr">
        <is>
          <t>CFS</t>
        </is>
      </c>
      <c r="H338" s="29" t="inlineStr">
        <is>
          <t>CF</t>
        </is>
      </c>
      <c r="I338" s="29" t="inlineStr">
        <is>
          <t>현금흐름표</t>
        </is>
      </c>
      <c r="J338" s="29" t="inlineStr">
        <is>
          <t>ifrs-full_IncomeTaxesPaidRefundClassifiedAsOperatingActivities</t>
        </is>
      </c>
      <c r="K338" s="29" t="inlineStr">
        <is>
          <t>법인세의 납부</t>
        </is>
      </c>
      <c r="L338" s="29" t="inlineStr">
        <is>
          <t>-</t>
        </is>
      </c>
      <c r="M338" s="29" t="inlineStr">
        <is>
          <t>제 43 기</t>
        </is>
      </c>
      <c r="N338" s="29" t="inlineStr">
        <is>
          <t>39120673425.0</t>
        </is>
      </c>
      <c r="O338" s="29" t="inlineStr">
        <is>
          <t>22641573132.0</t>
        </is>
      </c>
      <c r="P338" s="29" t="inlineStr">
        <is>
          <t>KRW</t>
        </is>
      </c>
      <c r="Q338" s="29" t="inlineStr">
        <is>
          <t>44</t>
        </is>
      </c>
    </row>
    <row r="339" ht="24" customHeight="1">
      <c r="A339" s="24" t="inlineStr">
        <is>
          <t>OpenDART_fnlttSinglAcntAll</t>
        </is>
      </c>
      <c r="B339" s="24" t="inlineStr">
        <is>
          <t>00161383</t>
        </is>
      </c>
      <c r="C339" s="24" t="inlineStr">
        <is>
          <t>한미반도체</t>
        </is>
      </c>
      <c r="D339" s="24" t="inlineStr">
        <is>
          <t>hanmi</t>
        </is>
      </c>
      <c r="E339" s="24" t="inlineStr">
        <is>
          <t>042700</t>
        </is>
      </c>
      <c r="F339" s="24" t="inlineStr">
        <is>
          <t>2022</t>
        </is>
      </c>
      <c r="G339" s="24" t="inlineStr">
        <is>
          <t>CFS</t>
        </is>
      </c>
      <c r="H339" s="24" t="inlineStr">
        <is>
          <t>CF</t>
        </is>
      </c>
      <c r="I339" s="24" t="inlineStr">
        <is>
          <t>현금흐름표</t>
        </is>
      </c>
      <c r="J339" s="24" t="inlineStr">
        <is>
          <t>ifrs-full_CashFlowsFromUsedInInvestingActivities</t>
        </is>
      </c>
      <c r="K339" s="24" t="inlineStr">
        <is>
          <t>투자활동현금흐름</t>
        </is>
      </c>
      <c r="L339" s="24" t="inlineStr">
        <is>
          <t>-</t>
        </is>
      </c>
      <c r="M339" s="24" t="inlineStr">
        <is>
          <t>제 43 기</t>
        </is>
      </c>
      <c r="N339" s="24" t="inlineStr">
        <is>
          <t>-18079678286.0</t>
        </is>
      </c>
      <c r="O339" s="24" t="inlineStr">
        <is>
          <t>-64957521614.0</t>
        </is>
      </c>
      <c r="P339" s="24" t="inlineStr">
        <is>
          <t>KRW</t>
        </is>
      </c>
      <c r="Q339" s="24" t="inlineStr">
        <is>
          <t>45</t>
        </is>
      </c>
    </row>
    <row r="340" ht="24" customHeight="1">
      <c r="A340" s="29" t="inlineStr">
        <is>
          <t>OpenDART_fnlttSinglAcntAll</t>
        </is>
      </c>
      <c r="B340" s="29" t="inlineStr">
        <is>
          <t>00161383</t>
        </is>
      </c>
      <c r="C340" s="29" t="inlineStr">
        <is>
          <t>한미반도체</t>
        </is>
      </c>
      <c r="D340" s="29" t="inlineStr">
        <is>
          <t>hanmi</t>
        </is>
      </c>
      <c r="E340" s="29" t="inlineStr">
        <is>
          <t>042700</t>
        </is>
      </c>
      <c r="F340" s="29" t="inlineStr">
        <is>
          <t>2022</t>
        </is>
      </c>
      <c r="G340" s="29" t="inlineStr">
        <is>
          <t>CFS</t>
        </is>
      </c>
      <c r="H340" s="29" t="inlineStr">
        <is>
          <t>CF</t>
        </is>
      </c>
      <c r="I340" s="29" t="inlineStr">
        <is>
          <t>현금흐름표</t>
        </is>
      </c>
      <c r="J340" s="29" t="inlineStr">
        <is>
          <t>dart_ProceedsFromSalesOfInvestmentProperty</t>
        </is>
      </c>
      <c r="K340" s="29" t="inlineStr">
        <is>
          <t>투자부동산의 처분</t>
        </is>
      </c>
      <c r="L340" s="29" t="inlineStr">
        <is>
          <t>-</t>
        </is>
      </c>
      <c r="M340" s="29" t="inlineStr">
        <is>
          <t>제 43 기</t>
        </is>
      </c>
      <c r="N340" s="29" t="inlineStr">
        <is>
          <t>0.0</t>
        </is>
      </c>
      <c r="O340" s="29" t="inlineStr">
        <is>
          <t>0.0</t>
        </is>
      </c>
      <c r="P340" s="29" t="inlineStr">
        <is>
          <t>KRW</t>
        </is>
      </c>
      <c r="Q340" s="29" t="inlineStr">
        <is>
          <t>46</t>
        </is>
      </c>
    </row>
    <row r="341" ht="24" customHeight="1">
      <c r="A341" s="24" t="inlineStr">
        <is>
          <t>OpenDART_fnlttSinglAcntAll</t>
        </is>
      </c>
      <c r="B341" s="24" t="inlineStr">
        <is>
          <t>00161383</t>
        </is>
      </c>
      <c r="C341" s="24" t="inlineStr">
        <is>
          <t>한미반도체</t>
        </is>
      </c>
      <c r="D341" s="24" t="inlineStr">
        <is>
          <t>hanmi</t>
        </is>
      </c>
      <c r="E341" s="24" t="inlineStr">
        <is>
          <t>042700</t>
        </is>
      </c>
      <c r="F341" s="24" t="inlineStr">
        <is>
          <t>2022</t>
        </is>
      </c>
      <c r="G341" s="24" t="inlineStr">
        <is>
          <t>CFS</t>
        </is>
      </c>
      <c r="H341" s="24" t="inlineStr">
        <is>
          <t>CF</t>
        </is>
      </c>
      <c r="I341" s="24" t="inlineStr">
        <is>
          <t>현금흐름표</t>
        </is>
      </c>
      <c r="J341" s="24" t="inlineStr">
        <is>
          <t>ifrs-full_ProceedsFromSalesOfPropertyPlantAndEquipmentClassifiedAsInvestingActivities</t>
        </is>
      </c>
      <c r="K341" s="24" t="inlineStr">
        <is>
          <t>유형자산의 처분</t>
        </is>
      </c>
      <c r="L341" s="24" t="inlineStr">
        <is>
          <t>-</t>
        </is>
      </c>
      <c r="M341" s="24" t="inlineStr">
        <is>
          <t>제 43 기</t>
        </is>
      </c>
      <c r="N341" s="24" t="inlineStr">
        <is>
          <t>999727272.0</t>
        </is>
      </c>
      <c r="O341" s="24" t="inlineStr">
        <is>
          <t>207467090.0</t>
        </is>
      </c>
      <c r="P341" s="24" t="inlineStr">
        <is>
          <t>KRW</t>
        </is>
      </c>
      <c r="Q341" s="24" t="inlineStr">
        <is>
          <t>47</t>
        </is>
      </c>
    </row>
    <row r="342" ht="24" customHeight="1">
      <c r="A342" s="29" t="inlineStr">
        <is>
          <t>OpenDART_fnlttSinglAcntAll</t>
        </is>
      </c>
      <c r="B342" s="29" t="inlineStr">
        <is>
          <t>00161383</t>
        </is>
      </c>
      <c r="C342" s="29" t="inlineStr">
        <is>
          <t>한미반도체</t>
        </is>
      </c>
      <c r="D342" s="29" t="inlineStr">
        <is>
          <t>hanmi</t>
        </is>
      </c>
      <c r="E342" s="29" t="inlineStr">
        <is>
          <t>042700</t>
        </is>
      </c>
      <c r="F342" s="29" t="inlineStr">
        <is>
          <t>2022</t>
        </is>
      </c>
      <c r="G342" s="29" t="inlineStr">
        <is>
          <t>CFS</t>
        </is>
      </c>
      <c r="H342" s="29" t="inlineStr">
        <is>
          <t>CF</t>
        </is>
      </c>
      <c r="I342" s="29" t="inlineStr">
        <is>
          <t>현금흐름표</t>
        </is>
      </c>
      <c r="J342" s="29" t="inlineStr">
        <is>
          <t>dart_ProceedsFromSalesOfNonCurrentAssetsOrDisposalGroupsClassifiedAsHeldForSale</t>
        </is>
      </c>
      <c r="K342" s="29" t="inlineStr">
        <is>
          <t>매각예정비유동자산의 처분</t>
        </is>
      </c>
      <c r="L342" s="29" t="inlineStr">
        <is>
          <t>-</t>
        </is>
      </c>
      <c r="M342" s="29" t="inlineStr">
        <is>
          <t>제 43 기</t>
        </is>
      </c>
      <c r="N342" s="29" t="inlineStr">
        <is>
          <t>4616399920.0</t>
        </is>
      </c>
      <c r="O342" s="29" t="inlineStr">
        <is>
          <t>해당 없음</t>
        </is>
      </c>
      <c r="P342" s="29" t="inlineStr">
        <is>
          <t>KRW</t>
        </is>
      </c>
      <c r="Q342" s="29" t="inlineStr">
        <is>
          <t>48</t>
        </is>
      </c>
    </row>
    <row r="343" ht="24" customHeight="1">
      <c r="A343" s="24" t="inlineStr">
        <is>
          <t>OpenDART_fnlttSinglAcntAll</t>
        </is>
      </c>
      <c r="B343" s="24" t="inlineStr">
        <is>
          <t>00161383</t>
        </is>
      </c>
      <c r="C343" s="24" t="inlineStr">
        <is>
          <t>한미반도체</t>
        </is>
      </c>
      <c r="D343" s="24" t="inlineStr">
        <is>
          <t>hanmi</t>
        </is>
      </c>
      <c r="E343" s="24" t="inlineStr">
        <is>
          <t>042700</t>
        </is>
      </c>
      <c r="F343" s="24" t="inlineStr">
        <is>
          <t>2022</t>
        </is>
      </c>
      <c r="G343" s="24" t="inlineStr">
        <is>
          <t>CFS</t>
        </is>
      </c>
      <c r="H343" s="24" t="inlineStr">
        <is>
          <t>CF</t>
        </is>
      </c>
      <c r="I343" s="24" t="inlineStr">
        <is>
          <t>현금흐름표</t>
        </is>
      </c>
      <c r="J343" s="24" t="inlineStr">
        <is>
          <t>dart_DecreaseInGuaranteeDeposits</t>
        </is>
      </c>
      <c r="K343" s="24" t="inlineStr">
        <is>
          <t>보증금의 감소</t>
        </is>
      </c>
      <c r="L343" s="24" t="inlineStr">
        <is>
          <t>-</t>
        </is>
      </c>
      <c r="M343" s="24" t="inlineStr">
        <is>
          <t>제 43 기</t>
        </is>
      </c>
      <c r="N343" s="24" t="inlineStr">
        <is>
          <t>4843316.0</t>
        </is>
      </c>
      <c r="O343" s="24" t="inlineStr">
        <is>
          <t>4575000.0</t>
        </is>
      </c>
      <c r="P343" s="24" t="inlineStr">
        <is>
          <t>KRW</t>
        </is>
      </c>
      <c r="Q343" s="24" t="inlineStr">
        <is>
          <t>49</t>
        </is>
      </c>
    </row>
    <row r="344" ht="24" customHeight="1">
      <c r="A344" s="29" t="inlineStr">
        <is>
          <t>OpenDART_fnlttSinglAcntAll</t>
        </is>
      </c>
      <c r="B344" s="29" t="inlineStr">
        <is>
          <t>00161383</t>
        </is>
      </c>
      <c r="C344" s="29" t="inlineStr">
        <is>
          <t>한미반도체</t>
        </is>
      </c>
      <c r="D344" s="29" t="inlineStr">
        <is>
          <t>hanmi</t>
        </is>
      </c>
      <c r="E344" s="29" t="inlineStr">
        <is>
          <t>042700</t>
        </is>
      </c>
      <c r="F344" s="29" t="inlineStr">
        <is>
          <t>2022</t>
        </is>
      </c>
      <c r="G344" s="29" t="inlineStr">
        <is>
          <t>CFS</t>
        </is>
      </c>
      <c r="H344" s="29" t="inlineStr">
        <is>
          <t>CF</t>
        </is>
      </c>
      <c r="I344" s="29" t="inlineStr">
        <is>
          <t>현금흐름표</t>
        </is>
      </c>
      <c r="J344" s="29" t="inlineStr">
        <is>
          <t>dart_PurchaseOfLongTermFinancialInstruments</t>
        </is>
      </c>
      <c r="K344" s="29" t="inlineStr">
        <is>
          <t>장기금융상품의 증가</t>
        </is>
      </c>
      <c r="L344" s="29" t="inlineStr">
        <is>
          <t>-</t>
        </is>
      </c>
      <c r="M344" s="29" t="inlineStr">
        <is>
          <t>제 43 기</t>
        </is>
      </c>
      <c r="N344" s="29" t="inlineStr">
        <is>
          <t>1436880.0</t>
        </is>
      </c>
      <c r="O344" s="29" t="inlineStr">
        <is>
          <t>1436880.0</t>
        </is>
      </c>
      <c r="P344" s="29" t="inlineStr">
        <is>
          <t>KRW</t>
        </is>
      </c>
      <c r="Q344" s="29" t="inlineStr">
        <is>
          <t>50</t>
        </is>
      </c>
    </row>
    <row r="345" ht="24" customHeight="1">
      <c r="A345" s="24" t="inlineStr">
        <is>
          <t>OpenDART_fnlttSinglAcntAll</t>
        </is>
      </c>
      <c r="B345" s="24" t="inlineStr">
        <is>
          <t>00161383</t>
        </is>
      </c>
      <c r="C345" s="24" t="inlineStr">
        <is>
          <t>한미반도체</t>
        </is>
      </c>
      <c r="D345" s="24" t="inlineStr">
        <is>
          <t>hanmi</t>
        </is>
      </c>
      <c r="E345" s="24" t="inlineStr">
        <is>
          <t>042700</t>
        </is>
      </c>
      <c r="F345" s="24" t="inlineStr">
        <is>
          <t>2022</t>
        </is>
      </c>
      <c r="G345" s="24" t="inlineStr">
        <is>
          <t>CFS</t>
        </is>
      </c>
      <c r="H345" s="24" t="inlineStr">
        <is>
          <t>CF</t>
        </is>
      </c>
      <c r="I345" s="24" t="inlineStr">
        <is>
          <t>현금흐름표</t>
        </is>
      </c>
      <c r="J345" s="24" t="inlineStr">
        <is>
          <t>dart_IncreaseInGuaranteeDeposits</t>
        </is>
      </c>
      <c r="K345" s="24" t="inlineStr">
        <is>
          <t>보증금의 증가</t>
        </is>
      </c>
      <c r="L345" s="24" t="inlineStr">
        <is>
          <t>-</t>
        </is>
      </c>
      <c r="M345" s="24" t="inlineStr">
        <is>
          <t>제 43 기</t>
        </is>
      </c>
      <c r="N345" s="24" t="inlineStr">
        <is>
          <t>1025923629.0</t>
        </is>
      </c>
      <c r="O345" s="24" t="inlineStr">
        <is>
          <t>828605321.0</t>
        </is>
      </c>
      <c r="P345" s="24" t="inlineStr">
        <is>
          <t>KRW</t>
        </is>
      </c>
      <c r="Q345" s="24" t="inlineStr">
        <is>
          <t>51</t>
        </is>
      </c>
    </row>
    <row r="346" ht="24" customHeight="1">
      <c r="A346" s="29" t="inlineStr">
        <is>
          <t>OpenDART_fnlttSinglAcntAll</t>
        </is>
      </c>
      <c r="B346" s="29" t="inlineStr">
        <is>
          <t>00161383</t>
        </is>
      </c>
      <c r="C346" s="29" t="inlineStr">
        <is>
          <t>한미반도체</t>
        </is>
      </c>
      <c r="D346" s="29" t="inlineStr">
        <is>
          <t>hanmi</t>
        </is>
      </c>
      <c r="E346" s="29" t="inlineStr">
        <is>
          <t>042700</t>
        </is>
      </c>
      <c r="F346" s="29" t="inlineStr">
        <is>
          <t>2022</t>
        </is>
      </c>
      <c r="G346" s="29" t="inlineStr">
        <is>
          <t>CFS</t>
        </is>
      </c>
      <c r="H346" s="29" t="inlineStr">
        <is>
          <t>CF</t>
        </is>
      </c>
      <c r="I346" s="29" t="inlineStr">
        <is>
          <t>현금흐름표</t>
        </is>
      </c>
      <c r="J346" s="29" t="inlineStr">
        <is>
          <t>-표준계정코드 미사용-</t>
        </is>
      </c>
      <c r="K346" s="29" t="inlineStr">
        <is>
          <t>관계기업투자주식의 취득</t>
        </is>
      </c>
      <c r="L346" s="29" t="inlineStr">
        <is>
          <t>-</t>
        </is>
      </c>
      <c r="M346" s="29" t="inlineStr">
        <is>
          <t>제 43 기</t>
        </is>
      </c>
      <c r="N346" s="29" t="inlineStr">
        <is>
          <t>0.0</t>
        </is>
      </c>
      <c r="O346" s="29" t="inlineStr">
        <is>
          <t>37499699358.0</t>
        </is>
      </c>
      <c r="P346" s="29" t="inlineStr">
        <is>
          <t>KRW</t>
        </is>
      </c>
      <c r="Q346" s="29" t="inlineStr">
        <is>
          <t>52</t>
        </is>
      </c>
    </row>
    <row r="347" ht="24" customHeight="1">
      <c r="A347" s="24" t="inlineStr">
        <is>
          <t>OpenDART_fnlttSinglAcntAll</t>
        </is>
      </c>
      <c r="B347" s="24" t="inlineStr">
        <is>
          <t>00161383</t>
        </is>
      </c>
      <c r="C347" s="24" t="inlineStr">
        <is>
          <t>한미반도체</t>
        </is>
      </c>
      <c r="D347" s="24" t="inlineStr">
        <is>
          <t>hanmi</t>
        </is>
      </c>
      <c r="E347" s="24" t="inlineStr">
        <is>
          <t>042700</t>
        </is>
      </c>
      <c r="F347" s="24" t="inlineStr">
        <is>
          <t>2022</t>
        </is>
      </c>
      <c r="G347" s="24" t="inlineStr">
        <is>
          <t>CFS</t>
        </is>
      </c>
      <c r="H347" s="24" t="inlineStr">
        <is>
          <t>CF</t>
        </is>
      </c>
      <c r="I347" s="24" t="inlineStr">
        <is>
          <t>현금흐름표</t>
        </is>
      </c>
      <c r="J347" s="24" t="inlineStr">
        <is>
          <t>dart_PurchaseOfShortTermFinancialInstruments</t>
        </is>
      </c>
      <c r="K347" s="24" t="inlineStr">
        <is>
          <t>단기금융상품의 증가</t>
        </is>
      </c>
      <c r="L347" s="24" t="inlineStr">
        <is>
          <t>-</t>
        </is>
      </c>
      <c r="M347" s="24" t="inlineStr">
        <is>
          <t>제 43 기</t>
        </is>
      </c>
      <c r="N347" s="24" t="inlineStr">
        <is>
          <t>13380000000.0</t>
        </is>
      </c>
      <c r="O347" s="24" t="inlineStr">
        <is>
          <t>0.0</t>
        </is>
      </c>
      <c r="P347" s="24" t="inlineStr">
        <is>
          <t>KRW</t>
        </is>
      </c>
      <c r="Q347" s="24" t="inlineStr">
        <is>
          <t>53</t>
        </is>
      </c>
    </row>
    <row r="348" ht="24" customHeight="1">
      <c r="A348" s="29" t="inlineStr">
        <is>
          <t>OpenDART_fnlttSinglAcntAll</t>
        </is>
      </c>
      <c r="B348" s="29" t="inlineStr">
        <is>
          <t>00161383</t>
        </is>
      </c>
      <c r="C348" s="29" t="inlineStr">
        <is>
          <t>한미반도체</t>
        </is>
      </c>
      <c r="D348" s="29" t="inlineStr">
        <is>
          <t>hanmi</t>
        </is>
      </c>
      <c r="E348" s="29" t="inlineStr">
        <is>
          <t>042700</t>
        </is>
      </c>
      <c r="F348" s="29" t="inlineStr">
        <is>
          <t>2022</t>
        </is>
      </c>
      <c r="G348" s="29" t="inlineStr">
        <is>
          <t>CFS</t>
        </is>
      </c>
      <c r="H348" s="29" t="inlineStr">
        <is>
          <t>CF</t>
        </is>
      </c>
      <c r="I348" s="29" t="inlineStr">
        <is>
          <t>현금흐름표</t>
        </is>
      </c>
      <c r="J348" s="29" t="inlineStr">
        <is>
          <t>ifrs-full_PurchaseOfPropertyPlantAndEquipmentClassifiedAsInvestingActivities</t>
        </is>
      </c>
      <c r="K348" s="29" t="inlineStr">
        <is>
          <t>유형자산의 취득</t>
        </is>
      </c>
      <c r="L348" s="29" t="inlineStr">
        <is>
          <t>-</t>
        </is>
      </c>
      <c r="M348" s="29" t="inlineStr">
        <is>
          <t>제 43 기</t>
        </is>
      </c>
      <c r="N348" s="29" t="inlineStr">
        <is>
          <t>9090926920.0</t>
        </is>
      </c>
      <c r="O348" s="29" t="inlineStr">
        <is>
          <t>25283707204.0</t>
        </is>
      </c>
      <c r="P348" s="29" t="inlineStr">
        <is>
          <t>KRW</t>
        </is>
      </c>
      <c r="Q348" s="29" t="inlineStr">
        <is>
          <t>54</t>
        </is>
      </c>
    </row>
    <row r="349" ht="24" customHeight="1">
      <c r="A349" s="24" t="inlineStr">
        <is>
          <t>OpenDART_fnlttSinglAcntAll</t>
        </is>
      </c>
      <c r="B349" s="24" t="inlineStr">
        <is>
          <t>00161383</t>
        </is>
      </c>
      <c r="C349" s="24" t="inlineStr">
        <is>
          <t>한미반도체</t>
        </is>
      </c>
      <c r="D349" s="24" t="inlineStr">
        <is>
          <t>hanmi</t>
        </is>
      </c>
      <c r="E349" s="24" t="inlineStr">
        <is>
          <t>042700</t>
        </is>
      </c>
      <c r="F349" s="24" t="inlineStr">
        <is>
          <t>2022</t>
        </is>
      </c>
      <c r="G349" s="24" t="inlineStr">
        <is>
          <t>CFS</t>
        </is>
      </c>
      <c r="H349" s="24" t="inlineStr">
        <is>
          <t>CF</t>
        </is>
      </c>
      <c r="I349" s="24" t="inlineStr">
        <is>
          <t>현금흐름표</t>
        </is>
      </c>
      <c r="J349" s="24" t="inlineStr">
        <is>
          <t>ifrs-full_ProceedsFromSalesOfIntangibleAssetsClassifiedAsInvestingActivities</t>
        </is>
      </c>
      <c r="K349" s="24" t="inlineStr">
        <is>
          <t>무형자산의 처분</t>
        </is>
      </c>
      <c r="L349" s="24" t="inlineStr">
        <is>
          <t>-</t>
        </is>
      </c>
      <c r="M349" s="24" t="inlineStr">
        <is>
          <t>제 43 기</t>
        </is>
      </c>
      <c r="N349" s="24" t="inlineStr">
        <is>
          <t>0.0</t>
        </is>
      </c>
      <c r="O349" s="24" t="inlineStr">
        <is>
          <t>0.0</t>
        </is>
      </c>
      <c r="P349" s="24" t="inlineStr">
        <is>
          <t>KRW</t>
        </is>
      </c>
      <c r="Q349" s="24" t="inlineStr">
        <is>
          <t>55</t>
        </is>
      </c>
    </row>
    <row r="350" ht="24" customHeight="1">
      <c r="A350" s="29" t="inlineStr">
        <is>
          <t>OpenDART_fnlttSinglAcntAll</t>
        </is>
      </c>
      <c r="B350" s="29" t="inlineStr">
        <is>
          <t>00161383</t>
        </is>
      </c>
      <c r="C350" s="29" t="inlineStr">
        <is>
          <t>한미반도체</t>
        </is>
      </c>
      <c r="D350" s="29" t="inlineStr">
        <is>
          <t>hanmi</t>
        </is>
      </c>
      <c r="E350" s="29" t="inlineStr">
        <is>
          <t>042700</t>
        </is>
      </c>
      <c r="F350" s="29" t="inlineStr">
        <is>
          <t>2022</t>
        </is>
      </c>
      <c r="G350" s="29" t="inlineStr">
        <is>
          <t>CFS</t>
        </is>
      </c>
      <c r="H350" s="29" t="inlineStr">
        <is>
          <t>CF</t>
        </is>
      </c>
      <c r="I350" s="29" t="inlineStr">
        <is>
          <t>현금흐름표</t>
        </is>
      </c>
      <c r="J350" s="29" t="inlineStr">
        <is>
          <t>ifrs-full_PurchaseOfIntangibleAssetsClassifiedAsInvestingActivities</t>
        </is>
      </c>
      <c r="K350" s="29" t="inlineStr">
        <is>
          <t>무형자산의 취득</t>
        </is>
      </c>
      <c r="L350" s="29" t="inlineStr">
        <is>
          <t>-</t>
        </is>
      </c>
      <c r="M350" s="29" t="inlineStr">
        <is>
          <t>제 43 기</t>
        </is>
      </c>
      <c r="N350" s="29" t="inlineStr">
        <is>
          <t>202361365.0</t>
        </is>
      </c>
      <c r="O350" s="29" t="inlineStr">
        <is>
          <t>1556114941.0</t>
        </is>
      </c>
      <c r="P350" s="29" t="inlineStr">
        <is>
          <t>KRW</t>
        </is>
      </c>
      <c r="Q350" s="29" t="inlineStr">
        <is>
          <t>56</t>
        </is>
      </c>
    </row>
    <row r="351" ht="24" customHeight="1">
      <c r="A351" s="24" t="inlineStr">
        <is>
          <t>OpenDART_fnlttSinglAcntAll</t>
        </is>
      </c>
      <c r="B351" s="24" t="inlineStr">
        <is>
          <t>00161383</t>
        </is>
      </c>
      <c r="C351" s="24" t="inlineStr">
        <is>
          <t>한미반도체</t>
        </is>
      </c>
      <c r="D351" s="24" t="inlineStr">
        <is>
          <t>hanmi</t>
        </is>
      </c>
      <c r="E351" s="24" t="inlineStr">
        <is>
          <t>042700</t>
        </is>
      </c>
      <c r="F351" s="24" t="inlineStr">
        <is>
          <t>2022</t>
        </is>
      </c>
      <c r="G351" s="24" t="inlineStr">
        <is>
          <t>CFS</t>
        </is>
      </c>
      <c r="H351" s="24" t="inlineStr">
        <is>
          <t>CF</t>
        </is>
      </c>
      <c r="I351" s="24" t="inlineStr">
        <is>
          <t>현금흐름표</t>
        </is>
      </c>
      <c r="J351" s="24" t="inlineStr">
        <is>
          <t>ifrs-full_CashFlowsFromUsedInFinancingActivities</t>
        </is>
      </c>
      <c r="K351" s="24" t="inlineStr">
        <is>
          <t>재무활동현금흐름</t>
        </is>
      </c>
      <c r="L351" s="24" t="inlineStr">
        <is>
          <t>-</t>
        </is>
      </c>
      <c r="M351" s="24" t="inlineStr">
        <is>
          <t>제 43 기</t>
        </is>
      </c>
      <c r="N351" s="24" t="inlineStr">
        <is>
          <t>-50841790287.0</t>
        </is>
      </c>
      <c r="O351" s="24" t="inlineStr">
        <is>
          <t>-19856287040.0</t>
        </is>
      </c>
      <c r="P351" s="24" t="inlineStr">
        <is>
          <t>KRW</t>
        </is>
      </c>
      <c r="Q351" s="24" t="inlineStr">
        <is>
          <t>57</t>
        </is>
      </c>
    </row>
    <row r="352" ht="24" customHeight="1">
      <c r="A352" s="29" t="inlineStr">
        <is>
          <t>OpenDART_fnlttSinglAcntAll</t>
        </is>
      </c>
      <c r="B352" s="29" t="inlineStr">
        <is>
          <t>00161383</t>
        </is>
      </c>
      <c r="C352" s="29" t="inlineStr">
        <is>
          <t>한미반도체</t>
        </is>
      </c>
      <c r="D352" s="29" t="inlineStr">
        <is>
          <t>hanmi</t>
        </is>
      </c>
      <c r="E352" s="29" t="inlineStr">
        <is>
          <t>042700</t>
        </is>
      </c>
      <c r="F352" s="29" t="inlineStr">
        <is>
          <t>2022</t>
        </is>
      </c>
      <c r="G352" s="29" t="inlineStr">
        <is>
          <t>CFS</t>
        </is>
      </c>
      <c r="H352" s="29" t="inlineStr">
        <is>
          <t>CF</t>
        </is>
      </c>
      <c r="I352" s="29" t="inlineStr">
        <is>
          <t>현금흐름표</t>
        </is>
      </c>
      <c r="J352" s="29" t="inlineStr">
        <is>
          <t>dart_ProceedsFromShortTermBorrowings</t>
        </is>
      </c>
      <c r="K352" s="29" t="inlineStr">
        <is>
          <t>단기차입금의 증가</t>
        </is>
      </c>
      <c r="L352" s="29" t="inlineStr">
        <is>
          <t>-</t>
        </is>
      </c>
      <c r="M352" s="29" t="inlineStr">
        <is>
          <t>제 43 기</t>
        </is>
      </c>
      <c r="N352" s="29" t="inlineStr">
        <is>
          <t>11166991039.0</t>
        </is>
      </c>
      <c r="O352" s="29" t="inlineStr">
        <is>
          <t>5000000000.0</t>
        </is>
      </c>
      <c r="P352" s="29" t="inlineStr">
        <is>
          <t>KRW</t>
        </is>
      </c>
      <c r="Q352" s="29" t="inlineStr">
        <is>
          <t>58</t>
        </is>
      </c>
    </row>
    <row r="353" ht="24" customHeight="1">
      <c r="A353" s="24" t="inlineStr">
        <is>
          <t>OpenDART_fnlttSinglAcntAll</t>
        </is>
      </c>
      <c r="B353" s="24" t="inlineStr">
        <is>
          <t>00161383</t>
        </is>
      </c>
      <c r="C353" s="24" t="inlineStr">
        <is>
          <t>한미반도체</t>
        </is>
      </c>
      <c r="D353" s="24" t="inlineStr">
        <is>
          <t>hanmi</t>
        </is>
      </c>
      <c r="E353" s="24" t="inlineStr">
        <is>
          <t>042700</t>
        </is>
      </c>
      <c r="F353" s="24" t="inlineStr">
        <is>
          <t>2022</t>
        </is>
      </c>
      <c r="G353" s="24" t="inlineStr">
        <is>
          <t>CFS</t>
        </is>
      </c>
      <c r="H353" s="24" t="inlineStr">
        <is>
          <t>CF</t>
        </is>
      </c>
      <c r="I353" s="24" t="inlineStr">
        <is>
          <t>현금흐름표</t>
        </is>
      </c>
      <c r="J353" s="24" t="inlineStr">
        <is>
          <t>ifrs-full_DividendsPaidClassifiedAsFinancingActivities</t>
        </is>
      </c>
      <c r="K353" s="24" t="inlineStr">
        <is>
          <t>배당금지급</t>
        </is>
      </c>
      <c r="L353" s="24" t="inlineStr">
        <is>
          <t>-</t>
        </is>
      </c>
      <c r="M353" s="24" t="inlineStr">
        <is>
          <t>제 43 기</t>
        </is>
      </c>
      <c r="N353" s="24" t="inlineStr">
        <is>
          <t>29675926200.0</t>
        </is>
      </c>
      <c r="O353" s="24" t="inlineStr">
        <is>
          <t>19671513600.0</t>
        </is>
      </c>
      <c r="P353" s="24" t="inlineStr">
        <is>
          <t>KRW</t>
        </is>
      </c>
      <c r="Q353" s="24" t="inlineStr">
        <is>
          <t>59</t>
        </is>
      </c>
    </row>
    <row r="354" ht="24" customHeight="1">
      <c r="A354" s="29" t="inlineStr">
        <is>
          <t>OpenDART_fnlttSinglAcntAll</t>
        </is>
      </c>
      <c r="B354" s="29" t="inlineStr">
        <is>
          <t>00161383</t>
        </is>
      </c>
      <c r="C354" s="29" t="inlineStr">
        <is>
          <t>한미반도체</t>
        </is>
      </c>
      <c r="D354" s="29" t="inlineStr">
        <is>
          <t>hanmi</t>
        </is>
      </c>
      <c r="E354" s="29" t="inlineStr">
        <is>
          <t>042700</t>
        </is>
      </c>
      <c r="F354" s="29" t="inlineStr">
        <is>
          <t>2022</t>
        </is>
      </c>
      <c r="G354" s="29" t="inlineStr">
        <is>
          <t>CFS</t>
        </is>
      </c>
      <c r="H354" s="29" t="inlineStr">
        <is>
          <t>CF</t>
        </is>
      </c>
      <c r="I354" s="29" t="inlineStr">
        <is>
          <t>현금흐름표</t>
        </is>
      </c>
      <c r="J354" s="29" t="inlineStr">
        <is>
          <t>dart_RepaymentsOfShortTermBorrowings</t>
        </is>
      </c>
      <c r="K354" s="29" t="inlineStr">
        <is>
          <t>단기차입금의 상환</t>
        </is>
      </c>
      <c r="L354" s="29" t="inlineStr">
        <is>
          <t>-</t>
        </is>
      </c>
      <c r="M354" s="29" t="inlineStr">
        <is>
          <t>제 43 기</t>
        </is>
      </c>
      <c r="N354" s="29" t="inlineStr">
        <is>
          <t>11166991039.0</t>
        </is>
      </c>
      <c r="O354" s="29" t="inlineStr">
        <is>
          <t>5000000000.0</t>
        </is>
      </c>
      <c r="P354" s="29" t="inlineStr">
        <is>
          <t>KRW</t>
        </is>
      </c>
      <c r="Q354" s="29" t="inlineStr">
        <is>
          <t>60</t>
        </is>
      </c>
    </row>
    <row r="355" ht="24" customHeight="1">
      <c r="A355" s="24" t="inlineStr">
        <is>
          <t>OpenDART_fnlttSinglAcntAll</t>
        </is>
      </c>
      <c r="B355" s="24" t="inlineStr">
        <is>
          <t>00161383</t>
        </is>
      </c>
      <c r="C355" s="24" t="inlineStr">
        <is>
          <t>한미반도체</t>
        </is>
      </c>
      <c r="D355" s="24" t="inlineStr">
        <is>
          <t>hanmi</t>
        </is>
      </c>
      <c r="E355" s="24" t="inlineStr">
        <is>
          <t>042700</t>
        </is>
      </c>
      <c r="F355" s="24" t="inlineStr">
        <is>
          <t>2022</t>
        </is>
      </c>
      <c r="G355" s="24" t="inlineStr">
        <is>
          <t>CFS</t>
        </is>
      </c>
      <c r="H355" s="24" t="inlineStr">
        <is>
          <t>CF</t>
        </is>
      </c>
      <c r="I355" s="24" t="inlineStr">
        <is>
          <t>현금흐름표</t>
        </is>
      </c>
      <c r="J355" s="24" t="inlineStr">
        <is>
          <t>dart_AcquisitionOfTreasuryShares</t>
        </is>
      </c>
      <c r="K355" s="24" t="inlineStr">
        <is>
          <t>자기주식의 취득</t>
        </is>
      </c>
      <c r="L355" s="24" t="inlineStr">
        <is>
          <t>-</t>
        </is>
      </c>
      <c r="M355" s="24" t="inlineStr">
        <is>
          <t>제 43 기</t>
        </is>
      </c>
      <c r="N355" s="24" t="inlineStr">
        <is>
          <t>19995806500.0</t>
        </is>
      </c>
      <c r="O355" s="24" t="inlineStr">
        <is>
          <t>0.0</t>
        </is>
      </c>
      <c r="P355" s="24" t="inlineStr">
        <is>
          <t>KRW</t>
        </is>
      </c>
      <c r="Q355" s="24" t="inlineStr">
        <is>
          <t>61</t>
        </is>
      </c>
    </row>
    <row r="356" ht="24" customHeight="1">
      <c r="A356" s="29" t="inlineStr">
        <is>
          <t>OpenDART_fnlttSinglAcntAll</t>
        </is>
      </c>
      <c r="B356" s="29" t="inlineStr">
        <is>
          <t>00161383</t>
        </is>
      </c>
      <c r="C356" s="29" t="inlineStr">
        <is>
          <t>한미반도체</t>
        </is>
      </c>
      <c r="D356" s="29" t="inlineStr">
        <is>
          <t>hanmi</t>
        </is>
      </c>
      <c r="E356" s="29" t="inlineStr">
        <is>
          <t>042700</t>
        </is>
      </c>
      <c r="F356" s="29" t="inlineStr">
        <is>
          <t>2022</t>
        </is>
      </c>
      <c r="G356" s="29" t="inlineStr">
        <is>
          <t>CFS</t>
        </is>
      </c>
      <c r="H356" s="29" t="inlineStr">
        <is>
          <t>CF</t>
        </is>
      </c>
      <c r="I356" s="29" t="inlineStr">
        <is>
          <t>현금흐름표</t>
        </is>
      </c>
      <c r="J356" s="29" t="inlineStr">
        <is>
          <t>ifrs-full_PaymentsOfFinanceLeaseLiabilitiesClassifiedAsFinancingActivities</t>
        </is>
      </c>
      <c r="K356" s="29" t="inlineStr">
        <is>
          <t>리스부채의상환</t>
        </is>
      </c>
      <c r="L356" s="29" t="inlineStr">
        <is>
          <t>-</t>
        </is>
      </c>
      <c r="M356" s="29" t="inlineStr">
        <is>
          <t>제 43 기</t>
        </is>
      </c>
      <c r="N356" s="29" t="inlineStr">
        <is>
          <t>1170057587.0</t>
        </is>
      </c>
      <c r="O356" s="29" t="inlineStr">
        <is>
          <t>184773440.0</t>
        </is>
      </c>
      <c r="P356" s="29" t="inlineStr">
        <is>
          <t>KRW</t>
        </is>
      </c>
      <c r="Q356" s="29" t="inlineStr">
        <is>
          <t>62</t>
        </is>
      </c>
    </row>
    <row r="357" ht="24" customHeight="1">
      <c r="A357" s="24" t="inlineStr">
        <is>
          <t>OpenDART_fnlttSinglAcntAll</t>
        </is>
      </c>
      <c r="B357" s="24" t="inlineStr">
        <is>
          <t>00161383</t>
        </is>
      </c>
      <c r="C357" s="24" t="inlineStr">
        <is>
          <t>한미반도체</t>
        </is>
      </c>
      <c r="D357" s="24" t="inlineStr">
        <is>
          <t>hanmi</t>
        </is>
      </c>
      <c r="E357" s="24" t="inlineStr">
        <is>
          <t>042700</t>
        </is>
      </c>
      <c r="F357" s="24" t="inlineStr">
        <is>
          <t>2022</t>
        </is>
      </c>
      <c r="G357" s="24" t="inlineStr">
        <is>
          <t>CFS</t>
        </is>
      </c>
      <c r="H357" s="24" t="inlineStr">
        <is>
          <t>CF</t>
        </is>
      </c>
      <c r="I357" s="24" t="inlineStr">
        <is>
          <t>현금흐름표</t>
        </is>
      </c>
      <c r="J357" s="24" t="inlineStr">
        <is>
          <t>ifrs-full_IncreaseDecreaseInCashAndCashEquivalents</t>
        </is>
      </c>
      <c r="K357" s="24" t="inlineStr">
        <is>
          <t>현금및현금성자산의순증가(감소)</t>
        </is>
      </c>
      <c r="L357" s="24" t="inlineStr">
        <is>
          <t>-</t>
        </is>
      </c>
      <c r="M357" s="24" t="inlineStr">
        <is>
          <t>제 43 기</t>
        </is>
      </c>
      <c r="N357" s="24" t="inlineStr">
        <is>
          <t>40580339648.0</t>
        </is>
      </c>
      <c r="O357" s="24" t="inlineStr">
        <is>
          <t>-32534717964.0</t>
        </is>
      </c>
      <c r="P357" s="24" t="inlineStr">
        <is>
          <t>KRW</t>
        </is>
      </c>
      <c r="Q357" s="24" t="inlineStr">
        <is>
          <t>63</t>
        </is>
      </c>
    </row>
    <row r="358" ht="24" customHeight="1">
      <c r="A358" s="29" t="inlineStr">
        <is>
          <t>OpenDART_fnlttSinglAcntAll</t>
        </is>
      </c>
      <c r="B358" s="29" t="inlineStr">
        <is>
          <t>00161383</t>
        </is>
      </c>
      <c r="C358" s="29" t="inlineStr">
        <is>
          <t>한미반도체</t>
        </is>
      </c>
      <c r="D358" s="29" t="inlineStr">
        <is>
          <t>hanmi</t>
        </is>
      </c>
      <c r="E358" s="29" t="inlineStr">
        <is>
          <t>042700</t>
        </is>
      </c>
      <c r="F358" s="29" t="inlineStr">
        <is>
          <t>2022</t>
        </is>
      </c>
      <c r="G358" s="29" t="inlineStr">
        <is>
          <t>CFS</t>
        </is>
      </c>
      <c r="H358" s="29" t="inlineStr">
        <is>
          <t>CF</t>
        </is>
      </c>
      <c r="I358" s="29" t="inlineStr">
        <is>
          <t>현금흐름표</t>
        </is>
      </c>
      <c r="J358" s="29" t="inlineStr">
        <is>
          <t>dart_CashAndCashEquivalentsAtBeginningOfPeriodCf</t>
        </is>
      </c>
      <c r="K358" s="29" t="inlineStr">
        <is>
          <t>기초현금및현금성자산</t>
        </is>
      </c>
      <c r="L358" s="29" t="inlineStr">
        <is>
          <t>-</t>
        </is>
      </c>
      <c r="M358" s="29" t="inlineStr">
        <is>
          <t>제 43 기</t>
        </is>
      </c>
      <c r="N358" s="29" t="inlineStr">
        <is>
          <t>49608464797.0</t>
        </is>
      </c>
      <c r="O358" s="29" t="inlineStr">
        <is>
          <t>81154267884.0</t>
        </is>
      </c>
      <c r="P358" s="29" t="inlineStr">
        <is>
          <t>KRW</t>
        </is>
      </c>
      <c r="Q358" s="29" t="inlineStr">
        <is>
          <t>64</t>
        </is>
      </c>
    </row>
    <row r="359" ht="24" customHeight="1">
      <c r="A359" s="24" t="inlineStr">
        <is>
          <t>OpenDART_fnlttSinglAcntAll</t>
        </is>
      </c>
      <c r="B359" s="24" t="inlineStr">
        <is>
          <t>00161383</t>
        </is>
      </c>
      <c r="C359" s="24" t="inlineStr">
        <is>
          <t>한미반도체</t>
        </is>
      </c>
      <c r="D359" s="24" t="inlineStr">
        <is>
          <t>hanmi</t>
        </is>
      </c>
      <c r="E359" s="24" t="inlineStr">
        <is>
          <t>042700</t>
        </is>
      </c>
      <c r="F359" s="24" t="inlineStr">
        <is>
          <t>2022</t>
        </is>
      </c>
      <c r="G359" s="24" t="inlineStr">
        <is>
          <t>CFS</t>
        </is>
      </c>
      <c r="H359" s="24" t="inlineStr">
        <is>
          <t>CF</t>
        </is>
      </c>
      <c r="I359" s="24" t="inlineStr">
        <is>
          <t>현금흐름표</t>
        </is>
      </c>
      <c r="J359" s="24" t="inlineStr">
        <is>
          <t>-표준계정코드 미사용-</t>
        </is>
      </c>
      <c r="K359" s="24" t="inlineStr">
        <is>
          <t>외화표시현금및현금성자산의환율변동효과</t>
        </is>
      </c>
      <c r="L359" s="24" t="inlineStr">
        <is>
          <t>-</t>
        </is>
      </c>
      <c r="M359" s="24" t="inlineStr">
        <is>
          <t>제 43 기</t>
        </is>
      </c>
      <c r="N359" s="24" t="inlineStr">
        <is>
          <t>706887450.0</t>
        </is>
      </c>
      <c r="O359" s="24" t="inlineStr">
        <is>
          <t>988914877.0</t>
        </is>
      </c>
      <c r="P359" s="24" t="inlineStr">
        <is>
          <t>KRW</t>
        </is>
      </c>
      <c r="Q359" s="24" t="inlineStr">
        <is>
          <t>65</t>
        </is>
      </c>
    </row>
    <row r="360" ht="24" customHeight="1">
      <c r="A360" s="29" t="inlineStr">
        <is>
          <t>OpenDART_fnlttSinglAcntAll</t>
        </is>
      </c>
      <c r="B360" s="29" t="inlineStr">
        <is>
          <t>00161383</t>
        </is>
      </c>
      <c r="C360" s="29" t="inlineStr">
        <is>
          <t>한미반도체</t>
        </is>
      </c>
      <c r="D360" s="29" t="inlineStr">
        <is>
          <t>hanmi</t>
        </is>
      </c>
      <c r="E360" s="29" t="inlineStr">
        <is>
          <t>042700</t>
        </is>
      </c>
      <c r="F360" s="29" t="inlineStr">
        <is>
          <t>2022</t>
        </is>
      </c>
      <c r="G360" s="29" t="inlineStr">
        <is>
          <t>CFS</t>
        </is>
      </c>
      <c r="H360" s="29" t="inlineStr">
        <is>
          <t>CF</t>
        </is>
      </c>
      <c r="I360" s="29" t="inlineStr">
        <is>
          <t>현금흐름표</t>
        </is>
      </c>
      <c r="J360" s="29" t="inlineStr">
        <is>
          <t>dart_CashAndCashEquivalentsAtEndOfPeriodCf</t>
        </is>
      </c>
      <c r="K360" s="29" t="inlineStr">
        <is>
          <t>기말현금및현금성자산</t>
        </is>
      </c>
      <c r="L360" s="29" t="inlineStr">
        <is>
          <t>-</t>
        </is>
      </c>
      <c r="M360" s="29" t="inlineStr">
        <is>
          <t>제 43 기</t>
        </is>
      </c>
      <c r="N360" s="29" t="inlineStr">
        <is>
          <t>90895691895.0</t>
        </is>
      </c>
      <c r="O360" s="29" t="inlineStr">
        <is>
          <t>49608464797.0</t>
        </is>
      </c>
      <c r="P360" s="29" t="inlineStr">
        <is>
          <t>KRW</t>
        </is>
      </c>
      <c r="Q360" s="29" t="inlineStr">
        <is>
          <t>66</t>
        </is>
      </c>
    </row>
    <row r="361" ht="24" customHeight="1">
      <c r="A361" s="24" t="inlineStr">
        <is>
          <t>OpenDART_fnlttSinglAcntAll</t>
        </is>
      </c>
      <c r="B361" s="24" t="inlineStr">
        <is>
          <t>00161383</t>
        </is>
      </c>
      <c r="C361" s="24" t="inlineStr">
        <is>
          <t>한미반도체</t>
        </is>
      </c>
      <c r="D361" s="24" t="inlineStr">
        <is>
          <t>hanmi</t>
        </is>
      </c>
      <c r="E361" s="24" t="inlineStr">
        <is>
          <t>042700</t>
        </is>
      </c>
      <c r="F361" s="24" t="inlineStr">
        <is>
          <t>2022</t>
        </is>
      </c>
      <c r="G361" s="24" t="inlineStr">
        <is>
          <t>CFS</t>
        </is>
      </c>
      <c r="H361" s="24" t="inlineStr">
        <is>
          <t>SCE</t>
        </is>
      </c>
      <c r="I361" s="24" t="inlineStr">
        <is>
          <t>자본변동표</t>
        </is>
      </c>
      <c r="J361" s="24" t="inlineStr">
        <is>
          <t>dart_EquityAtBeginningOfPeriod</t>
        </is>
      </c>
      <c r="K361" s="24" t="inlineStr">
        <is>
          <t>기초자본</t>
        </is>
      </c>
      <c r="L361" s="24" t="inlineStr">
        <is>
          <t>자본 [member]|지배기업지분|자본금 [member]</t>
        </is>
      </c>
      <c r="M361" s="24" t="inlineStr">
        <is>
          <t>제 43 기</t>
        </is>
      </c>
      <c r="N361" s="24" t="inlineStr">
        <is>
          <t>12716420500.0</t>
        </is>
      </c>
      <c r="O361" s="24" t="inlineStr">
        <is>
          <t>12716420500.0</t>
        </is>
      </c>
      <c r="P361" s="24" t="inlineStr">
        <is>
          <t>KRW</t>
        </is>
      </c>
      <c r="Q361" s="24" t="inlineStr">
        <is>
          <t>1</t>
        </is>
      </c>
    </row>
    <row r="362" ht="24" customHeight="1">
      <c r="A362" s="29" t="inlineStr">
        <is>
          <t>OpenDART_fnlttSinglAcntAll</t>
        </is>
      </c>
      <c r="B362" s="29" t="inlineStr">
        <is>
          <t>00161383</t>
        </is>
      </c>
      <c r="C362" s="29" t="inlineStr">
        <is>
          <t>한미반도체</t>
        </is>
      </c>
      <c r="D362" s="29" t="inlineStr">
        <is>
          <t>hanmi</t>
        </is>
      </c>
      <c r="E362" s="29" t="inlineStr">
        <is>
          <t>042700</t>
        </is>
      </c>
      <c r="F362" s="29" t="inlineStr">
        <is>
          <t>2022</t>
        </is>
      </c>
      <c r="G362" s="29" t="inlineStr">
        <is>
          <t>CFS</t>
        </is>
      </c>
      <c r="H362" s="29" t="inlineStr">
        <is>
          <t>SCE</t>
        </is>
      </c>
      <c r="I362" s="29" t="inlineStr">
        <is>
          <t>자본변동표</t>
        </is>
      </c>
      <c r="J362" s="29" t="inlineStr">
        <is>
          <t>dart_EquityAtBeginningOfPeriod</t>
        </is>
      </c>
      <c r="K362" s="29" t="inlineStr">
        <is>
          <t>기초자본</t>
        </is>
      </c>
      <c r="L362" s="29" t="inlineStr">
        <is>
          <t>자본 [member]|지배기업지분|이익잉여금 [member]</t>
        </is>
      </c>
      <c r="M362" s="29" t="inlineStr">
        <is>
          <t>제 43 기</t>
        </is>
      </c>
      <c r="N362" s="29" t="inlineStr">
        <is>
          <t>282619540445.0</t>
        </is>
      </c>
      <c r="O362" s="29" t="inlineStr">
        <is>
          <t>215235788066.0</t>
        </is>
      </c>
      <c r="P362" s="29" t="inlineStr">
        <is>
          <t>KRW</t>
        </is>
      </c>
      <c r="Q362" s="29" t="inlineStr">
        <is>
          <t>1</t>
        </is>
      </c>
    </row>
    <row r="363" ht="24" customHeight="1">
      <c r="A363" s="24" t="inlineStr">
        <is>
          <t>OpenDART_fnlttSinglAcntAll</t>
        </is>
      </c>
      <c r="B363" s="24" t="inlineStr">
        <is>
          <t>00161383</t>
        </is>
      </c>
      <c r="C363" s="24" t="inlineStr">
        <is>
          <t>한미반도체</t>
        </is>
      </c>
      <c r="D363" s="24" t="inlineStr">
        <is>
          <t>hanmi</t>
        </is>
      </c>
      <c r="E363" s="24" t="inlineStr">
        <is>
          <t>042700</t>
        </is>
      </c>
      <c r="F363" s="24" t="inlineStr">
        <is>
          <t>2022</t>
        </is>
      </c>
      <c r="G363" s="24" t="inlineStr">
        <is>
          <t>CFS</t>
        </is>
      </c>
      <c r="H363" s="24" t="inlineStr">
        <is>
          <t>SCE</t>
        </is>
      </c>
      <c r="I363" s="24" t="inlineStr">
        <is>
          <t>자본변동표</t>
        </is>
      </c>
      <c r="J363" s="24" t="inlineStr">
        <is>
          <t>dart_EquityAtBeginningOfPeriod</t>
        </is>
      </c>
      <c r="K363" s="24" t="inlineStr">
        <is>
          <t>기초자본</t>
        </is>
      </c>
      <c r="L363" s="24" t="inlineStr">
        <is>
          <t>자본 [member]|지배기업지분|기타포괄손익누계액 [member]</t>
        </is>
      </c>
      <c r="M363" s="24" t="inlineStr">
        <is>
          <t>제 43 기</t>
        </is>
      </c>
      <c r="N363" s="24" t="inlineStr">
        <is>
          <t>154903951.0</t>
        </is>
      </c>
      <c r="O363" s="24" t="inlineStr">
        <is>
          <t>-135823751.0</t>
        </is>
      </c>
      <c r="P363" s="24" t="inlineStr">
        <is>
          <t>KRW</t>
        </is>
      </c>
      <c r="Q363" s="24" t="inlineStr">
        <is>
          <t>1</t>
        </is>
      </c>
    </row>
    <row r="364" ht="24" customHeight="1">
      <c r="A364" s="29" t="inlineStr">
        <is>
          <t>OpenDART_fnlttSinglAcntAll</t>
        </is>
      </c>
      <c r="B364" s="29" t="inlineStr">
        <is>
          <t>00161383</t>
        </is>
      </c>
      <c r="C364" s="29" t="inlineStr">
        <is>
          <t>한미반도체</t>
        </is>
      </c>
      <c r="D364" s="29" t="inlineStr">
        <is>
          <t>hanmi</t>
        </is>
      </c>
      <c r="E364" s="29" t="inlineStr">
        <is>
          <t>042700</t>
        </is>
      </c>
      <c r="F364" s="29" t="inlineStr">
        <is>
          <t>2022</t>
        </is>
      </c>
      <c r="G364" s="29" t="inlineStr">
        <is>
          <t>CFS</t>
        </is>
      </c>
      <c r="H364" s="29" t="inlineStr">
        <is>
          <t>SCE</t>
        </is>
      </c>
      <c r="I364" s="29" t="inlineStr">
        <is>
          <t>자본변동표</t>
        </is>
      </c>
      <c r="J364" s="29" t="inlineStr">
        <is>
          <t>dart_EquityAtBeginningOfPeriod</t>
        </is>
      </c>
      <c r="K364" s="29" t="inlineStr">
        <is>
          <t>기초자본</t>
        </is>
      </c>
      <c r="L364" s="29" t="inlineStr">
        <is>
          <t>자본 [member]|지배기업지분|기타자본구성요소 [member]</t>
        </is>
      </c>
      <c r="M364" s="29" t="inlineStr">
        <is>
          <t>제 43 기</t>
        </is>
      </c>
      <c r="N364" s="29" t="inlineStr">
        <is>
          <t>403275571.0</t>
        </is>
      </c>
      <c r="O364" s="29" t="inlineStr">
        <is>
          <t>-18615800510.0</t>
        </is>
      </c>
      <c r="P364" s="29" t="inlineStr">
        <is>
          <t>KRW</t>
        </is>
      </c>
      <c r="Q364" s="29" t="inlineStr">
        <is>
          <t>1</t>
        </is>
      </c>
    </row>
    <row r="365" ht="24" customHeight="1">
      <c r="A365" s="24" t="inlineStr">
        <is>
          <t>OpenDART_fnlttSinglAcntAll</t>
        </is>
      </c>
      <c r="B365" s="24" t="inlineStr">
        <is>
          <t>00161383</t>
        </is>
      </c>
      <c r="C365" s="24" t="inlineStr">
        <is>
          <t>한미반도체</t>
        </is>
      </c>
      <c r="D365" s="24" t="inlineStr">
        <is>
          <t>hanmi</t>
        </is>
      </c>
      <c r="E365" s="24" t="inlineStr">
        <is>
          <t>042700</t>
        </is>
      </c>
      <c r="F365" s="24" t="inlineStr">
        <is>
          <t>2022</t>
        </is>
      </c>
      <c r="G365" s="24" t="inlineStr">
        <is>
          <t>CFS</t>
        </is>
      </c>
      <c r="H365" s="24" t="inlineStr">
        <is>
          <t>SCE</t>
        </is>
      </c>
      <c r="I365" s="24" t="inlineStr">
        <is>
          <t>자본변동표</t>
        </is>
      </c>
      <c r="J365" s="24" t="inlineStr">
        <is>
          <t>dart_EquityAtBeginningOfPeriod</t>
        </is>
      </c>
      <c r="K365" s="24" t="inlineStr">
        <is>
          <t>기초자본</t>
        </is>
      </c>
      <c r="L365" s="24" t="inlineStr">
        <is>
          <t>자본 [member]|지배기업지분</t>
        </is>
      </c>
      <c r="M365" s="24" t="inlineStr">
        <is>
          <t>제 43 기</t>
        </is>
      </c>
      <c r="N365" s="24" t="inlineStr">
        <is>
          <t>346812042277.0</t>
        </is>
      </c>
      <c r="O365" s="24" t="inlineStr">
        <is>
          <t>257090542803.0</t>
        </is>
      </c>
      <c r="P365" s="24" t="inlineStr">
        <is>
          <t>KRW</t>
        </is>
      </c>
      <c r="Q365" s="24" t="inlineStr">
        <is>
          <t>1</t>
        </is>
      </c>
    </row>
    <row r="366" ht="24" customHeight="1">
      <c r="A366" s="29" t="inlineStr">
        <is>
          <t>OpenDART_fnlttSinglAcntAll</t>
        </is>
      </c>
      <c r="B366" s="29" t="inlineStr">
        <is>
          <t>00161383</t>
        </is>
      </c>
      <c r="C366" s="29" t="inlineStr">
        <is>
          <t>한미반도체</t>
        </is>
      </c>
      <c r="D366" s="29" t="inlineStr">
        <is>
          <t>hanmi</t>
        </is>
      </c>
      <c r="E366" s="29" t="inlineStr">
        <is>
          <t>042700</t>
        </is>
      </c>
      <c r="F366" s="29" t="inlineStr">
        <is>
          <t>2022</t>
        </is>
      </c>
      <c r="G366" s="29" t="inlineStr">
        <is>
          <t>CFS</t>
        </is>
      </c>
      <c r="H366" s="29" t="inlineStr">
        <is>
          <t>SCE</t>
        </is>
      </c>
      <c r="I366" s="29" t="inlineStr">
        <is>
          <t>자본변동표</t>
        </is>
      </c>
      <c r="J366" s="29" t="inlineStr">
        <is>
          <t>dart_EquityAtBeginningOfPeriod</t>
        </is>
      </c>
      <c r="K366" s="29" t="inlineStr">
        <is>
          <t>기초자본</t>
        </is>
      </c>
      <c r="L366" s="29" t="inlineStr">
        <is>
          <t>연결재무제표 [member]</t>
        </is>
      </c>
      <c r="M366" s="29" t="inlineStr">
        <is>
          <t>제 43 기</t>
        </is>
      </c>
      <c r="N366" s="29" t="inlineStr">
        <is>
          <t>346812042277.0</t>
        </is>
      </c>
      <c r="O366" s="29" t="inlineStr">
        <is>
          <t>257090542803.0</t>
        </is>
      </c>
      <c r="P366" s="29" t="inlineStr">
        <is>
          <t>KRW</t>
        </is>
      </c>
      <c r="Q366" s="29" t="inlineStr">
        <is>
          <t>1</t>
        </is>
      </c>
    </row>
    <row r="367" ht="24" customHeight="1">
      <c r="A367" s="24" t="inlineStr">
        <is>
          <t>OpenDART_fnlttSinglAcntAll</t>
        </is>
      </c>
      <c r="B367" s="24" t="inlineStr">
        <is>
          <t>00161383</t>
        </is>
      </c>
      <c r="C367" s="24" t="inlineStr">
        <is>
          <t>한미반도체</t>
        </is>
      </c>
      <c r="D367" s="24" t="inlineStr">
        <is>
          <t>hanmi</t>
        </is>
      </c>
      <c r="E367" s="24" t="inlineStr">
        <is>
          <t>042700</t>
        </is>
      </c>
      <c r="F367" s="24" t="inlineStr">
        <is>
          <t>2022</t>
        </is>
      </c>
      <c r="G367" s="24" t="inlineStr">
        <is>
          <t>CFS</t>
        </is>
      </c>
      <c r="H367" s="24" t="inlineStr">
        <is>
          <t>SCE</t>
        </is>
      </c>
      <c r="I367" s="24" t="inlineStr">
        <is>
          <t>자본변동표</t>
        </is>
      </c>
      <c r="J367" s="24" t="inlineStr">
        <is>
          <t>dart_EquityAtBeginningOfPeriod</t>
        </is>
      </c>
      <c r="K367" s="24" t="inlineStr">
        <is>
          <t>기초자본</t>
        </is>
      </c>
      <c r="L367" s="24" t="inlineStr">
        <is>
          <t>자본 [member]|지배기업지분|자본잉여금 [member]</t>
        </is>
      </c>
      <c r="M367" s="24" t="inlineStr">
        <is>
          <t>제 43 기</t>
        </is>
      </c>
      <c r="N367" s="24" t="inlineStr">
        <is>
          <t>50917901810.0</t>
        </is>
      </c>
      <c r="O367" s="24" t="inlineStr">
        <is>
          <t>47889958498.0</t>
        </is>
      </c>
      <c r="P367" s="24" t="inlineStr">
        <is>
          <t>KRW</t>
        </is>
      </c>
      <c r="Q367" s="24" t="inlineStr">
        <is>
          <t>1</t>
        </is>
      </c>
    </row>
    <row r="368" ht="24" customHeight="1">
      <c r="A368" s="29" t="inlineStr">
        <is>
          <t>OpenDART_fnlttSinglAcntAll</t>
        </is>
      </c>
      <c r="B368" s="29" t="inlineStr">
        <is>
          <t>00161383</t>
        </is>
      </c>
      <c r="C368" s="29" t="inlineStr">
        <is>
          <t>한미반도체</t>
        </is>
      </c>
      <c r="D368" s="29" t="inlineStr">
        <is>
          <t>hanmi</t>
        </is>
      </c>
      <c r="E368" s="29" t="inlineStr">
        <is>
          <t>042700</t>
        </is>
      </c>
      <c r="F368" s="29" t="inlineStr">
        <is>
          <t>2022</t>
        </is>
      </c>
      <c r="G368" s="29" t="inlineStr">
        <is>
          <t>CFS</t>
        </is>
      </c>
      <c r="H368" s="29" t="inlineStr">
        <is>
          <t>SCE</t>
        </is>
      </c>
      <c r="I368" s="29" t="inlineStr">
        <is>
          <t>자본변동표</t>
        </is>
      </c>
      <c r="J368" s="29" t="inlineStr">
        <is>
          <t>ifrs-full_ProfitLoss</t>
        </is>
      </c>
      <c r="K368" s="29" t="inlineStr">
        <is>
          <t>당기순이익</t>
        </is>
      </c>
      <c r="L368" s="29" t="inlineStr">
        <is>
          <t>자본 [member]|지배기업지분|자본잉여금 [member]</t>
        </is>
      </c>
      <c r="M368" s="29" t="inlineStr">
        <is>
          <t>제 43 기</t>
        </is>
      </c>
      <c r="N368" s="29" t="inlineStr">
        <is>
          <t>0.0</t>
        </is>
      </c>
      <c r="O368" s="29" t="inlineStr">
        <is>
          <t>해당 없음</t>
        </is>
      </c>
      <c r="P368" s="29" t="inlineStr">
        <is>
          <t>KRW</t>
        </is>
      </c>
      <c r="Q368" s="29" t="inlineStr">
        <is>
          <t>2</t>
        </is>
      </c>
    </row>
    <row r="369" ht="24" customHeight="1">
      <c r="A369" s="24" t="inlineStr">
        <is>
          <t>OpenDART_fnlttSinglAcntAll</t>
        </is>
      </c>
      <c r="B369" s="24" t="inlineStr">
        <is>
          <t>00161383</t>
        </is>
      </c>
      <c r="C369" s="24" t="inlineStr">
        <is>
          <t>한미반도체</t>
        </is>
      </c>
      <c r="D369" s="24" t="inlineStr">
        <is>
          <t>hanmi</t>
        </is>
      </c>
      <c r="E369" s="24" t="inlineStr">
        <is>
          <t>042700</t>
        </is>
      </c>
      <c r="F369" s="24" t="inlineStr">
        <is>
          <t>2022</t>
        </is>
      </c>
      <c r="G369" s="24" t="inlineStr">
        <is>
          <t>CFS</t>
        </is>
      </c>
      <c r="H369" s="24" t="inlineStr">
        <is>
          <t>SCE</t>
        </is>
      </c>
      <c r="I369" s="24" t="inlineStr">
        <is>
          <t>자본변동표</t>
        </is>
      </c>
      <c r="J369" s="24" t="inlineStr">
        <is>
          <t>ifrs-full_ProfitLoss</t>
        </is>
      </c>
      <c r="K369" s="24" t="inlineStr">
        <is>
          <t>당기순이익</t>
        </is>
      </c>
      <c r="L369" s="24" t="inlineStr">
        <is>
          <t>자본 [member]|지배기업지분|자본금 [member]</t>
        </is>
      </c>
      <c r="M369" s="24" t="inlineStr">
        <is>
          <t>제 43 기</t>
        </is>
      </c>
      <c r="N369" s="24" t="inlineStr">
        <is>
          <t>0.0</t>
        </is>
      </c>
      <c r="O369" s="24" t="inlineStr">
        <is>
          <t>0.0</t>
        </is>
      </c>
      <c r="P369" s="24" t="inlineStr">
        <is>
          <t>KRW</t>
        </is>
      </c>
      <c r="Q369" s="24" t="inlineStr">
        <is>
          <t>2</t>
        </is>
      </c>
    </row>
    <row r="370" ht="24" customHeight="1">
      <c r="A370" s="29" t="inlineStr">
        <is>
          <t>OpenDART_fnlttSinglAcntAll</t>
        </is>
      </c>
      <c r="B370" s="29" t="inlineStr">
        <is>
          <t>00161383</t>
        </is>
      </c>
      <c r="C370" s="29" t="inlineStr">
        <is>
          <t>한미반도체</t>
        </is>
      </c>
      <c r="D370" s="29" t="inlineStr">
        <is>
          <t>hanmi</t>
        </is>
      </c>
      <c r="E370" s="29" t="inlineStr">
        <is>
          <t>042700</t>
        </is>
      </c>
      <c r="F370" s="29" t="inlineStr">
        <is>
          <t>2022</t>
        </is>
      </c>
      <c r="G370" s="29" t="inlineStr">
        <is>
          <t>CFS</t>
        </is>
      </c>
      <c r="H370" s="29" t="inlineStr">
        <is>
          <t>SCE</t>
        </is>
      </c>
      <c r="I370" s="29" t="inlineStr">
        <is>
          <t>자본변동표</t>
        </is>
      </c>
      <c r="J370" s="29" t="inlineStr">
        <is>
          <t>ifrs-full_ProfitLoss</t>
        </is>
      </c>
      <c r="K370" s="29" t="inlineStr">
        <is>
          <t>당기순이익</t>
        </is>
      </c>
      <c r="L370" s="29" t="inlineStr">
        <is>
          <t>자본 [member]|지배기업지분|이익잉여금 [member]</t>
        </is>
      </c>
      <c r="M370" s="29" t="inlineStr">
        <is>
          <t>제 43 기</t>
        </is>
      </c>
      <c r="N370" s="29" t="inlineStr">
        <is>
          <t>92259257411.0</t>
        </is>
      </c>
      <c r="O370" s="29" t="inlineStr">
        <is>
          <t>104438304265.0</t>
        </is>
      </c>
      <c r="P370" s="29" t="inlineStr">
        <is>
          <t>KRW</t>
        </is>
      </c>
      <c r="Q370" s="29" t="inlineStr">
        <is>
          <t>2</t>
        </is>
      </c>
    </row>
    <row r="371" ht="24" customHeight="1">
      <c r="A371" s="24" t="inlineStr">
        <is>
          <t>OpenDART_fnlttSinglAcntAll</t>
        </is>
      </c>
      <c r="B371" s="24" t="inlineStr">
        <is>
          <t>00161383</t>
        </is>
      </c>
      <c r="C371" s="24" t="inlineStr">
        <is>
          <t>한미반도체</t>
        </is>
      </c>
      <c r="D371" s="24" t="inlineStr">
        <is>
          <t>hanmi</t>
        </is>
      </c>
      <c r="E371" s="24" t="inlineStr">
        <is>
          <t>042700</t>
        </is>
      </c>
      <c r="F371" s="24" t="inlineStr">
        <is>
          <t>2022</t>
        </is>
      </c>
      <c r="G371" s="24" t="inlineStr">
        <is>
          <t>CFS</t>
        </is>
      </c>
      <c r="H371" s="24" t="inlineStr">
        <is>
          <t>SCE</t>
        </is>
      </c>
      <c r="I371" s="24" t="inlineStr">
        <is>
          <t>자본변동표</t>
        </is>
      </c>
      <c r="J371" s="24" t="inlineStr">
        <is>
          <t>ifrs-full_ProfitLoss</t>
        </is>
      </c>
      <c r="K371" s="24" t="inlineStr">
        <is>
          <t>당기순이익</t>
        </is>
      </c>
      <c r="L371" s="24" t="inlineStr">
        <is>
          <t>자본 [member]|지배기업지분|기타포괄손익누계액 [member]</t>
        </is>
      </c>
      <c r="M371" s="24" t="inlineStr">
        <is>
          <t>제 43 기</t>
        </is>
      </c>
      <c r="N371" s="24" t="inlineStr">
        <is>
          <t>0.0</t>
        </is>
      </c>
      <c r="O371" s="24" t="inlineStr">
        <is>
          <t>0.0</t>
        </is>
      </c>
      <c r="P371" s="24" t="inlineStr">
        <is>
          <t>KRW</t>
        </is>
      </c>
      <c r="Q371" s="24" t="inlineStr">
        <is>
          <t>2</t>
        </is>
      </c>
    </row>
    <row r="372" ht="24" customHeight="1">
      <c r="A372" s="29" t="inlineStr">
        <is>
          <t>OpenDART_fnlttSinglAcntAll</t>
        </is>
      </c>
      <c r="B372" s="29" t="inlineStr">
        <is>
          <t>00161383</t>
        </is>
      </c>
      <c r="C372" s="29" t="inlineStr">
        <is>
          <t>한미반도체</t>
        </is>
      </c>
      <c r="D372" s="29" t="inlineStr">
        <is>
          <t>hanmi</t>
        </is>
      </c>
      <c r="E372" s="29" t="inlineStr">
        <is>
          <t>042700</t>
        </is>
      </c>
      <c r="F372" s="29" t="inlineStr">
        <is>
          <t>2022</t>
        </is>
      </c>
      <c r="G372" s="29" t="inlineStr">
        <is>
          <t>CFS</t>
        </is>
      </c>
      <c r="H372" s="29" t="inlineStr">
        <is>
          <t>SCE</t>
        </is>
      </c>
      <c r="I372" s="29" t="inlineStr">
        <is>
          <t>자본변동표</t>
        </is>
      </c>
      <c r="J372" s="29" t="inlineStr">
        <is>
          <t>ifrs-full_ProfitLoss</t>
        </is>
      </c>
      <c r="K372" s="29" t="inlineStr">
        <is>
          <t>당기순이익</t>
        </is>
      </c>
      <c r="L372" s="29" t="inlineStr">
        <is>
          <t>자본 [member]|지배기업지분|기타자본구성요소 [member]</t>
        </is>
      </c>
      <c r="M372" s="29" t="inlineStr">
        <is>
          <t>제 43 기</t>
        </is>
      </c>
      <c r="N372" s="29" t="inlineStr">
        <is>
          <t>0.0</t>
        </is>
      </c>
      <c r="O372" s="29" t="inlineStr">
        <is>
          <t>0.0</t>
        </is>
      </c>
      <c r="P372" s="29" t="inlineStr">
        <is>
          <t>KRW</t>
        </is>
      </c>
      <c r="Q372" s="29" t="inlineStr">
        <is>
          <t>2</t>
        </is>
      </c>
    </row>
    <row r="373" ht="24" customHeight="1">
      <c r="A373" s="24" t="inlineStr">
        <is>
          <t>OpenDART_fnlttSinglAcntAll</t>
        </is>
      </c>
      <c r="B373" s="24" t="inlineStr">
        <is>
          <t>00161383</t>
        </is>
      </c>
      <c r="C373" s="24" t="inlineStr">
        <is>
          <t>한미반도체</t>
        </is>
      </c>
      <c r="D373" s="24" t="inlineStr">
        <is>
          <t>hanmi</t>
        </is>
      </c>
      <c r="E373" s="24" t="inlineStr">
        <is>
          <t>042700</t>
        </is>
      </c>
      <c r="F373" s="24" t="inlineStr">
        <is>
          <t>2022</t>
        </is>
      </c>
      <c r="G373" s="24" t="inlineStr">
        <is>
          <t>CFS</t>
        </is>
      </c>
      <c r="H373" s="24" t="inlineStr">
        <is>
          <t>SCE</t>
        </is>
      </c>
      <c r="I373" s="24" t="inlineStr">
        <is>
          <t>자본변동표</t>
        </is>
      </c>
      <c r="J373" s="24" t="inlineStr">
        <is>
          <t>ifrs-full_ProfitLoss</t>
        </is>
      </c>
      <c r="K373" s="24" t="inlineStr">
        <is>
          <t>당기순이익</t>
        </is>
      </c>
      <c r="L373" s="24" t="inlineStr">
        <is>
          <t>연결재무제표 [member]</t>
        </is>
      </c>
      <c r="M373" s="24" t="inlineStr">
        <is>
          <t>제 43 기</t>
        </is>
      </c>
      <c r="N373" s="24" t="inlineStr">
        <is>
          <t>92259257411.0</t>
        </is>
      </c>
      <c r="O373" s="24" t="inlineStr">
        <is>
          <t>104438304265.0</t>
        </is>
      </c>
      <c r="P373" s="24" t="inlineStr">
        <is>
          <t>KRW</t>
        </is>
      </c>
      <c r="Q373" s="24" t="inlineStr">
        <is>
          <t>2</t>
        </is>
      </c>
    </row>
    <row r="374" ht="24" customHeight="1">
      <c r="A374" s="29" t="inlineStr">
        <is>
          <t>OpenDART_fnlttSinglAcntAll</t>
        </is>
      </c>
      <c r="B374" s="29" t="inlineStr">
        <is>
          <t>00161383</t>
        </is>
      </c>
      <c r="C374" s="29" t="inlineStr">
        <is>
          <t>한미반도체</t>
        </is>
      </c>
      <c r="D374" s="29" t="inlineStr">
        <is>
          <t>hanmi</t>
        </is>
      </c>
      <c r="E374" s="29" t="inlineStr">
        <is>
          <t>042700</t>
        </is>
      </c>
      <c r="F374" s="29" t="inlineStr">
        <is>
          <t>2022</t>
        </is>
      </c>
      <c r="G374" s="29" t="inlineStr">
        <is>
          <t>CFS</t>
        </is>
      </c>
      <c r="H374" s="29" t="inlineStr">
        <is>
          <t>SCE</t>
        </is>
      </c>
      <c r="I374" s="29" t="inlineStr">
        <is>
          <t>자본변동표</t>
        </is>
      </c>
      <c r="J374" s="29" t="inlineStr">
        <is>
          <t>ifrs-full_ProfitLoss</t>
        </is>
      </c>
      <c r="K374" s="29" t="inlineStr">
        <is>
          <t>당기순이익</t>
        </is>
      </c>
      <c r="L374" s="29" t="inlineStr">
        <is>
          <t>자본 [member]|지배기업지분</t>
        </is>
      </c>
      <c r="M374" s="29" t="inlineStr">
        <is>
          <t>제 43 기</t>
        </is>
      </c>
      <c r="N374" s="29" t="inlineStr">
        <is>
          <t>92259257411.0</t>
        </is>
      </c>
      <c r="O374" s="29" t="inlineStr">
        <is>
          <t>104438304265.0</t>
        </is>
      </c>
      <c r="P374" s="29" t="inlineStr">
        <is>
          <t>KRW</t>
        </is>
      </c>
      <c r="Q374" s="29" t="inlineStr">
        <is>
          <t>2</t>
        </is>
      </c>
    </row>
    <row r="375" ht="24" customHeight="1">
      <c r="A375" s="24" t="inlineStr">
        <is>
          <t>OpenDART_fnlttSinglAcntAll</t>
        </is>
      </c>
      <c r="B375" s="24" t="inlineStr">
        <is>
          <t>00161383</t>
        </is>
      </c>
      <c r="C375" s="24" t="inlineStr">
        <is>
          <t>한미반도체</t>
        </is>
      </c>
      <c r="D375" s="24" t="inlineStr">
        <is>
          <t>hanmi</t>
        </is>
      </c>
      <c r="E375" s="24" t="inlineStr">
        <is>
          <t>042700</t>
        </is>
      </c>
      <c r="F375" s="24" t="inlineStr">
        <is>
          <t>2022</t>
        </is>
      </c>
      <c r="G375" s="24" t="inlineStr">
        <is>
          <t>CFS</t>
        </is>
      </c>
      <c r="H375" s="24" t="inlineStr">
        <is>
          <t>SCE</t>
        </is>
      </c>
      <c r="I375" s="24" t="inlineStr">
        <is>
          <t>자본변동표</t>
        </is>
      </c>
      <c r="J375" s="24" t="inlineStr">
        <is>
          <t>dart_OtherComprehensiveIncomeForStatementOfChangesInEquity</t>
        </is>
      </c>
      <c r="K375" s="24" t="inlineStr">
        <is>
          <t>확정급여제도의재측정요소</t>
        </is>
      </c>
      <c r="L375" s="24" t="inlineStr">
        <is>
          <t>연결재무제표 [member]</t>
        </is>
      </c>
      <c r="M375" s="24" t="inlineStr">
        <is>
          <t>제 43 기</t>
        </is>
      </c>
      <c r="N375" s="24" t="inlineStr">
        <is>
          <t>62275773.0</t>
        </is>
      </c>
      <c r="O375" s="24" t="inlineStr">
        <is>
          <t>-868599926.0</t>
        </is>
      </c>
      <c r="P375" s="24" t="inlineStr">
        <is>
          <t>KRW</t>
        </is>
      </c>
      <c r="Q375" s="24" t="inlineStr">
        <is>
          <t>3</t>
        </is>
      </c>
    </row>
    <row r="376" ht="24" customHeight="1">
      <c r="A376" s="29" t="inlineStr">
        <is>
          <t>OpenDART_fnlttSinglAcntAll</t>
        </is>
      </c>
      <c r="B376" s="29" t="inlineStr">
        <is>
          <t>00161383</t>
        </is>
      </c>
      <c r="C376" s="29" t="inlineStr">
        <is>
          <t>한미반도체</t>
        </is>
      </c>
      <c r="D376" s="29" t="inlineStr">
        <is>
          <t>hanmi</t>
        </is>
      </c>
      <c r="E376" s="29" t="inlineStr">
        <is>
          <t>042700</t>
        </is>
      </c>
      <c r="F376" s="29" t="inlineStr">
        <is>
          <t>2022</t>
        </is>
      </c>
      <c r="G376" s="29" t="inlineStr">
        <is>
          <t>CFS</t>
        </is>
      </c>
      <c r="H376" s="29" t="inlineStr">
        <is>
          <t>SCE</t>
        </is>
      </c>
      <c r="I376" s="29" t="inlineStr">
        <is>
          <t>자본변동표</t>
        </is>
      </c>
      <c r="J376" s="29" t="inlineStr">
        <is>
          <t>dart_OtherComprehensiveIncomeForStatementOfChangesInEquity</t>
        </is>
      </c>
      <c r="K376" s="29" t="inlineStr">
        <is>
          <t>확정급여제도의재측정요소</t>
        </is>
      </c>
      <c r="L376" s="29" t="inlineStr">
        <is>
          <t>자본 [member]|지배기업지분</t>
        </is>
      </c>
      <c r="M376" s="29" t="inlineStr">
        <is>
          <t>제 43 기</t>
        </is>
      </c>
      <c r="N376" s="29" t="inlineStr">
        <is>
          <t>62275773.0</t>
        </is>
      </c>
      <c r="O376" s="29" t="inlineStr">
        <is>
          <t>-868599926.0</t>
        </is>
      </c>
      <c r="P376" s="29" t="inlineStr">
        <is>
          <t>KRW</t>
        </is>
      </c>
      <c r="Q376" s="29" t="inlineStr">
        <is>
          <t>3</t>
        </is>
      </c>
    </row>
    <row r="377" ht="24" customHeight="1">
      <c r="A377" s="24" t="inlineStr">
        <is>
          <t>OpenDART_fnlttSinglAcntAll</t>
        </is>
      </c>
      <c r="B377" s="24" t="inlineStr">
        <is>
          <t>00161383</t>
        </is>
      </c>
      <c r="C377" s="24" t="inlineStr">
        <is>
          <t>한미반도체</t>
        </is>
      </c>
      <c r="D377" s="24" t="inlineStr">
        <is>
          <t>hanmi</t>
        </is>
      </c>
      <c r="E377" s="24" t="inlineStr">
        <is>
          <t>042700</t>
        </is>
      </c>
      <c r="F377" s="24" t="inlineStr">
        <is>
          <t>2022</t>
        </is>
      </c>
      <c r="G377" s="24" t="inlineStr">
        <is>
          <t>CFS</t>
        </is>
      </c>
      <c r="H377" s="24" t="inlineStr">
        <is>
          <t>SCE</t>
        </is>
      </c>
      <c r="I377" s="24" t="inlineStr">
        <is>
          <t>자본변동표</t>
        </is>
      </c>
      <c r="J377" s="24" t="inlineStr">
        <is>
          <t>dart_OtherComprehensiveIncomeForStatementOfChangesInEquity</t>
        </is>
      </c>
      <c r="K377" s="24" t="inlineStr">
        <is>
          <t>확정급여제도의재측정요소</t>
        </is>
      </c>
      <c r="L377" s="24" t="inlineStr">
        <is>
          <t>자본 [member]|지배기업지분|기타자본구성요소 [member]</t>
        </is>
      </c>
      <c r="M377" s="24" t="inlineStr">
        <is>
          <t>제 43 기</t>
        </is>
      </c>
      <c r="N377" s="24" t="inlineStr">
        <is>
          <t>0.0</t>
        </is>
      </c>
      <c r="O377" s="24" t="inlineStr">
        <is>
          <t>0.0</t>
        </is>
      </c>
      <c r="P377" s="24" t="inlineStr">
        <is>
          <t>KRW</t>
        </is>
      </c>
      <c r="Q377" s="24" t="inlineStr">
        <is>
          <t>3</t>
        </is>
      </c>
    </row>
    <row r="378" ht="24" customHeight="1">
      <c r="A378" s="29" t="inlineStr">
        <is>
          <t>OpenDART_fnlttSinglAcntAll</t>
        </is>
      </c>
      <c r="B378" s="29" t="inlineStr">
        <is>
          <t>00161383</t>
        </is>
      </c>
      <c r="C378" s="29" t="inlineStr">
        <is>
          <t>한미반도체</t>
        </is>
      </c>
      <c r="D378" s="29" t="inlineStr">
        <is>
          <t>hanmi</t>
        </is>
      </c>
      <c r="E378" s="29" t="inlineStr">
        <is>
          <t>042700</t>
        </is>
      </c>
      <c r="F378" s="29" t="inlineStr">
        <is>
          <t>2022</t>
        </is>
      </c>
      <c r="G378" s="29" t="inlineStr">
        <is>
          <t>CFS</t>
        </is>
      </c>
      <c r="H378" s="29" t="inlineStr">
        <is>
          <t>SCE</t>
        </is>
      </c>
      <c r="I378" s="29" t="inlineStr">
        <is>
          <t>자본변동표</t>
        </is>
      </c>
      <c r="J378" s="29" t="inlineStr">
        <is>
          <t>dart_OtherComprehensiveIncomeForStatementOfChangesInEquity</t>
        </is>
      </c>
      <c r="K378" s="29" t="inlineStr">
        <is>
          <t>확정급여제도의재측정요소</t>
        </is>
      </c>
      <c r="L378" s="29" t="inlineStr">
        <is>
          <t>자본 [member]|지배기업지분|기타포괄손익누계액 [member]</t>
        </is>
      </c>
      <c r="M378" s="29" t="inlineStr">
        <is>
          <t>제 43 기</t>
        </is>
      </c>
      <c r="N378" s="29" t="inlineStr">
        <is>
          <t>0.0</t>
        </is>
      </c>
      <c r="O378" s="29" t="inlineStr">
        <is>
          <t>0.0</t>
        </is>
      </c>
      <c r="P378" s="29" t="inlineStr">
        <is>
          <t>KRW</t>
        </is>
      </c>
      <c r="Q378" s="29" t="inlineStr">
        <is>
          <t>3</t>
        </is>
      </c>
    </row>
    <row r="379" ht="24" customHeight="1">
      <c r="A379" s="24" t="inlineStr">
        <is>
          <t>OpenDART_fnlttSinglAcntAll</t>
        </is>
      </c>
      <c r="B379" s="24" t="inlineStr">
        <is>
          <t>00161383</t>
        </is>
      </c>
      <c r="C379" s="24" t="inlineStr">
        <is>
          <t>한미반도체</t>
        </is>
      </c>
      <c r="D379" s="24" t="inlineStr">
        <is>
          <t>hanmi</t>
        </is>
      </c>
      <c r="E379" s="24" t="inlineStr">
        <is>
          <t>042700</t>
        </is>
      </c>
      <c r="F379" s="24" t="inlineStr">
        <is>
          <t>2022</t>
        </is>
      </c>
      <c r="G379" s="24" t="inlineStr">
        <is>
          <t>CFS</t>
        </is>
      </c>
      <c r="H379" s="24" t="inlineStr">
        <is>
          <t>SCE</t>
        </is>
      </c>
      <c r="I379" s="24" t="inlineStr">
        <is>
          <t>자본변동표</t>
        </is>
      </c>
      <c r="J379" s="24" t="inlineStr">
        <is>
          <t>dart_OtherComprehensiveIncomeForStatementOfChangesInEquity</t>
        </is>
      </c>
      <c r="K379" s="24" t="inlineStr">
        <is>
          <t>확정급여제도의재측정요소</t>
        </is>
      </c>
      <c r="L379" s="24" t="inlineStr">
        <is>
          <t>자본 [member]|지배기업지분|이익잉여금 [member]</t>
        </is>
      </c>
      <c r="M379" s="24" t="inlineStr">
        <is>
          <t>제 43 기</t>
        </is>
      </c>
      <c r="N379" s="24" t="inlineStr">
        <is>
          <t>62275773.0</t>
        </is>
      </c>
      <c r="O379" s="24" t="inlineStr">
        <is>
          <t>-868599926.0</t>
        </is>
      </c>
      <c r="P379" s="24" t="inlineStr">
        <is>
          <t>KRW</t>
        </is>
      </c>
      <c r="Q379" s="24" t="inlineStr">
        <is>
          <t>3</t>
        </is>
      </c>
    </row>
    <row r="380" ht="24" customHeight="1">
      <c r="A380" s="29" t="inlineStr">
        <is>
          <t>OpenDART_fnlttSinglAcntAll</t>
        </is>
      </c>
      <c r="B380" s="29" t="inlineStr">
        <is>
          <t>00161383</t>
        </is>
      </c>
      <c r="C380" s="29" t="inlineStr">
        <is>
          <t>한미반도체</t>
        </is>
      </c>
      <c r="D380" s="29" t="inlineStr">
        <is>
          <t>hanmi</t>
        </is>
      </c>
      <c r="E380" s="29" t="inlineStr">
        <is>
          <t>042700</t>
        </is>
      </c>
      <c r="F380" s="29" t="inlineStr">
        <is>
          <t>2022</t>
        </is>
      </c>
      <c r="G380" s="29" t="inlineStr">
        <is>
          <t>CFS</t>
        </is>
      </c>
      <c r="H380" s="29" t="inlineStr">
        <is>
          <t>SCE</t>
        </is>
      </c>
      <c r="I380" s="29" t="inlineStr">
        <is>
          <t>자본변동표</t>
        </is>
      </c>
      <c r="J380" s="29" t="inlineStr">
        <is>
          <t>dart_OtherComprehensiveIncomeForStatementOfChangesInEquity</t>
        </is>
      </c>
      <c r="K380" s="29" t="inlineStr">
        <is>
          <t>확정급여제도의재측정요소</t>
        </is>
      </c>
      <c r="L380" s="29" t="inlineStr">
        <is>
          <t>자본 [member]|지배기업지분|자본금 [member]</t>
        </is>
      </c>
      <c r="M380" s="29" t="inlineStr">
        <is>
          <t>제 43 기</t>
        </is>
      </c>
      <c r="N380" s="29" t="inlineStr">
        <is>
          <t>0.0</t>
        </is>
      </c>
      <c r="O380" s="29" t="inlineStr">
        <is>
          <t>0.0</t>
        </is>
      </c>
      <c r="P380" s="29" t="inlineStr">
        <is>
          <t>KRW</t>
        </is>
      </c>
      <c r="Q380" s="29" t="inlineStr">
        <is>
          <t>3</t>
        </is>
      </c>
    </row>
    <row r="381" ht="24" customHeight="1">
      <c r="A381" s="24" t="inlineStr">
        <is>
          <t>OpenDART_fnlttSinglAcntAll</t>
        </is>
      </c>
      <c r="B381" s="24" t="inlineStr">
        <is>
          <t>00161383</t>
        </is>
      </c>
      <c r="C381" s="24" t="inlineStr">
        <is>
          <t>한미반도체</t>
        </is>
      </c>
      <c r="D381" s="24" t="inlineStr">
        <is>
          <t>hanmi</t>
        </is>
      </c>
      <c r="E381" s="24" t="inlineStr">
        <is>
          <t>042700</t>
        </is>
      </c>
      <c r="F381" s="24" t="inlineStr">
        <is>
          <t>2022</t>
        </is>
      </c>
      <c r="G381" s="24" t="inlineStr">
        <is>
          <t>CFS</t>
        </is>
      </c>
      <c r="H381" s="24" t="inlineStr">
        <is>
          <t>SCE</t>
        </is>
      </c>
      <c r="I381" s="24" t="inlineStr">
        <is>
          <t>자본변동표</t>
        </is>
      </c>
      <c r="J381" s="24" t="inlineStr">
        <is>
          <t>dart_OtherComprehensiveIncomeForStatementOfChangesInEquity</t>
        </is>
      </c>
      <c r="K381" s="24" t="inlineStr">
        <is>
          <t>확정급여제도의재측정요소</t>
        </is>
      </c>
      <c r="L381" s="24" t="inlineStr">
        <is>
          <t>자본 [member]|지배기업지분|자본잉여금 [member]</t>
        </is>
      </c>
      <c r="M381" s="24" t="inlineStr">
        <is>
          <t>제 43 기</t>
        </is>
      </c>
      <c r="N381" s="24" t="inlineStr">
        <is>
          <t>0.0</t>
        </is>
      </c>
      <c r="O381" s="24" t="inlineStr">
        <is>
          <t>0.0</t>
        </is>
      </c>
      <c r="P381" s="24" t="inlineStr">
        <is>
          <t>KRW</t>
        </is>
      </c>
      <c r="Q381" s="24" t="inlineStr">
        <is>
          <t>3</t>
        </is>
      </c>
    </row>
    <row r="382" ht="24" customHeight="1">
      <c r="A382" s="29" t="inlineStr">
        <is>
          <t>OpenDART_fnlttSinglAcntAll</t>
        </is>
      </c>
      <c r="B382" s="29" t="inlineStr">
        <is>
          <t>00161383</t>
        </is>
      </c>
      <c r="C382" s="29" t="inlineStr">
        <is>
          <t>한미반도체</t>
        </is>
      </c>
      <c r="D382" s="29" t="inlineStr">
        <is>
          <t>hanmi</t>
        </is>
      </c>
      <c r="E382" s="29" t="inlineStr">
        <is>
          <t>042700</t>
        </is>
      </c>
      <c r="F382" s="29" t="inlineStr">
        <is>
          <t>2022</t>
        </is>
      </c>
      <c r="G382" s="29" t="inlineStr">
        <is>
          <t>CFS</t>
        </is>
      </c>
      <c r="H382" s="29" t="inlineStr">
        <is>
          <t>SCE</t>
        </is>
      </c>
      <c r="I382" s="29" t="inlineStr">
        <is>
          <t>자본변동표</t>
        </is>
      </c>
      <c r="J382" s="29" t="inlineStr">
        <is>
          <t>ifrs-full_IncreaseDecreaseThroughChangesInOwnershipInterestsInSubsidiariesThatDoNotResultInLossOfControl</t>
        </is>
      </c>
      <c r="K382" s="29" t="inlineStr">
        <is>
          <t>지분법자본변동</t>
        </is>
      </c>
      <c r="L382" s="29" t="inlineStr">
        <is>
          <t>자본 [member]|지배기업지분</t>
        </is>
      </c>
      <c r="M382" s="29" t="inlineStr">
        <is>
          <t>제 43 기</t>
        </is>
      </c>
      <c r="N382" s="29" t="inlineStr">
        <is>
          <t>893153470.0</t>
        </is>
      </c>
      <c r="O382" s="29" t="inlineStr">
        <is>
          <t>-30685622.0</t>
        </is>
      </c>
      <c r="P382" s="29" t="inlineStr">
        <is>
          <t>KRW</t>
        </is>
      </c>
      <c r="Q382" s="29" t="inlineStr">
        <is>
          <t>4</t>
        </is>
      </c>
    </row>
    <row r="383" ht="24" customHeight="1">
      <c r="A383" s="24" t="inlineStr">
        <is>
          <t>OpenDART_fnlttSinglAcntAll</t>
        </is>
      </c>
      <c r="B383" s="24" t="inlineStr">
        <is>
          <t>00161383</t>
        </is>
      </c>
      <c r="C383" s="24" t="inlineStr">
        <is>
          <t>한미반도체</t>
        </is>
      </c>
      <c r="D383" s="24" t="inlineStr">
        <is>
          <t>hanmi</t>
        </is>
      </c>
      <c r="E383" s="24" t="inlineStr">
        <is>
          <t>042700</t>
        </is>
      </c>
      <c r="F383" s="24" t="inlineStr">
        <is>
          <t>2022</t>
        </is>
      </c>
      <c r="G383" s="24" t="inlineStr">
        <is>
          <t>CFS</t>
        </is>
      </c>
      <c r="H383" s="24" t="inlineStr">
        <is>
          <t>SCE</t>
        </is>
      </c>
      <c r="I383" s="24" t="inlineStr">
        <is>
          <t>자본변동표</t>
        </is>
      </c>
      <c r="J383" s="24" t="inlineStr">
        <is>
          <t>ifrs-full_IncreaseDecreaseThroughChangesInOwnershipInterestsInSubsidiariesThatDoNotResultInLossOfControl</t>
        </is>
      </c>
      <c r="K383" s="24" t="inlineStr">
        <is>
          <t>지분법자본변동</t>
        </is>
      </c>
      <c r="L383" s="24" t="inlineStr">
        <is>
          <t>자본 [member]|지배기업지분|기타자본구성요소 [member]</t>
        </is>
      </c>
      <c r="M383" s="24" t="inlineStr">
        <is>
          <t>제 43 기</t>
        </is>
      </c>
      <c r="N383" s="24" t="inlineStr">
        <is>
          <t>0.0</t>
        </is>
      </c>
      <c r="O383" s="24" t="inlineStr">
        <is>
          <t>0.0</t>
        </is>
      </c>
      <c r="P383" s="24" t="inlineStr">
        <is>
          <t>KRW</t>
        </is>
      </c>
      <c r="Q383" s="24" t="inlineStr">
        <is>
          <t>4</t>
        </is>
      </c>
    </row>
    <row r="384" ht="24" customHeight="1">
      <c r="A384" s="29" t="inlineStr">
        <is>
          <t>OpenDART_fnlttSinglAcntAll</t>
        </is>
      </c>
      <c r="B384" s="29" t="inlineStr">
        <is>
          <t>00161383</t>
        </is>
      </c>
      <c r="C384" s="29" t="inlineStr">
        <is>
          <t>한미반도체</t>
        </is>
      </c>
      <c r="D384" s="29" t="inlineStr">
        <is>
          <t>hanmi</t>
        </is>
      </c>
      <c r="E384" s="29" t="inlineStr">
        <is>
          <t>042700</t>
        </is>
      </c>
      <c r="F384" s="29" t="inlineStr">
        <is>
          <t>2022</t>
        </is>
      </c>
      <c r="G384" s="29" t="inlineStr">
        <is>
          <t>CFS</t>
        </is>
      </c>
      <c r="H384" s="29" t="inlineStr">
        <is>
          <t>SCE</t>
        </is>
      </c>
      <c r="I384" s="29" t="inlineStr">
        <is>
          <t>자본변동표</t>
        </is>
      </c>
      <c r="J384" s="29" t="inlineStr">
        <is>
          <t>ifrs-full_IncreaseDecreaseThroughChangesInOwnershipInterestsInSubsidiariesThatDoNotResultInLossOfControl</t>
        </is>
      </c>
      <c r="K384" s="29" t="inlineStr">
        <is>
          <t>지분법자본변동</t>
        </is>
      </c>
      <c r="L384" s="29" t="inlineStr">
        <is>
          <t>자본 [member]|지배기업지분|기타포괄손익누계액 [member]</t>
        </is>
      </c>
      <c r="M384" s="29" t="inlineStr">
        <is>
          <t>제 43 기</t>
        </is>
      </c>
      <c r="N384" s="29" t="inlineStr">
        <is>
          <t>893153470.0</t>
        </is>
      </c>
      <c r="O384" s="29" t="inlineStr">
        <is>
          <t>-30685622.0</t>
        </is>
      </c>
      <c r="P384" s="29" t="inlineStr">
        <is>
          <t>KRW</t>
        </is>
      </c>
      <c r="Q384" s="29" t="inlineStr">
        <is>
          <t>4</t>
        </is>
      </c>
    </row>
    <row r="385" ht="24" customHeight="1">
      <c r="A385" s="24" t="inlineStr">
        <is>
          <t>OpenDART_fnlttSinglAcntAll</t>
        </is>
      </c>
      <c r="B385" s="24" t="inlineStr">
        <is>
          <t>00161383</t>
        </is>
      </c>
      <c r="C385" s="24" t="inlineStr">
        <is>
          <t>한미반도체</t>
        </is>
      </c>
      <c r="D385" s="24" t="inlineStr">
        <is>
          <t>hanmi</t>
        </is>
      </c>
      <c r="E385" s="24" t="inlineStr">
        <is>
          <t>042700</t>
        </is>
      </c>
      <c r="F385" s="24" t="inlineStr">
        <is>
          <t>2022</t>
        </is>
      </c>
      <c r="G385" s="24" t="inlineStr">
        <is>
          <t>CFS</t>
        </is>
      </c>
      <c r="H385" s="24" t="inlineStr">
        <is>
          <t>SCE</t>
        </is>
      </c>
      <c r="I385" s="24" t="inlineStr">
        <is>
          <t>자본변동표</t>
        </is>
      </c>
      <c r="J385" s="24" t="inlineStr">
        <is>
          <t>ifrs-full_IncreaseDecreaseThroughChangesInOwnershipInterestsInSubsidiariesThatDoNotResultInLossOfControl</t>
        </is>
      </c>
      <c r="K385" s="24" t="inlineStr">
        <is>
          <t>지분법자본변동</t>
        </is>
      </c>
      <c r="L385" s="24" t="inlineStr">
        <is>
          <t>자본 [member]|지배기업지분|이익잉여금 [member]</t>
        </is>
      </c>
      <c r="M385" s="24" t="inlineStr">
        <is>
          <t>제 43 기</t>
        </is>
      </c>
      <c r="N385" s="24" t="inlineStr">
        <is>
          <t>0.0</t>
        </is>
      </c>
      <c r="O385" s="24" t="inlineStr">
        <is>
          <t>0.0</t>
        </is>
      </c>
      <c r="P385" s="24" t="inlineStr">
        <is>
          <t>KRW</t>
        </is>
      </c>
      <c r="Q385" s="24" t="inlineStr">
        <is>
          <t>4</t>
        </is>
      </c>
    </row>
    <row r="386" ht="24" customHeight="1">
      <c r="A386" s="29" t="inlineStr">
        <is>
          <t>OpenDART_fnlttSinglAcntAll</t>
        </is>
      </c>
      <c r="B386" s="29" t="inlineStr">
        <is>
          <t>00161383</t>
        </is>
      </c>
      <c r="C386" s="29" t="inlineStr">
        <is>
          <t>한미반도체</t>
        </is>
      </c>
      <c r="D386" s="29" t="inlineStr">
        <is>
          <t>hanmi</t>
        </is>
      </c>
      <c r="E386" s="29" t="inlineStr">
        <is>
          <t>042700</t>
        </is>
      </c>
      <c r="F386" s="29" t="inlineStr">
        <is>
          <t>2022</t>
        </is>
      </c>
      <c r="G386" s="29" t="inlineStr">
        <is>
          <t>CFS</t>
        </is>
      </c>
      <c r="H386" s="29" t="inlineStr">
        <is>
          <t>SCE</t>
        </is>
      </c>
      <c r="I386" s="29" t="inlineStr">
        <is>
          <t>자본변동표</t>
        </is>
      </c>
      <c r="J386" s="29" t="inlineStr">
        <is>
          <t>ifrs-full_IncreaseDecreaseThroughChangesInOwnershipInterestsInSubsidiariesThatDoNotResultInLossOfControl</t>
        </is>
      </c>
      <c r="K386" s="29" t="inlineStr">
        <is>
          <t>지분법자본변동</t>
        </is>
      </c>
      <c r="L386" s="29" t="inlineStr">
        <is>
          <t>자본 [member]|지배기업지분|자본금 [member]</t>
        </is>
      </c>
      <c r="M386" s="29" t="inlineStr">
        <is>
          <t>제 43 기</t>
        </is>
      </c>
      <c r="N386" s="29" t="inlineStr">
        <is>
          <t>0.0</t>
        </is>
      </c>
      <c r="O386" s="29" t="inlineStr">
        <is>
          <t>0.0</t>
        </is>
      </c>
      <c r="P386" s="29" t="inlineStr">
        <is>
          <t>KRW</t>
        </is>
      </c>
      <c r="Q386" s="29" t="inlineStr">
        <is>
          <t>4</t>
        </is>
      </c>
    </row>
    <row r="387" ht="24" customHeight="1">
      <c r="A387" s="24" t="inlineStr">
        <is>
          <t>OpenDART_fnlttSinglAcntAll</t>
        </is>
      </c>
      <c r="B387" s="24" t="inlineStr">
        <is>
          <t>00161383</t>
        </is>
      </c>
      <c r="C387" s="24" t="inlineStr">
        <is>
          <t>한미반도체</t>
        </is>
      </c>
      <c r="D387" s="24" t="inlineStr">
        <is>
          <t>hanmi</t>
        </is>
      </c>
      <c r="E387" s="24" t="inlineStr">
        <is>
          <t>042700</t>
        </is>
      </c>
      <c r="F387" s="24" t="inlineStr">
        <is>
          <t>2022</t>
        </is>
      </c>
      <c r="G387" s="24" t="inlineStr">
        <is>
          <t>CFS</t>
        </is>
      </c>
      <c r="H387" s="24" t="inlineStr">
        <is>
          <t>SCE</t>
        </is>
      </c>
      <c r="I387" s="24" t="inlineStr">
        <is>
          <t>자본변동표</t>
        </is>
      </c>
      <c r="J387" s="24" t="inlineStr">
        <is>
          <t>ifrs-full_IncreaseDecreaseThroughChangesInOwnershipInterestsInSubsidiariesThatDoNotResultInLossOfControl</t>
        </is>
      </c>
      <c r="K387" s="24" t="inlineStr">
        <is>
          <t>지분법자본변동</t>
        </is>
      </c>
      <c r="L387" s="24" t="inlineStr">
        <is>
          <t>자본 [member]|지배기업지분|자본잉여금 [member]</t>
        </is>
      </c>
      <c r="M387" s="24" t="inlineStr">
        <is>
          <t>제 43 기</t>
        </is>
      </c>
      <c r="N387" s="24" t="inlineStr">
        <is>
          <t>0.0</t>
        </is>
      </c>
      <c r="O387" s="24" t="inlineStr">
        <is>
          <t>0.0</t>
        </is>
      </c>
      <c r="P387" s="24" t="inlineStr">
        <is>
          <t>KRW</t>
        </is>
      </c>
      <c r="Q387" s="24" t="inlineStr">
        <is>
          <t>4</t>
        </is>
      </c>
    </row>
    <row r="388" ht="24" customHeight="1">
      <c r="A388" s="29" t="inlineStr">
        <is>
          <t>OpenDART_fnlttSinglAcntAll</t>
        </is>
      </c>
      <c r="B388" s="29" t="inlineStr">
        <is>
          <t>00161383</t>
        </is>
      </c>
      <c r="C388" s="29" t="inlineStr">
        <is>
          <t>한미반도체</t>
        </is>
      </c>
      <c r="D388" s="29" t="inlineStr">
        <is>
          <t>hanmi</t>
        </is>
      </c>
      <c r="E388" s="29" t="inlineStr">
        <is>
          <t>042700</t>
        </is>
      </c>
      <c r="F388" s="29" t="inlineStr">
        <is>
          <t>2022</t>
        </is>
      </c>
      <c r="G388" s="29" t="inlineStr">
        <is>
          <t>CFS</t>
        </is>
      </c>
      <c r="H388" s="29" t="inlineStr">
        <is>
          <t>SCE</t>
        </is>
      </c>
      <c r="I388" s="29" t="inlineStr">
        <is>
          <t>자본변동표</t>
        </is>
      </c>
      <c r="J388" s="29" t="inlineStr">
        <is>
          <t>ifrs-full_IncreaseDecreaseThroughChangesInOwnershipInterestsInSubsidiariesThatDoNotResultInLossOfControl</t>
        </is>
      </c>
      <c r="K388" s="29" t="inlineStr">
        <is>
          <t>지분법자본변동</t>
        </is>
      </c>
      <c r="L388" s="29" t="inlineStr">
        <is>
          <t>연결재무제표 [member]</t>
        </is>
      </c>
      <c r="M388" s="29" t="inlineStr">
        <is>
          <t>제 43 기</t>
        </is>
      </c>
      <c r="N388" s="29" t="inlineStr">
        <is>
          <t>893153470.0</t>
        </is>
      </c>
      <c r="O388" s="29" t="inlineStr">
        <is>
          <t>-30685622.0</t>
        </is>
      </c>
      <c r="P388" s="29" t="inlineStr">
        <is>
          <t>KRW</t>
        </is>
      </c>
      <c r="Q388" s="29" t="inlineStr">
        <is>
          <t>4</t>
        </is>
      </c>
    </row>
    <row r="389" ht="24" customHeight="1">
      <c r="A389" s="24" t="inlineStr">
        <is>
          <t>OpenDART_fnlttSinglAcntAll</t>
        </is>
      </c>
      <c r="B389" s="24" t="inlineStr">
        <is>
          <t>00161383</t>
        </is>
      </c>
      <c r="C389" s="24" t="inlineStr">
        <is>
          <t>한미반도체</t>
        </is>
      </c>
      <c r="D389" s="24" t="inlineStr">
        <is>
          <t>hanmi</t>
        </is>
      </c>
      <c r="E389" s="24" t="inlineStr">
        <is>
          <t>042700</t>
        </is>
      </c>
      <c r="F389" s="24" t="inlineStr">
        <is>
          <t>2022</t>
        </is>
      </c>
      <c r="G389" s="24" t="inlineStr">
        <is>
          <t>CFS</t>
        </is>
      </c>
      <c r="H389" s="24" t="inlineStr">
        <is>
          <t>SCE</t>
        </is>
      </c>
      <c r="I389" s="24" t="inlineStr">
        <is>
          <t>자본변동표</t>
        </is>
      </c>
      <c r="J389" s="24" t="inlineStr">
        <is>
          <t>-표준계정코드 미사용-</t>
        </is>
      </c>
      <c r="K389" s="24" t="inlineStr">
        <is>
          <t>해외사업환산이익</t>
        </is>
      </c>
      <c r="L389" s="24" t="inlineStr">
        <is>
          <t>자본 [member]|지배기업지분|자본금 [member]</t>
        </is>
      </c>
      <c r="M389" s="24" t="inlineStr">
        <is>
          <t>제 43 기</t>
        </is>
      </c>
      <c r="N389" s="24" t="inlineStr">
        <is>
          <t>0.0</t>
        </is>
      </c>
      <c r="O389" s="24" t="inlineStr">
        <is>
          <t>0.0</t>
        </is>
      </c>
      <c r="P389" s="24" t="inlineStr">
        <is>
          <t>KRW</t>
        </is>
      </c>
      <c r="Q389" s="24" t="inlineStr">
        <is>
          <t>5</t>
        </is>
      </c>
    </row>
    <row r="390" ht="24" customHeight="1">
      <c r="A390" s="29" t="inlineStr">
        <is>
          <t>OpenDART_fnlttSinglAcntAll</t>
        </is>
      </c>
      <c r="B390" s="29" t="inlineStr">
        <is>
          <t>00161383</t>
        </is>
      </c>
      <c r="C390" s="29" t="inlineStr">
        <is>
          <t>한미반도체</t>
        </is>
      </c>
      <c r="D390" s="29" t="inlineStr">
        <is>
          <t>hanmi</t>
        </is>
      </c>
      <c r="E390" s="29" t="inlineStr">
        <is>
          <t>042700</t>
        </is>
      </c>
      <c r="F390" s="29" t="inlineStr">
        <is>
          <t>2022</t>
        </is>
      </c>
      <c r="G390" s="29" t="inlineStr">
        <is>
          <t>CFS</t>
        </is>
      </c>
      <c r="H390" s="29" t="inlineStr">
        <is>
          <t>SCE</t>
        </is>
      </c>
      <c r="I390" s="29" t="inlineStr">
        <is>
          <t>자본변동표</t>
        </is>
      </c>
      <c r="J390" s="29" t="inlineStr">
        <is>
          <t>-표준계정코드 미사용-</t>
        </is>
      </c>
      <c r="K390" s="29" t="inlineStr">
        <is>
          <t>해외사업환산이익</t>
        </is>
      </c>
      <c r="L390" s="29" t="inlineStr">
        <is>
          <t>자본 [member]|지배기업지분|이익잉여금 [member]</t>
        </is>
      </c>
      <c r="M390" s="29" t="inlineStr">
        <is>
          <t>제 43 기</t>
        </is>
      </c>
      <c r="N390" s="29" t="inlineStr">
        <is>
          <t>0.0</t>
        </is>
      </c>
      <c r="O390" s="29" t="inlineStr">
        <is>
          <t>0.0</t>
        </is>
      </c>
      <c r="P390" s="29" t="inlineStr">
        <is>
          <t>KRW</t>
        </is>
      </c>
      <c r="Q390" s="29" t="inlineStr">
        <is>
          <t>5</t>
        </is>
      </c>
    </row>
    <row r="391" ht="24" customHeight="1">
      <c r="A391" s="24" t="inlineStr">
        <is>
          <t>OpenDART_fnlttSinglAcntAll</t>
        </is>
      </c>
      <c r="B391" s="24" t="inlineStr">
        <is>
          <t>00161383</t>
        </is>
      </c>
      <c r="C391" s="24" t="inlineStr">
        <is>
          <t>한미반도체</t>
        </is>
      </c>
      <c r="D391" s="24" t="inlineStr">
        <is>
          <t>hanmi</t>
        </is>
      </c>
      <c r="E391" s="24" t="inlineStr">
        <is>
          <t>042700</t>
        </is>
      </c>
      <c r="F391" s="24" t="inlineStr">
        <is>
          <t>2022</t>
        </is>
      </c>
      <c r="G391" s="24" t="inlineStr">
        <is>
          <t>CFS</t>
        </is>
      </c>
      <c r="H391" s="24" t="inlineStr">
        <is>
          <t>SCE</t>
        </is>
      </c>
      <c r="I391" s="24" t="inlineStr">
        <is>
          <t>자본변동표</t>
        </is>
      </c>
      <c r="J391" s="24" t="inlineStr">
        <is>
          <t>-표준계정코드 미사용-</t>
        </is>
      </c>
      <c r="K391" s="24" t="inlineStr">
        <is>
          <t>해외사업환산이익</t>
        </is>
      </c>
      <c r="L391" s="24" t="inlineStr">
        <is>
          <t>자본 [member]|지배기업지분|기타포괄손익누계액 [member]</t>
        </is>
      </c>
      <c r="M391" s="24" t="inlineStr">
        <is>
          <t>제 43 기</t>
        </is>
      </c>
      <c r="N391" s="24" t="inlineStr">
        <is>
          <t>0.0</t>
        </is>
      </c>
      <c r="O391" s="24" t="inlineStr">
        <is>
          <t>321413324.0</t>
        </is>
      </c>
      <c r="P391" s="24" t="inlineStr">
        <is>
          <t>KRW</t>
        </is>
      </c>
      <c r="Q391" s="24" t="inlineStr">
        <is>
          <t>5</t>
        </is>
      </c>
    </row>
    <row r="392" ht="24" customHeight="1">
      <c r="A392" s="29" t="inlineStr">
        <is>
          <t>OpenDART_fnlttSinglAcntAll</t>
        </is>
      </c>
      <c r="B392" s="29" t="inlineStr">
        <is>
          <t>00161383</t>
        </is>
      </c>
      <c r="C392" s="29" t="inlineStr">
        <is>
          <t>한미반도체</t>
        </is>
      </c>
      <c r="D392" s="29" t="inlineStr">
        <is>
          <t>hanmi</t>
        </is>
      </c>
      <c r="E392" s="29" t="inlineStr">
        <is>
          <t>042700</t>
        </is>
      </c>
      <c r="F392" s="29" t="inlineStr">
        <is>
          <t>2022</t>
        </is>
      </c>
      <c r="G392" s="29" t="inlineStr">
        <is>
          <t>CFS</t>
        </is>
      </c>
      <c r="H392" s="29" t="inlineStr">
        <is>
          <t>SCE</t>
        </is>
      </c>
      <c r="I392" s="29" t="inlineStr">
        <is>
          <t>자본변동표</t>
        </is>
      </c>
      <c r="J392" s="29" t="inlineStr">
        <is>
          <t>-표준계정코드 미사용-</t>
        </is>
      </c>
      <c r="K392" s="29" t="inlineStr">
        <is>
          <t>해외사업환산이익</t>
        </is>
      </c>
      <c r="L392" s="29" t="inlineStr">
        <is>
          <t>자본 [member]|지배기업지분|기타자본구성요소 [member]</t>
        </is>
      </c>
      <c r="M392" s="29" t="inlineStr">
        <is>
          <t>제 43 기</t>
        </is>
      </c>
      <c r="N392" s="29" t="inlineStr">
        <is>
          <t>0.0</t>
        </is>
      </c>
      <c r="O392" s="29" t="inlineStr">
        <is>
          <t>0.0</t>
        </is>
      </c>
      <c r="P392" s="29" t="inlineStr">
        <is>
          <t>KRW</t>
        </is>
      </c>
      <c r="Q392" s="29" t="inlineStr">
        <is>
          <t>5</t>
        </is>
      </c>
    </row>
    <row r="393" ht="24" customHeight="1">
      <c r="A393" s="24" t="inlineStr">
        <is>
          <t>OpenDART_fnlttSinglAcntAll</t>
        </is>
      </c>
      <c r="B393" s="24" t="inlineStr">
        <is>
          <t>00161383</t>
        </is>
      </c>
      <c r="C393" s="24" t="inlineStr">
        <is>
          <t>한미반도체</t>
        </is>
      </c>
      <c r="D393" s="24" t="inlineStr">
        <is>
          <t>hanmi</t>
        </is>
      </c>
      <c r="E393" s="24" t="inlineStr">
        <is>
          <t>042700</t>
        </is>
      </c>
      <c r="F393" s="24" t="inlineStr">
        <is>
          <t>2022</t>
        </is>
      </c>
      <c r="G393" s="24" t="inlineStr">
        <is>
          <t>CFS</t>
        </is>
      </c>
      <c r="H393" s="24" t="inlineStr">
        <is>
          <t>SCE</t>
        </is>
      </c>
      <c r="I393" s="24" t="inlineStr">
        <is>
          <t>자본변동표</t>
        </is>
      </c>
      <c r="J393" s="24" t="inlineStr">
        <is>
          <t>-표준계정코드 미사용-</t>
        </is>
      </c>
      <c r="K393" s="24" t="inlineStr">
        <is>
          <t>해외사업환산이익</t>
        </is>
      </c>
      <c r="L393" s="24" t="inlineStr">
        <is>
          <t>자본 [member]|지배기업지분</t>
        </is>
      </c>
      <c r="M393" s="24" t="inlineStr">
        <is>
          <t>제 43 기</t>
        </is>
      </c>
      <c r="N393" s="24" t="inlineStr">
        <is>
          <t>0.0</t>
        </is>
      </c>
      <c r="O393" s="24" t="inlineStr">
        <is>
          <t>321413324.0</t>
        </is>
      </c>
      <c r="P393" s="24" t="inlineStr">
        <is>
          <t>KRW</t>
        </is>
      </c>
      <c r="Q393" s="24" t="inlineStr">
        <is>
          <t>5</t>
        </is>
      </c>
    </row>
    <row r="394" ht="24" customHeight="1">
      <c r="A394" s="29" t="inlineStr">
        <is>
          <t>OpenDART_fnlttSinglAcntAll</t>
        </is>
      </c>
      <c r="B394" s="29" t="inlineStr">
        <is>
          <t>00161383</t>
        </is>
      </c>
      <c r="C394" s="29" t="inlineStr">
        <is>
          <t>한미반도체</t>
        </is>
      </c>
      <c r="D394" s="29" t="inlineStr">
        <is>
          <t>hanmi</t>
        </is>
      </c>
      <c r="E394" s="29" t="inlineStr">
        <is>
          <t>042700</t>
        </is>
      </c>
      <c r="F394" s="29" t="inlineStr">
        <is>
          <t>2022</t>
        </is>
      </c>
      <c r="G394" s="29" t="inlineStr">
        <is>
          <t>CFS</t>
        </is>
      </c>
      <c r="H394" s="29" t="inlineStr">
        <is>
          <t>SCE</t>
        </is>
      </c>
      <c r="I394" s="29" t="inlineStr">
        <is>
          <t>자본변동표</t>
        </is>
      </c>
      <c r="J394" s="29" t="inlineStr">
        <is>
          <t>-표준계정코드 미사용-</t>
        </is>
      </c>
      <c r="K394" s="29" t="inlineStr">
        <is>
          <t>해외사업환산이익</t>
        </is>
      </c>
      <c r="L394" s="29" t="inlineStr">
        <is>
          <t>연결재무제표 [member]</t>
        </is>
      </c>
      <c r="M394" s="29" t="inlineStr">
        <is>
          <t>제 43 기</t>
        </is>
      </c>
      <c r="N394" s="29" t="inlineStr">
        <is>
          <t>0.0</t>
        </is>
      </c>
      <c r="O394" s="29" t="inlineStr">
        <is>
          <t>321413324.0</t>
        </is>
      </c>
      <c r="P394" s="29" t="inlineStr">
        <is>
          <t>KRW</t>
        </is>
      </c>
      <c r="Q394" s="29" t="inlineStr">
        <is>
          <t>5</t>
        </is>
      </c>
    </row>
    <row r="395" ht="24" customHeight="1">
      <c r="A395" s="24" t="inlineStr">
        <is>
          <t>OpenDART_fnlttSinglAcntAll</t>
        </is>
      </c>
      <c r="B395" s="24" t="inlineStr">
        <is>
          <t>00161383</t>
        </is>
      </c>
      <c r="C395" s="24" t="inlineStr">
        <is>
          <t>한미반도체</t>
        </is>
      </c>
      <c r="D395" s="24" t="inlineStr">
        <is>
          <t>hanmi</t>
        </is>
      </c>
      <c r="E395" s="24" t="inlineStr">
        <is>
          <t>042700</t>
        </is>
      </c>
      <c r="F395" s="24" t="inlineStr">
        <is>
          <t>2022</t>
        </is>
      </c>
      <c r="G395" s="24" t="inlineStr">
        <is>
          <t>CFS</t>
        </is>
      </c>
      <c r="H395" s="24" t="inlineStr">
        <is>
          <t>SCE</t>
        </is>
      </c>
      <c r="I395" s="24" t="inlineStr">
        <is>
          <t>자본변동표</t>
        </is>
      </c>
      <c r="J395" s="24" t="inlineStr">
        <is>
          <t>-표준계정코드 미사용-</t>
        </is>
      </c>
      <c r="K395" s="24" t="inlineStr">
        <is>
          <t>해외사업환산이익</t>
        </is>
      </c>
      <c r="L395" s="24" t="inlineStr">
        <is>
          <t>자본 [member]|지배기업지분|자본잉여금 [member]</t>
        </is>
      </c>
      <c r="M395" s="24" t="inlineStr">
        <is>
          <t>제 43 기</t>
        </is>
      </c>
      <c r="N395" s="24" t="inlineStr">
        <is>
          <t>0.0</t>
        </is>
      </c>
      <c r="O395" s="24" t="inlineStr">
        <is>
          <t>0.0</t>
        </is>
      </c>
      <c r="P395" s="24" t="inlineStr">
        <is>
          <t>KRW</t>
        </is>
      </c>
      <c r="Q395" s="24" t="inlineStr">
        <is>
          <t>5</t>
        </is>
      </c>
    </row>
    <row r="396" ht="24" customHeight="1">
      <c r="A396" s="29" t="inlineStr">
        <is>
          <t>OpenDART_fnlttSinglAcntAll</t>
        </is>
      </c>
      <c r="B396" s="29" t="inlineStr">
        <is>
          <t>00161383</t>
        </is>
      </c>
      <c r="C396" s="29" t="inlineStr">
        <is>
          <t>한미반도체</t>
        </is>
      </c>
      <c r="D396" s="29" t="inlineStr">
        <is>
          <t>hanmi</t>
        </is>
      </c>
      <c r="E396" s="29" t="inlineStr">
        <is>
          <t>042700</t>
        </is>
      </c>
      <c r="F396" s="29" t="inlineStr">
        <is>
          <t>2022</t>
        </is>
      </c>
      <c r="G396" s="29" t="inlineStr">
        <is>
          <t>CFS</t>
        </is>
      </c>
      <c r="H396" s="29" t="inlineStr">
        <is>
          <t>SCE</t>
        </is>
      </c>
      <c r="I396" s="29" t="inlineStr">
        <is>
          <t>자본변동표</t>
        </is>
      </c>
      <c r="J396" s="29" t="inlineStr">
        <is>
          <t>-표준계정코드 미사용-</t>
        </is>
      </c>
      <c r="K396" s="29" t="inlineStr">
        <is>
          <t>해외사업환산손실</t>
        </is>
      </c>
      <c r="L396" s="29" t="inlineStr">
        <is>
          <t>자본 [member]|지배기업지분|자본잉여금 [member]</t>
        </is>
      </c>
      <c r="M396" s="29" t="inlineStr">
        <is>
          <t>제 43 기</t>
        </is>
      </c>
      <c r="N396" s="29" t="inlineStr">
        <is>
          <t>0.0</t>
        </is>
      </c>
      <c r="O396" s="29" t="inlineStr">
        <is>
          <t>0.0</t>
        </is>
      </c>
      <c r="P396" s="29" t="inlineStr">
        <is>
          <t>KRW</t>
        </is>
      </c>
      <c r="Q396" s="29" t="inlineStr">
        <is>
          <t>6</t>
        </is>
      </c>
    </row>
    <row r="397" ht="24" customHeight="1">
      <c r="A397" s="24" t="inlineStr">
        <is>
          <t>OpenDART_fnlttSinglAcntAll</t>
        </is>
      </c>
      <c r="B397" s="24" t="inlineStr">
        <is>
          <t>00161383</t>
        </is>
      </c>
      <c r="C397" s="24" t="inlineStr">
        <is>
          <t>한미반도체</t>
        </is>
      </c>
      <c r="D397" s="24" t="inlineStr">
        <is>
          <t>hanmi</t>
        </is>
      </c>
      <c r="E397" s="24" t="inlineStr">
        <is>
          <t>042700</t>
        </is>
      </c>
      <c r="F397" s="24" t="inlineStr">
        <is>
          <t>2022</t>
        </is>
      </c>
      <c r="G397" s="24" t="inlineStr">
        <is>
          <t>CFS</t>
        </is>
      </c>
      <c r="H397" s="24" t="inlineStr">
        <is>
          <t>SCE</t>
        </is>
      </c>
      <c r="I397" s="24" t="inlineStr">
        <is>
          <t>자본변동표</t>
        </is>
      </c>
      <c r="J397" s="24" t="inlineStr">
        <is>
          <t>-표준계정코드 미사용-</t>
        </is>
      </c>
      <c r="K397" s="24" t="inlineStr">
        <is>
          <t>해외사업환산손실</t>
        </is>
      </c>
      <c r="L397" s="24" t="inlineStr">
        <is>
          <t>연결재무제표 [member]</t>
        </is>
      </c>
      <c r="M397" s="24" t="inlineStr">
        <is>
          <t>제 43 기</t>
        </is>
      </c>
      <c r="N397" s="24" t="inlineStr">
        <is>
          <t>-258240445.0</t>
        </is>
      </c>
      <c r="O397" s="24" t="inlineStr">
        <is>
          <t>0.0</t>
        </is>
      </c>
      <c r="P397" s="24" t="inlineStr">
        <is>
          <t>KRW</t>
        </is>
      </c>
      <c r="Q397" s="24" t="inlineStr">
        <is>
          <t>6</t>
        </is>
      </c>
    </row>
    <row r="398" ht="24" customHeight="1">
      <c r="A398" s="29" t="inlineStr">
        <is>
          <t>OpenDART_fnlttSinglAcntAll</t>
        </is>
      </c>
      <c r="B398" s="29" t="inlineStr">
        <is>
          <t>00161383</t>
        </is>
      </c>
      <c r="C398" s="29" t="inlineStr">
        <is>
          <t>한미반도체</t>
        </is>
      </c>
      <c r="D398" s="29" t="inlineStr">
        <is>
          <t>hanmi</t>
        </is>
      </c>
      <c r="E398" s="29" t="inlineStr">
        <is>
          <t>042700</t>
        </is>
      </c>
      <c r="F398" s="29" t="inlineStr">
        <is>
          <t>2022</t>
        </is>
      </c>
      <c r="G398" s="29" t="inlineStr">
        <is>
          <t>CFS</t>
        </is>
      </c>
      <c r="H398" s="29" t="inlineStr">
        <is>
          <t>SCE</t>
        </is>
      </c>
      <c r="I398" s="29" t="inlineStr">
        <is>
          <t>자본변동표</t>
        </is>
      </c>
      <c r="J398" s="29" t="inlineStr">
        <is>
          <t>-표준계정코드 미사용-</t>
        </is>
      </c>
      <c r="K398" s="29" t="inlineStr">
        <is>
          <t>해외사업환산손실</t>
        </is>
      </c>
      <c r="L398" s="29" t="inlineStr">
        <is>
          <t>자본 [member]|지배기업지분</t>
        </is>
      </c>
      <c r="M398" s="29" t="inlineStr">
        <is>
          <t>제 43 기</t>
        </is>
      </c>
      <c r="N398" s="29" t="inlineStr">
        <is>
          <t>-258240445.0</t>
        </is>
      </c>
      <c r="O398" s="29" t="inlineStr">
        <is>
          <t>0.0</t>
        </is>
      </c>
      <c r="P398" s="29" t="inlineStr">
        <is>
          <t>KRW</t>
        </is>
      </c>
      <c r="Q398" s="29" t="inlineStr">
        <is>
          <t>6</t>
        </is>
      </c>
    </row>
    <row r="399" ht="24" customHeight="1">
      <c r="A399" s="24" t="inlineStr">
        <is>
          <t>OpenDART_fnlttSinglAcntAll</t>
        </is>
      </c>
      <c r="B399" s="24" t="inlineStr">
        <is>
          <t>00161383</t>
        </is>
      </c>
      <c r="C399" s="24" t="inlineStr">
        <is>
          <t>한미반도체</t>
        </is>
      </c>
      <c r="D399" s="24" t="inlineStr">
        <is>
          <t>hanmi</t>
        </is>
      </c>
      <c r="E399" s="24" t="inlineStr">
        <is>
          <t>042700</t>
        </is>
      </c>
      <c r="F399" s="24" t="inlineStr">
        <is>
          <t>2022</t>
        </is>
      </c>
      <c r="G399" s="24" t="inlineStr">
        <is>
          <t>CFS</t>
        </is>
      </c>
      <c r="H399" s="24" t="inlineStr">
        <is>
          <t>SCE</t>
        </is>
      </c>
      <c r="I399" s="24" t="inlineStr">
        <is>
          <t>자본변동표</t>
        </is>
      </c>
      <c r="J399" s="24" t="inlineStr">
        <is>
          <t>-표준계정코드 미사용-</t>
        </is>
      </c>
      <c r="K399" s="24" t="inlineStr">
        <is>
          <t>해외사업환산손실</t>
        </is>
      </c>
      <c r="L399" s="24" t="inlineStr">
        <is>
          <t>자본 [member]|지배기업지분|기타자본구성요소 [member]</t>
        </is>
      </c>
      <c r="M399" s="24" t="inlineStr">
        <is>
          <t>제 43 기</t>
        </is>
      </c>
      <c r="N399" s="24" t="inlineStr">
        <is>
          <t>0.0</t>
        </is>
      </c>
      <c r="O399" s="24" t="inlineStr">
        <is>
          <t>0.0</t>
        </is>
      </c>
      <c r="P399" s="24" t="inlineStr">
        <is>
          <t>KRW</t>
        </is>
      </c>
      <c r="Q399" s="24" t="inlineStr">
        <is>
          <t>6</t>
        </is>
      </c>
    </row>
    <row r="400" ht="24" customHeight="1">
      <c r="A400" s="29" t="inlineStr">
        <is>
          <t>OpenDART_fnlttSinglAcntAll</t>
        </is>
      </c>
      <c r="B400" s="29" t="inlineStr">
        <is>
          <t>00161383</t>
        </is>
      </c>
      <c r="C400" s="29" t="inlineStr">
        <is>
          <t>한미반도체</t>
        </is>
      </c>
      <c r="D400" s="29" t="inlineStr">
        <is>
          <t>hanmi</t>
        </is>
      </c>
      <c r="E400" s="29" t="inlineStr">
        <is>
          <t>042700</t>
        </is>
      </c>
      <c r="F400" s="29" t="inlineStr">
        <is>
          <t>2022</t>
        </is>
      </c>
      <c r="G400" s="29" t="inlineStr">
        <is>
          <t>CFS</t>
        </is>
      </c>
      <c r="H400" s="29" t="inlineStr">
        <is>
          <t>SCE</t>
        </is>
      </c>
      <c r="I400" s="29" t="inlineStr">
        <is>
          <t>자본변동표</t>
        </is>
      </c>
      <c r="J400" s="29" t="inlineStr">
        <is>
          <t>-표준계정코드 미사용-</t>
        </is>
      </c>
      <c r="K400" s="29" t="inlineStr">
        <is>
          <t>해외사업환산손실</t>
        </is>
      </c>
      <c r="L400" s="29" t="inlineStr">
        <is>
          <t>자본 [member]|지배기업지분|기타포괄손익누계액 [member]</t>
        </is>
      </c>
      <c r="M400" s="29" t="inlineStr">
        <is>
          <t>제 43 기</t>
        </is>
      </c>
      <c r="N400" s="29" t="inlineStr">
        <is>
          <t>-258240445.0</t>
        </is>
      </c>
      <c r="O400" s="29" t="inlineStr">
        <is>
          <t>0.0</t>
        </is>
      </c>
      <c r="P400" s="29" t="inlineStr">
        <is>
          <t>KRW</t>
        </is>
      </c>
      <c r="Q400" s="29" t="inlineStr">
        <is>
          <t>6</t>
        </is>
      </c>
    </row>
    <row r="401" ht="24" customHeight="1">
      <c r="A401" s="24" t="inlineStr">
        <is>
          <t>OpenDART_fnlttSinglAcntAll</t>
        </is>
      </c>
      <c r="B401" s="24" t="inlineStr">
        <is>
          <t>00161383</t>
        </is>
      </c>
      <c r="C401" s="24" t="inlineStr">
        <is>
          <t>한미반도체</t>
        </is>
      </c>
      <c r="D401" s="24" t="inlineStr">
        <is>
          <t>hanmi</t>
        </is>
      </c>
      <c r="E401" s="24" t="inlineStr">
        <is>
          <t>042700</t>
        </is>
      </c>
      <c r="F401" s="24" t="inlineStr">
        <is>
          <t>2022</t>
        </is>
      </c>
      <c r="G401" s="24" t="inlineStr">
        <is>
          <t>CFS</t>
        </is>
      </c>
      <c r="H401" s="24" t="inlineStr">
        <is>
          <t>SCE</t>
        </is>
      </c>
      <c r="I401" s="24" t="inlineStr">
        <is>
          <t>자본변동표</t>
        </is>
      </c>
      <c r="J401" s="24" t="inlineStr">
        <is>
          <t>-표준계정코드 미사용-</t>
        </is>
      </c>
      <c r="K401" s="24" t="inlineStr">
        <is>
          <t>해외사업환산손실</t>
        </is>
      </c>
      <c r="L401" s="24" t="inlineStr">
        <is>
          <t>자본 [member]|지배기업지분|자본금 [member]</t>
        </is>
      </c>
      <c r="M401" s="24" t="inlineStr">
        <is>
          <t>제 43 기</t>
        </is>
      </c>
      <c r="N401" s="24" t="inlineStr">
        <is>
          <t>0.0</t>
        </is>
      </c>
      <c r="O401" s="24" t="inlineStr">
        <is>
          <t>0.0</t>
        </is>
      </c>
      <c r="P401" s="24" t="inlineStr">
        <is>
          <t>KRW</t>
        </is>
      </c>
      <c r="Q401" s="24" t="inlineStr">
        <is>
          <t>6</t>
        </is>
      </c>
    </row>
    <row r="402" ht="24" customHeight="1">
      <c r="A402" s="29" t="inlineStr">
        <is>
          <t>OpenDART_fnlttSinglAcntAll</t>
        </is>
      </c>
      <c r="B402" s="29" t="inlineStr">
        <is>
          <t>00161383</t>
        </is>
      </c>
      <c r="C402" s="29" t="inlineStr">
        <is>
          <t>한미반도체</t>
        </is>
      </c>
      <c r="D402" s="29" t="inlineStr">
        <is>
          <t>hanmi</t>
        </is>
      </c>
      <c r="E402" s="29" t="inlineStr">
        <is>
          <t>042700</t>
        </is>
      </c>
      <c r="F402" s="29" t="inlineStr">
        <is>
          <t>2022</t>
        </is>
      </c>
      <c r="G402" s="29" t="inlineStr">
        <is>
          <t>CFS</t>
        </is>
      </c>
      <c r="H402" s="29" t="inlineStr">
        <is>
          <t>SCE</t>
        </is>
      </c>
      <c r="I402" s="29" t="inlineStr">
        <is>
          <t>자본변동표</t>
        </is>
      </c>
      <c r="J402" s="29" t="inlineStr">
        <is>
          <t>-표준계정코드 미사용-</t>
        </is>
      </c>
      <c r="K402" s="29" t="inlineStr">
        <is>
          <t>해외사업환산손실</t>
        </is>
      </c>
      <c r="L402" s="29" t="inlineStr">
        <is>
          <t>자본 [member]|지배기업지분|이익잉여금 [member]</t>
        </is>
      </c>
      <c r="M402" s="29" t="inlineStr">
        <is>
          <t>제 43 기</t>
        </is>
      </c>
      <c r="N402" s="29" t="inlineStr">
        <is>
          <t>0.0</t>
        </is>
      </c>
      <c r="O402" s="29" t="inlineStr">
        <is>
          <t>0.0</t>
        </is>
      </c>
      <c r="P402" s="29" t="inlineStr">
        <is>
          <t>KRW</t>
        </is>
      </c>
      <c r="Q402" s="29" t="inlineStr">
        <is>
          <t>6</t>
        </is>
      </c>
    </row>
    <row r="403" ht="24" customHeight="1">
      <c r="A403" s="24" t="inlineStr">
        <is>
          <t>OpenDART_fnlttSinglAcntAll</t>
        </is>
      </c>
      <c r="B403" s="24" t="inlineStr">
        <is>
          <t>00161383</t>
        </is>
      </c>
      <c r="C403" s="24" t="inlineStr">
        <is>
          <t>한미반도체</t>
        </is>
      </c>
      <c r="D403" s="24" t="inlineStr">
        <is>
          <t>hanmi</t>
        </is>
      </c>
      <c r="E403" s="24" t="inlineStr">
        <is>
          <t>042700</t>
        </is>
      </c>
      <c r="F403" s="24" t="inlineStr">
        <is>
          <t>2022</t>
        </is>
      </c>
      <c r="G403" s="24" t="inlineStr">
        <is>
          <t>CFS</t>
        </is>
      </c>
      <c r="H403" s="24" t="inlineStr">
        <is>
          <t>SCE</t>
        </is>
      </c>
      <c r="I403" s="24" t="inlineStr">
        <is>
          <t>자본변동표</t>
        </is>
      </c>
      <c r="J403" s="24" t="inlineStr">
        <is>
          <t>dart_PurchaseDisposalsOfOddShares</t>
        </is>
      </c>
      <c r="K403" s="24" t="inlineStr">
        <is>
          <t>자기주식 처분</t>
        </is>
      </c>
      <c r="L403" s="24" t="inlineStr">
        <is>
          <t>자본 [member]|지배기업지분|자본금 [member]</t>
        </is>
      </c>
      <c r="M403" s="24" t="inlineStr">
        <is>
          <t>제 43 기</t>
        </is>
      </c>
      <c r="N403" s="24" t="inlineStr">
        <is>
          <t>0.0</t>
        </is>
      </c>
      <c r="O403" s="24" t="inlineStr">
        <is>
          <t>0.0</t>
        </is>
      </c>
      <c r="P403" s="24" t="inlineStr">
        <is>
          <t>KRW</t>
        </is>
      </c>
      <c r="Q403" s="24" t="inlineStr">
        <is>
          <t>7</t>
        </is>
      </c>
    </row>
    <row r="404" ht="24" customHeight="1">
      <c r="A404" s="29" t="inlineStr">
        <is>
          <t>OpenDART_fnlttSinglAcntAll</t>
        </is>
      </c>
      <c r="B404" s="29" t="inlineStr">
        <is>
          <t>00161383</t>
        </is>
      </c>
      <c r="C404" s="29" t="inlineStr">
        <is>
          <t>한미반도체</t>
        </is>
      </c>
      <c r="D404" s="29" t="inlineStr">
        <is>
          <t>hanmi</t>
        </is>
      </c>
      <c r="E404" s="29" t="inlineStr">
        <is>
          <t>042700</t>
        </is>
      </c>
      <c r="F404" s="29" t="inlineStr">
        <is>
          <t>2022</t>
        </is>
      </c>
      <c r="G404" s="29" t="inlineStr">
        <is>
          <t>CFS</t>
        </is>
      </c>
      <c r="H404" s="29" t="inlineStr">
        <is>
          <t>SCE</t>
        </is>
      </c>
      <c r="I404" s="29" t="inlineStr">
        <is>
          <t>자본변동표</t>
        </is>
      </c>
      <c r="J404" s="29" t="inlineStr">
        <is>
          <t>dart_PurchaseDisposalsOfOddShares</t>
        </is>
      </c>
      <c r="K404" s="29" t="inlineStr">
        <is>
          <t>자기주식 처분</t>
        </is>
      </c>
      <c r="L404" s="29" t="inlineStr">
        <is>
          <t>자본 [member]|지배기업지분|이익잉여금 [member]</t>
        </is>
      </c>
      <c r="M404" s="29" t="inlineStr">
        <is>
          <t>제 43 기</t>
        </is>
      </c>
      <c r="N404" s="29" t="inlineStr">
        <is>
          <t>0.0</t>
        </is>
      </c>
      <c r="O404" s="29" t="inlineStr">
        <is>
          <t>0.0</t>
        </is>
      </c>
      <c r="P404" s="29" t="inlineStr">
        <is>
          <t>KRW</t>
        </is>
      </c>
      <c r="Q404" s="29" t="inlineStr">
        <is>
          <t>7</t>
        </is>
      </c>
    </row>
    <row r="405" ht="24" customHeight="1">
      <c r="A405" s="24" t="inlineStr">
        <is>
          <t>OpenDART_fnlttSinglAcntAll</t>
        </is>
      </c>
      <c r="B405" s="24" t="inlineStr">
        <is>
          <t>00161383</t>
        </is>
      </c>
      <c r="C405" s="24" t="inlineStr">
        <is>
          <t>한미반도체</t>
        </is>
      </c>
      <c r="D405" s="24" t="inlineStr">
        <is>
          <t>hanmi</t>
        </is>
      </c>
      <c r="E405" s="24" t="inlineStr">
        <is>
          <t>042700</t>
        </is>
      </c>
      <c r="F405" s="24" t="inlineStr">
        <is>
          <t>2022</t>
        </is>
      </c>
      <c r="G405" s="24" t="inlineStr">
        <is>
          <t>CFS</t>
        </is>
      </c>
      <c r="H405" s="24" t="inlineStr">
        <is>
          <t>SCE</t>
        </is>
      </c>
      <c r="I405" s="24" t="inlineStr">
        <is>
          <t>자본변동표</t>
        </is>
      </c>
      <c r="J405" s="24" t="inlineStr">
        <is>
          <t>dart_PurchaseDisposalsOfOddShares</t>
        </is>
      </c>
      <c r="K405" s="24" t="inlineStr">
        <is>
          <t>자기주식 처분</t>
        </is>
      </c>
      <c r="L405" s="24" t="inlineStr">
        <is>
          <t>자본 [member]|지배기업지분|기타포괄손익누계액 [member]</t>
        </is>
      </c>
      <c r="M405" s="24" t="inlineStr">
        <is>
          <t>제 43 기</t>
        </is>
      </c>
      <c r="N405" s="24" t="inlineStr">
        <is>
          <t>0.0</t>
        </is>
      </c>
      <c r="O405" s="24" t="inlineStr">
        <is>
          <t>0.0</t>
        </is>
      </c>
      <c r="P405" s="24" t="inlineStr">
        <is>
          <t>KRW</t>
        </is>
      </c>
      <c r="Q405" s="24" t="inlineStr">
        <is>
          <t>7</t>
        </is>
      </c>
    </row>
    <row r="406" ht="24" customHeight="1">
      <c r="A406" s="29" t="inlineStr">
        <is>
          <t>OpenDART_fnlttSinglAcntAll</t>
        </is>
      </c>
      <c r="B406" s="29" t="inlineStr">
        <is>
          <t>00161383</t>
        </is>
      </c>
      <c r="C406" s="29" t="inlineStr">
        <is>
          <t>한미반도체</t>
        </is>
      </c>
      <c r="D406" s="29" t="inlineStr">
        <is>
          <t>hanmi</t>
        </is>
      </c>
      <c r="E406" s="29" t="inlineStr">
        <is>
          <t>042700</t>
        </is>
      </c>
      <c r="F406" s="29" t="inlineStr">
        <is>
          <t>2022</t>
        </is>
      </c>
      <c r="G406" s="29" t="inlineStr">
        <is>
          <t>CFS</t>
        </is>
      </c>
      <c r="H406" s="29" t="inlineStr">
        <is>
          <t>SCE</t>
        </is>
      </c>
      <c r="I406" s="29" t="inlineStr">
        <is>
          <t>자본변동표</t>
        </is>
      </c>
      <c r="J406" s="29" t="inlineStr">
        <is>
          <t>dart_PurchaseDisposalsOfOddShares</t>
        </is>
      </c>
      <c r="K406" s="29" t="inlineStr">
        <is>
          <t>자기주식 처분</t>
        </is>
      </c>
      <c r="L406" s="29" t="inlineStr">
        <is>
          <t>자본 [member]|지배기업지분|기타자본구성요소 [member]</t>
        </is>
      </c>
      <c r="M406" s="29" t="inlineStr">
        <is>
          <t>제 43 기</t>
        </is>
      </c>
      <c r="N406" s="29" t="inlineStr">
        <is>
          <t>0.0</t>
        </is>
      </c>
      <c r="O406" s="29" t="inlineStr">
        <is>
          <t>2273725731.0</t>
        </is>
      </c>
      <c r="P406" s="29" t="inlineStr">
        <is>
          <t>KRW</t>
        </is>
      </c>
      <c r="Q406" s="29" t="inlineStr">
        <is>
          <t>7</t>
        </is>
      </c>
    </row>
    <row r="407" ht="24" customHeight="1">
      <c r="A407" s="24" t="inlineStr">
        <is>
          <t>OpenDART_fnlttSinglAcntAll</t>
        </is>
      </c>
      <c r="B407" s="24" t="inlineStr">
        <is>
          <t>00161383</t>
        </is>
      </c>
      <c r="C407" s="24" t="inlineStr">
        <is>
          <t>한미반도체</t>
        </is>
      </c>
      <c r="D407" s="24" t="inlineStr">
        <is>
          <t>hanmi</t>
        </is>
      </c>
      <c r="E407" s="24" t="inlineStr">
        <is>
          <t>042700</t>
        </is>
      </c>
      <c r="F407" s="24" t="inlineStr">
        <is>
          <t>2022</t>
        </is>
      </c>
      <c r="G407" s="24" t="inlineStr">
        <is>
          <t>CFS</t>
        </is>
      </c>
      <c r="H407" s="24" t="inlineStr">
        <is>
          <t>SCE</t>
        </is>
      </c>
      <c r="I407" s="24" t="inlineStr">
        <is>
          <t>자본변동표</t>
        </is>
      </c>
      <c r="J407" s="24" t="inlineStr">
        <is>
          <t>dart_PurchaseDisposalsOfOddShares</t>
        </is>
      </c>
      <c r="K407" s="24" t="inlineStr">
        <is>
          <t>자기주식 처분</t>
        </is>
      </c>
      <c r="L407" s="24" t="inlineStr">
        <is>
          <t>자본 [member]|지배기업지분</t>
        </is>
      </c>
      <c r="M407" s="24" t="inlineStr">
        <is>
          <t>제 43 기</t>
        </is>
      </c>
      <c r="N407" s="24" t="inlineStr">
        <is>
          <t>0.0</t>
        </is>
      </c>
      <c r="O407" s="24" t="inlineStr">
        <is>
          <t>5301669043.0</t>
        </is>
      </c>
      <c r="P407" s="24" t="inlineStr">
        <is>
          <t>KRW</t>
        </is>
      </c>
      <c r="Q407" s="24" t="inlineStr">
        <is>
          <t>7</t>
        </is>
      </c>
    </row>
    <row r="408" ht="24" customHeight="1">
      <c r="A408" s="29" t="inlineStr">
        <is>
          <t>OpenDART_fnlttSinglAcntAll</t>
        </is>
      </c>
      <c r="B408" s="29" t="inlineStr">
        <is>
          <t>00161383</t>
        </is>
      </c>
      <c r="C408" s="29" t="inlineStr">
        <is>
          <t>한미반도체</t>
        </is>
      </c>
      <c r="D408" s="29" t="inlineStr">
        <is>
          <t>hanmi</t>
        </is>
      </c>
      <c r="E408" s="29" t="inlineStr">
        <is>
          <t>042700</t>
        </is>
      </c>
      <c r="F408" s="29" t="inlineStr">
        <is>
          <t>2022</t>
        </is>
      </c>
      <c r="G408" s="29" t="inlineStr">
        <is>
          <t>CFS</t>
        </is>
      </c>
      <c r="H408" s="29" t="inlineStr">
        <is>
          <t>SCE</t>
        </is>
      </c>
      <c r="I408" s="29" t="inlineStr">
        <is>
          <t>자본변동표</t>
        </is>
      </c>
      <c r="J408" s="29" t="inlineStr">
        <is>
          <t>dart_PurchaseDisposalsOfOddShares</t>
        </is>
      </c>
      <c r="K408" s="29" t="inlineStr">
        <is>
          <t>자기주식 처분</t>
        </is>
      </c>
      <c r="L408" s="29" t="inlineStr">
        <is>
          <t>연결재무제표 [member]</t>
        </is>
      </c>
      <c r="M408" s="29" t="inlineStr">
        <is>
          <t>제 43 기</t>
        </is>
      </c>
      <c r="N408" s="29" t="inlineStr">
        <is>
          <t>0.0</t>
        </is>
      </c>
      <c r="O408" s="29" t="inlineStr">
        <is>
          <t>5301669043.0</t>
        </is>
      </c>
      <c r="P408" s="29" t="inlineStr">
        <is>
          <t>KRW</t>
        </is>
      </c>
      <c r="Q408" s="29" t="inlineStr">
        <is>
          <t>7</t>
        </is>
      </c>
    </row>
    <row r="409" ht="24" customHeight="1">
      <c r="A409" s="24" t="inlineStr">
        <is>
          <t>OpenDART_fnlttSinglAcntAll</t>
        </is>
      </c>
      <c r="B409" s="24" t="inlineStr">
        <is>
          <t>00161383</t>
        </is>
      </c>
      <c r="C409" s="24" t="inlineStr">
        <is>
          <t>한미반도체</t>
        </is>
      </c>
      <c r="D409" s="24" t="inlineStr">
        <is>
          <t>hanmi</t>
        </is>
      </c>
      <c r="E409" s="24" t="inlineStr">
        <is>
          <t>042700</t>
        </is>
      </c>
      <c r="F409" s="24" t="inlineStr">
        <is>
          <t>2022</t>
        </is>
      </c>
      <c r="G409" s="24" t="inlineStr">
        <is>
          <t>CFS</t>
        </is>
      </c>
      <c r="H409" s="24" t="inlineStr">
        <is>
          <t>SCE</t>
        </is>
      </c>
      <c r="I409" s="24" t="inlineStr">
        <is>
          <t>자본변동표</t>
        </is>
      </c>
      <c r="J409" s="24" t="inlineStr">
        <is>
          <t>dart_PurchaseDisposalsOfOddShares</t>
        </is>
      </c>
      <c r="K409" s="24" t="inlineStr">
        <is>
          <t>자기주식 처분</t>
        </is>
      </c>
      <c r="L409" s="24" t="inlineStr">
        <is>
          <t>자본 [member]|지배기업지분|자본잉여금 [member]</t>
        </is>
      </c>
      <c r="M409" s="24" t="inlineStr">
        <is>
          <t>제 43 기</t>
        </is>
      </c>
      <c r="N409" s="24" t="inlineStr">
        <is>
          <t>0.0</t>
        </is>
      </c>
      <c r="O409" s="24" t="inlineStr">
        <is>
          <t>3027943312.0</t>
        </is>
      </c>
      <c r="P409" s="24" t="inlineStr">
        <is>
          <t>KRW</t>
        </is>
      </c>
      <c r="Q409" s="24" t="inlineStr">
        <is>
          <t>7</t>
        </is>
      </c>
    </row>
    <row r="410" ht="24" customHeight="1">
      <c r="A410" s="29" t="inlineStr">
        <is>
          <t>OpenDART_fnlttSinglAcntAll</t>
        </is>
      </c>
      <c r="B410" s="29" t="inlineStr">
        <is>
          <t>00161383</t>
        </is>
      </c>
      <c r="C410" s="29" t="inlineStr">
        <is>
          <t>한미반도체</t>
        </is>
      </c>
      <c r="D410" s="29" t="inlineStr">
        <is>
          <t>hanmi</t>
        </is>
      </c>
      <c r="E410" s="29" t="inlineStr">
        <is>
          <t>042700</t>
        </is>
      </c>
      <c r="F410" s="29" t="inlineStr">
        <is>
          <t>2022</t>
        </is>
      </c>
      <c r="G410" s="29" t="inlineStr">
        <is>
          <t>CFS</t>
        </is>
      </c>
      <c r="H410" s="29" t="inlineStr">
        <is>
          <t>SCE</t>
        </is>
      </c>
      <c r="I410" s="29" t="inlineStr">
        <is>
          <t>자본변동표</t>
        </is>
      </c>
      <c r="J410" s="29" t="inlineStr">
        <is>
          <t>dart_TreasuryShareTransactions</t>
        </is>
      </c>
      <c r="K410" s="29" t="inlineStr">
        <is>
          <t>자기주식취득</t>
        </is>
      </c>
      <c r="L410" s="29" t="inlineStr">
        <is>
          <t>자본 [member]|지배기업지분|자본금 [member]</t>
        </is>
      </c>
      <c r="M410" s="29" t="inlineStr">
        <is>
          <t>제 43 기</t>
        </is>
      </c>
      <c r="N410" s="29" t="inlineStr">
        <is>
          <t>0.0</t>
        </is>
      </c>
      <c r="O410" s="29" t="inlineStr">
        <is>
          <t>0.0</t>
        </is>
      </c>
      <c r="P410" s="29" t="inlineStr">
        <is>
          <t>KRW</t>
        </is>
      </c>
      <c r="Q410" s="29" t="inlineStr">
        <is>
          <t>8</t>
        </is>
      </c>
    </row>
    <row r="411" ht="24" customHeight="1">
      <c r="A411" s="24" t="inlineStr">
        <is>
          <t>OpenDART_fnlttSinglAcntAll</t>
        </is>
      </c>
      <c r="B411" s="24" t="inlineStr">
        <is>
          <t>00161383</t>
        </is>
      </c>
      <c r="C411" s="24" t="inlineStr">
        <is>
          <t>한미반도체</t>
        </is>
      </c>
      <c r="D411" s="24" t="inlineStr">
        <is>
          <t>hanmi</t>
        </is>
      </c>
      <c r="E411" s="24" t="inlineStr">
        <is>
          <t>042700</t>
        </is>
      </c>
      <c r="F411" s="24" t="inlineStr">
        <is>
          <t>2022</t>
        </is>
      </c>
      <c r="G411" s="24" t="inlineStr">
        <is>
          <t>CFS</t>
        </is>
      </c>
      <c r="H411" s="24" t="inlineStr">
        <is>
          <t>SCE</t>
        </is>
      </c>
      <c r="I411" s="24" t="inlineStr">
        <is>
          <t>자본변동표</t>
        </is>
      </c>
      <c r="J411" s="24" t="inlineStr">
        <is>
          <t>dart_TreasuryShareTransactions</t>
        </is>
      </c>
      <c r="K411" s="24" t="inlineStr">
        <is>
          <t>자기주식취득</t>
        </is>
      </c>
      <c r="L411" s="24" t="inlineStr">
        <is>
          <t>자본 [member]|지배기업지분|이익잉여금 [member]</t>
        </is>
      </c>
      <c r="M411" s="24" t="inlineStr">
        <is>
          <t>제 43 기</t>
        </is>
      </c>
      <c r="N411" s="24" t="inlineStr">
        <is>
          <t>0.0</t>
        </is>
      </c>
      <c r="O411" s="24" t="inlineStr">
        <is>
          <t>0.0</t>
        </is>
      </c>
      <c r="P411" s="24" t="inlineStr">
        <is>
          <t>KRW</t>
        </is>
      </c>
      <c r="Q411" s="24" t="inlineStr">
        <is>
          <t>8</t>
        </is>
      </c>
    </row>
    <row r="412" ht="24" customHeight="1">
      <c r="A412" s="29" t="inlineStr">
        <is>
          <t>OpenDART_fnlttSinglAcntAll</t>
        </is>
      </c>
      <c r="B412" s="29" t="inlineStr">
        <is>
          <t>00161383</t>
        </is>
      </c>
      <c r="C412" s="29" t="inlineStr">
        <is>
          <t>한미반도체</t>
        </is>
      </c>
      <c r="D412" s="29" t="inlineStr">
        <is>
          <t>hanmi</t>
        </is>
      </c>
      <c r="E412" s="29" t="inlineStr">
        <is>
          <t>042700</t>
        </is>
      </c>
      <c r="F412" s="29" t="inlineStr">
        <is>
          <t>2022</t>
        </is>
      </c>
      <c r="G412" s="29" t="inlineStr">
        <is>
          <t>CFS</t>
        </is>
      </c>
      <c r="H412" s="29" t="inlineStr">
        <is>
          <t>SCE</t>
        </is>
      </c>
      <c r="I412" s="29" t="inlineStr">
        <is>
          <t>자본변동표</t>
        </is>
      </c>
      <c r="J412" s="29" t="inlineStr">
        <is>
          <t>dart_TreasuryShareTransactions</t>
        </is>
      </c>
      <c r="K412" s="29" t="inlineStr">
        <is>
          <t>자기주식취득</t>
        </is>
      </c>
      <c r="L412" s="29" t="inlineStr">
        <is>
          <t>자본 [member]|지배기업지분|기타포괄손익누계액 [member]</t>
        </is>
      </c>
      <c r="M412" s="29" t="inlineStr">
        <is>
          <t>제 43 기</t>
        </is>
      </c>
      <c r="N412" s="29" t="inlineStr">
        <is>
          <t>0.0</t>
        </is>
      </c>
      <c r="O412" s="29" t="inlineStr">
        <is>
          <t>0.0</t>
        </is>
      </c>
      <c r="P412" s="29" t="inlineStr">
        <is>
          <t>KRW</t>
        </is>
      </c>
      <c r="Q412" s="29" t="inlineStr">
        <is>
          <t>8</t>
        </is>
      </c>
    </row>
    <row r="413" ht="24" customHeight="1">
      <c r="A413" s="24" t="inlineStr">
        <is>
          <t>OpenDART_fnlttSinglAcntAll</t>
        </is>
      </c>
      <c r="B413" s="24" t="inlineStr">
        <is>
          <t>00161383</t>
        </is>
      </c>
      <c r="C413" s="24" t="inlineStr">
        <is>
          <t>한미반도체</t>
        </is>
      </c>
      <c r="D413" s="24" t="inlineStr">
        <is>
          <t>hanmi</t>
        </is>
      </c>
      <c r="E413" s="24" t="inlineStr">
        <is>
          <t>042700</t>
        </is>
      </c>
      <c r="F413" s="24" t="inlineStr">
        <is>
          <t>2022</t>
        </is>
      </c>
      <c r="G413" s="24" t="inlineStr">
        <is>
          <t>CFS</t>
        </is>
      </c>
      <c r="H413" s="24" t="inlineStr">
        <is>
          <t>SCE</t>
        </is>
      </c>
      <c r="I413" s="24" t="inlineStr">
        <is>
          <t>자본변동표</t>
        </is>
      </c>
      <c r="J413" s="24" t="inlineStr">
        <is>
          <t>dart_TreasuryShareTransactions</t>
        </is>
      </c>
      <c r="K413" s="24" t="inlineStr">
        <is>
          <t>자기주식취득</t>
        </is>
      </c>
      <c r="L413" s="24" t="inlineStr">
        <is>
          <t>자본 [member]|지배기업지분|기타자본구성요소 [member]</t>
        </is>
      </c>
      <c r="M413" s="24" t="inlineStr">
        <is>
          <t>제 43 기</t>
        </is>
      </c>
      <c r="N413" s="24" t="inlineStr">
        <is>
          <t>-19995806500.0</t>
        </is>
      </c>
      <c r="O413" s="24" t="inlineStr">
        <is>
          <t>0.0</t>
        </is>
      </c>
      <c r="P413" s="24" t="inlineStr">
        <is>
          <t>KRW</t>
        </is>
      </c>
      <c r="Q413" s="24" t="inlineStr">
        <is>
          <t>8</t>
        </is>
      </c>
    </row>
    <row r="414" ht="24" customHeight="1">
      <c r="A414" s="29" t="inlineStr">
        <is>
          <t>OpenDART_fnlttSinglAcntAll</t>
        </is>
      </c>
      <c r="B414" s="29" t="inlineStr">
        <is>
          <t>00161383</t>
        </is>
      </c>
      <c r="C414" s="29" t="inlineStr">
        <is>
          <t>한미반도체</t>
        </is>
      </c>
      <c r="D414" s="29" t="inlineStr">
        <is>
          <t>hanmi</t>
        </is>
      </c>
      <c r="E414" s="29" t="inlineStr">
        <is>
          <t>042700</t>
        </is>
      </c>
      <c r="F414" s="29" t="inlineStr">
        <is>
          <t>2022</t>
        </is>
      </c>
      <c r="G414" s="29" t="inlineStr">
        <is>
          <t>CFS</t>
        </is>
      </c>
      <c r="H414" s="29" t="inlineStr">
        <is>
          <t>SCE</t>
        </is>
      </c>
      <c r="I414" s="29" t="inlineStr">
        <is>
          <t>자본변동표</t>
        </is>
      </c>
      <c r="J414" s="29" t="inlineStr">
        <is>
          <t>dart_TreasuryShareTransactions</t>
        </is>
      </c>
      <c r="K414" s="29" t="inlineStr">
        <is>
          <t>자기주식취득</t>
        </is>
      </c>
      <c r="L414" s="29" t="inlineStr">
        <is>
          <t>자본 [member]|지배기업지분</t>
        </is>
      </c>
      <c r="M414" s="29" t="inlineStr">
        <is>
          <t>제 43 기</t>
        </is>
      </c>
      <c r="N414" s="29" t="inlineStr">
        <is>
          <t>-19995806500.0</t>
        </is>
      </c>
      <c r="O414" s="29" t="inlineStr">
        <is>
          <t>0.0</t>
        </is>
      </c>
      <c r="P414" s="29" t="inlineStr">
        <is>
          <t>KRW</t>
        </is>
      </c>
      <c r="Q414" s="29" t="inlineStr">
        <is>
          <t>8</t>
        </is>
      </c>
    </row>
    <row r="415" ht="24" customHeight="1">
      <c r="A415" s="24" t="inlineStr">
        <is>
          <t>OpenDART_fnlttSinglAcntAll</t>
        </is>
      </c>
      <c r="B415" s="24" t="inlineStr">
        <is>
          <t>00161383</t>
        </is>
      </c>
      <c r="C415" s="24" t="inlineStr">
        <is>
          <t>한미반도체</t>
        </is>
      </c>
      <c r="D415" s="24" t="inlineStr">
        <is>
          <t>hanmi</t>
        </is>
      </c>
      <c r="E415" s="24" t="inlineStr">
        <is>
          <t>042700</t>
        </is>
      </c>
      <c r="F415" s="24" t="inlineStr">
        <is>
          <t>2022</t>
        </is>
      </c>
      <c r="G415" s="24" t="inlineStr">
        <is>
          <t>CFS</t>
        </is>
      </c>
      <c r="H415" s="24" t="inlineStr">
        <is>
          <t>SCE</t>
        </is>
      </c>
      <c r="I415" s="24" t="inlineStr">
        <is>
          <t>자본변동표</t>
        </is>
      </c>
      <c r="J415" s="24" t="inlineStr">
        <is>
          <t>dart_TreasuryShareTransactions</t>
        </is>
      </c>
      <c r="K415" s="24" t="inlineStr">
        <is>
          <t>자기주식취득</t>
        </is>
      </c>
      <c r="L415" s="24" t="inlineStr">
        <is>
          <t>연결재무제표 [member]</t>
        </is>
      </c>
      <c r="M415" s="24" t="inlineStr">
        <is>
          <t>제 43 기</t>
        </is>
      </c>
      <c r="N415" s="24" t="inlineStr">
        <is>
          <t>-19995806500.0</t>
        </is>
      </c>
      <c r="O415" s="24" t="inlineStr">
        <is>
          <t>0.0</t>
        </is>
      </c>
      <c r="P415" s="24" t="inlineStr">
        <is>
          <t>KRW</t>
        </is>
      </c>
      <c r="Q415" s="24" t="inlineStr">
        <is>
          <t>8</t>
        </is>
      </c>
    </row>
    <row r="416" ht="24" customHeight="1">
      <c r="A416" s="29" t="inlineStr">
        <is>
          <t>OpenDART_fnlttSinglAcntAll</t>
        </is>
      </c>
      <c r="B416" s="29" t="inlineStr">
        <is>
          <t>00161383</t>
        </is>
      </c>
      <c r="C416" s="29" t="inlineStr">
        <is>
          <t>한미반도체</t>
        </is>
      </c>
      <c r="D416" s="29" t="inlineStr">
        <is>
          <t>hanmi</t>
        </is>
      </c>
      <c r="E416" s="29" t="inlineStr">
        <is>
          <t>042700</t>
        </is>
      </c>
      <c r="F416" s="29" t="inlineStr">
        <is>
          <t>2022</t>
        </is>
      </c>
      <c r="G416" s="29" t="inlineStr">
        <is>
          <t>CFS</t>
        </is>
      </c>
      <c r="H416" s="29" t="inlineStr">
        <is>
          <t>SCE</t>
        </is>
      </c>
      <c r="I416" s="29" t="inlineStr">
        <is>
          <t>자본변동표</t>
        </is>
      </c>
      <c r="J416" s="29" t="inlineStr">
        <is>
          <t>dart_TreasuryShareTransactions</t>
        </is>
      </c>
      <c r="K416" s="29" t="inlineStr">
        <is>
          <t>자기주식취득</t>
        </is>
      </c>
      <c r="L416" s="29" t="inlineStr">
        <is>
          <t>자본 [member]|지배기업지분|자본잉여금 [member]</t>
        </is>
      </c>
      <c r="M416" s="29" t="inlineStr">
        <is>
          <t>제 43 기</t>
        </is>
      </c>
      <c r="N416" s="29" t="inlineStr">
        <is>
          <t>0.0</t>
        </is>
      </c>
      <c r="O416" s="29" t="inlineStr">
        <is>
          <t>0.0</t>
        </is>
      </c>
      <c r="P416" s="29" t="inlineStr">
        <is>
          <t>KRW</t>
        </is>
      </c>
      <c r="Q416" s="29" t="inlineStr">
        <is>
          <t>8</t>
        </is>
      </c>
    </row>
    <row r="417" ht="24" customHeight="1">
      <c r="A417" s="24" t="inlineStr">
        <is>
          <t>OpenDART_fnlttSinglAcntAll</t>
        </is>
      </c>
      <c r="B417" s="24" t="inlineStr">
        <is>
          <t>00161383</t>
        </is>
      </c>
      <c r="C417" s="24" t="inlineStr">
        <is>
          <t>한미반도체</t>
        </is>
      </c>
      <c r="D417" s="24" t="inlineStr">
        <is>
          <t>hanmi</t>
        </is>
      </c>
      <c r="E417" s="24" t="inlineStr">
        <is>
          <t>042700</t>
        </is>
      </c>
      <c r="F417" s="24" t="inlineStr">
        <is>
          <t>2022</t>
        </is>
      </c>
      <c r="G417" s="24" t="inlineStr">
        <is>
          <t>CFS</t>
        </is>
      </c>
      <c r="H417" s="24" t="inlineStr">
        <is>
          <t>SCE</t>
        </is>
      </c>
      <c r="I417" s="24" t="inlineStr">
        <is>
          <t>자본변동표</t>
        </is>
      </c>
      <c r="J417" s="24" t="inlineStr">
        <is>
          <t>-표준계정코드 미사용-</t>
        </is>
      </c>
      <c r="K417" s="24" t="inlineStr">
        <is>
          <t>자기주식소각</t>
        </is>
      </c>
      <c r="L417" s="24" t="inlineStr">
        <is>
          <t>연결재무제표 [member]</t>
        </is>
      </c>
      <c r="M417" s="24" t="inlineStr">
        <is>
          <t>제 43 기</t>
        </is>
      </c>
      <c r="N417" s="24" t="inlineStr">
        <is>
          <t>0.0</t>
        </is>
      </c>
      <c r="O417" s="24" t="inlineStr">
        <is>
          <t>230911990.0</t>
        </is>
      </c>
      <c r="P417" s="24" t="inlineStr">
        <is>
          <t>KRW</t>
        </is>
      </c>
      <c r="Q417" s="24" t="inlineStr">
        <is>
          <t>9</t>
        </is>
      </c>
    </row>
    <row r="418" ht="24" customHeight="1">
      <c r="A418" s="29" t="inlineStr">
        <is>
          <t>OpenDART_fnlttSinglAcntAll</t>
        </is>
      </c>
      <c r="B418" s="29" t="inlineStr">
        <is>
          <t>00161383</t>
        </is>
      </c>
      <c r="C418" s="29" t="inlineStr">
        <is>
          <t>한미반도체</t>
        </is>
      </c>
      <c r="D418" s="29" t="inlineStr">
        <is>
          <t>hanmi</t>
        </is>
      </c>
      <c r="E418" s="29" t="inlineStr">
        <is>
          <t>042700</t>
        </is>
      </c>
      <c r="F418" s="29" t="inlineStr">
        <is>
          <t>2022</t>
        </is>
      </c>
      <c r="G418" s="29" t="inlineStr">
        <is>
          <t>CFS</t>
        </is>
      </c>
      <c r="H418" s="29" t="inlineStr">
        <is>
          <t>SCE</t>
        </is>
      </c>
      <c r="I418" s="29" t="inlineStr">
        <is>
          <t>자본변동표</t>
        </is>
      </c>
      <c r="J418" s="29" t="inlineStr">
        <is>
          <t>-표준계정코드 미사용-</t>
        </is>
      </c>
      <c r="K418" s="29" t="inlineStr">
        <is>
          <t>자기주식소각</t>
        </is>
      </c>
      <c r="L418" s="29" t="inlineStr">
        <is>
          <t>자본 [member]|지배기업지분</t>
        </is>
      </c>
      <c r="M418" s="29" t="inlineStr">
        <is>
          <t>제 43 기</t>
        </is>
      </c>
      <c r="N418" s="29" t="inlineStr">
        <is>
          <t>0.0</t>
        </is>
      </c>
      <c r="O418" s="29" t="inlineStr">
        <is>
          <t>230911990.0</t>
        </is>
      </c>
      <c r="P418" s="29" t="inlineStr">
        <is>
          <t>KRW</t>
        </is>
      </c>
      <c r="Q418" s="29" t="inlineStr">
        <is>
          <t>9</t>
        </is>
      </c>
    </row>
    <row r="419" ht="24" customHeight="1">
      <c r="A419" s="24" t="inlineStr">
        <is>
          <t>OpenDART_fnlttSinglAcntAll</t>
        </is>
      </c>
      <c r="B419" s="24" t="inlineStr">
        <is>
          <t>00161383</t>
        </is>
      </c>
      <c r="C419" s="24" t="inlineStr">
        <is>
          <t>한미반도체</t>
        </is>
      </c>
      <c r="D419" s="24" t="inlineStr">
        <is>
          <t>hanmi</t>
        </is>
      </c>
      <c r="E419" s="24" t="inlineStr">
        <is>
          <t>042700</t>
        </is>
      </c>
      <c r="F419" s="24" t="inlineStr">
        <is>
          <t>2022</t>
        </is>
      </c>
      <c r="G419" s="24" t="inlineStr">
        <is>
          <t>CFS</t>
        </is>
      </c>
      <c r="H419" s="24" t="inlineStr">
        <is>
          <t>SCE</t>
        </is>
      </c>
      <c r="I419" s="24" t="inlineStr">
        <is>
          <t>자본변동표</t>
        </is>
      </c>
      <c r="J419" s="24" t="inlineStr">
        <is>
          <t>-표준계정코드 미사용-</t>
        </is>
      </c>
      <c r="K419" s="24" t="inlineStr">
        <is>
          <t>자기주식소각</t>
        </is>
      </c>
      <c r="L419" s="24" t="inlineStr">
        <is>
          <t>자본 [member]|지배기업지분|기타자본구성요소 [member]</t>
        </is>
      </c>
      <c r="M419" s="24" t="inlineStr">
        <is>
          <t>제 43 기</t>
        </is>
      </c>
      <c r="N419" s="24" t="inlineStr">
        <is>
          <t>19995806500.0</t>
        </is>
      </c>
      <c r="O419" s="24" t="inlineStr">
        <is>
          <t>16745350350.0</t>
        </is>
      </c>
      <c r="P419" s="24" t="inlineStr">
        <is>
          <t>KRW</t>
        </is>
      </c>
      <c r="Q419" s="24" t="inlineStr">
        <is>
          <t>9</t>
        </is>
      </c>
    </row>
    <row r="420" ht="24" customHeight="1">
      <c r="A420" s="29" t="inlineStr">
        <is>
          <t>OpenDART_fnlttSinglAcntAll</t>
        </is>
      </c>
      <c r="B420" s="29" t="inlineStr">
        <is>
          <t>00161383</t>
        </is>
      </c>
      <c r="C420" s="29" t="inlineStr">
        <is>
          <t>한미반도체</t>
        </is>
      </c>
      <c r="D420" s="29" t="inlineStr">
        <is>
          <t>hanmi</t>
        </is>
      </c>
      <c r="E420" s="29" t="inlineStr">
        <is>
          <t>042700</t>
        </is>
      </c>
      <c r="F420" s="29" t="inlineStr">
        <is>
          <t>2022</t>
        </is>
      </c>
      <c r="G420" s="29" t="inlineStr">
        <is>
          <t>CFS</t>
        </is>
      </c>
      <c r="H420" s="29" t="inlineStr">
        <is>
          <t>SCE</t>
        </is>
      </c>
      <c r="I420" s="29" t="inlineStr">
        <is>
          <t>자본변동표</t>
        </is>
      </c>
      <c r="J420" s="29" t="inlineStr">
        <is>
          <t>-표준계정코드 미사용-</t>
        </is>
      </c>
      <c r="K420" s="29" t="inlineStr">
        <is>
          <t>자기주식소각</t>
        </is>
      </c>
      <c r="L420" s="29" t="inlineStr">
        <is>
          <t>자본 [member]|지배기업지분|기타포괄손익누계액 [member]</t>
        </is>
      </c>
      <c r="M420" s="29" t="inlineStr">
        <is>
          <t>제 43 기</t>
        </is>
      </c>
      <c r="N420" s="29" t="inlineStr">
        <is>
          <t>0.0</t>
        </is>
      </c>
      <c r="O420" s="29" t="inlineStr">
        <is>
          <t>0.0</t>
        </is>
      </c>
      <c r="P420" s="29" t="inlineStr">
        <is>
          <t>KRW</t>
        </is>
      </c>
      <c r="Q420" s="29" t="inlineStr">
        <is>
          <t>9</t>
        </is>
      </c>
    </row>
    <row r="421" ht="24" customHeight="1">
      <c r="A421" s="24" t="inlineStr">
        <is>
          <t>OpenDART_fnlttSinglAcntAll</t>
        </is>
      </c>
      <c r="B421" s="24" t="inlineStr">
        <is>
          <t>00161383</t>
        </is>
      </c>
      <c r="C421" s="24" t="inlineStr">
        <is>
          <t>한미반도체</t>
        </is>
      </c>
      <c r="D421" s="24" t="inlineStr">
        <is>
          <t>hanmi</t>
        </is>
      </c>
      <c r="E421" s="24" t="inlineStr">
        <is>
          <t>042700</t>
        </is>
      </c>
      <c r="F421" s="24" t="inlineStr">
        <is>
          <t>2022</t>
        </is>
      </c>
      <c r="G421" s="24" t="inlineStr">
        <is>
          <t>CFS</t>
        </is>
      </c>
      <c r="H421" s="24" t="inlineStr">
        <is>
          <t>SCE</t>
        </is>
      </c>
      <c r="I421" s="24" t="inlineStr">
        <is>
          <t>자본변동표</t>
        </is>
      </c>
      <c r="J421" s="24" t="inlineStr">
        <is>
          <t>-표준계정코드 미사용-</t>
        </is>
      </c>
      <c r="K421" s="24" t="inlineStr">
        <is>
          <t>자기주식소각</t>
        </is>
      </c>
      <c r="L421" s="24" t="inlineStr">
        <is>
          <t>자본 [member]|지배기업지분|이익잉여금 [member]</t>
        </is>
      </c>
      <c r="M421" s="24" t="inlineStr">
        <is>
          <t>제 43 기</t>
        </is>
      </c>
      <c r="N421" s="24" t="inlineStr">
        <is>
          <t>-19995806500.0</t>
        </is>
      </c>
      <c r="O421" s="24" t="inlineStr">
        <is>
          <t>-16514438360.0</t>
        </is>
      </c>
      <c r="P421" s="24" t="inlineStr">
        <is>
          <t>KRW</t>
        </is>
      </c>
      <c r="Q421" s="24" t="inlineStr">
        <is>
          <t>9</t>
        </is>
      </c>
    </row>
    <row r="422" ht="24" customHeight="1">
      <c r="A422" s="29" t="inlineStr">
        <is>
          <t>OpenDART_fnlttSinglAcntAll</t>
        </is>
      </c>
      <c r="B422" s="29" t="inlineStr">
        <is>
          <t>00161383</t>
        </is>
      </c>
      <c r="C422" s="29" t="inlineStr">
        <is>
          <t>한미반도체</t>
        </is>
      </c>
      <c r="D422" s="29" t="inlineStr">
        <is>
          <t>hanmi</t>
        </is>
      </c>
      <c r="E422" s="29" t="inlineStr">
        <is>
          <t>042700</t>
        </is>
      </c>
      <c r="F422" s="29" t="inlineStr">
        <is>
          <t>2022</t>
        </is>
      </c>
      <c r="G422" s="29" t="inlineStr">
        <is>
          <t>CFS</t>
        </is>
      </c>
      <c r="H422" s="29" t="inlineStr">
        <is>
          <t>SCE</t>
        </is>
      </c>
      <c r="I422" s="29" t="inlineStr">
        <is>
          <t>자본변동표</t>
        </is>
      </c>
      <c r="J422" s="29" t="inlineStr">
        <is>
          <t>-표준계정코드 미사용-</t>
        </is>
      </c>
      <c r="K422" s="29" t="inlineStr">
        <is>
          <t>자기주식소각</t>
        </is>
      </c>
      <c r="L422" s="29" t="inlineStr">
        <is>
          <t>자본 [member]|지배기업지분|자본금 [member]</t>
        </is>
      </c>
      <c r="M422" s="29" t="inlineStr">
        <is>
          <t>제 43 기</t>
        </is>
      </c>
      <c r="N422" s="29" t="inlineStr">
        <is>
          <t>0.0</t>
        </is>
      </c>
      <c r="O422" s="29" t="inlineStr">
        <is>
          <t>0.0</t>
        </is>
      </c>
      <c r="P422" s="29" t="inlineStr">
        <is>
          <t>KRW</t>
        </is>
      </c>
      <c r="Q422" s="29" t="inlineStr">
        <is>
          <t>9</t>
        </is>
      </c>
    </row>
    <row r="423" ht="24" customHeight="1">
      <c r="A423" s="24" t="inlineStr">
        <is>
          <t>OpenDART_fnlttSinglAcntAll</t>
        </is>
      </c>
      <c r="B423" s="24" t="inlineStr">
        <is>
          <t>00161383</t>
        </is>
      </c>
      <c r="C423" s="24" t="inlineStr">
        <is>
          <t>한미반도체</t>
        </is>
      </c>
      <c r="D423" s="24" t="inlineStr">
        <is>
          <t>hanmi</t>
        </is>
      </c>
      <c r="E423" s="24" t="inlineStr">
        <is>
          <t>042700</t>
        </is>
      </c>
      <c r="F423" s="24" t="inlineStr">
        <is>
          <t>2022</t>
        </is>
      </c>
      <c r="G423" s="24" t="inlineStr">
        <is>
          <t>CFS</t>
        </is>
      </c>
      <c r="H423" s="24" t="inlineStr">
        <is>
          <t>SCE</t>
        </is>
      </c>
      <c r="I423" s="24" t="inlineStr">
        <is>
          <t>자본변동표</t>
        </is>
      </c>
      <c r="J423" s="24" t="inlineStr">
        <is>
          <t>-표준계정코드 미사용-</t>
        </is>
      </c>
      <c r="K423" s="24" t="inlineStr">
        <is>
          <t>자기주식소각</t>
        </is>
      </c>
      <c r="L423" s="24" t="inlineStr">
        <is>
          <t>자본 [member]|지배기업지분|자본잉여금 [member]</t>
        </is>
      </c>
      <c r="M423" s="24" t="inlineStr">
        <is>
          <t>제 43 기</t>
        </is>
      </c>
      <c r="N423" s="24" t="inlineStr">
        <is>
          <t>0.0</t>
        </is>
      </c>
      <c r="O423" s="24" t="inlineStr">
        <is>
          <t>0.0</t>
        </is>
      </c>
      <c r="P423" s="24" t="inlineStr">
        <is>
          <t>KRW</t>
        </is>
      </c>
      <c r="Q423" s="24" t="inlineStr">
        <is>
          <t>9</t>
        </is>
      </c>
    </row>
    <row r="424" ht="24" customHeight="1">
      <c r="A424" s="29" t="inlineStr">
        <is>
          <t>OpenDART_fnlttSinglAcntAll</t>
        </is>
      </c>
      <c r="B424" s="29" t="inlineStr">
        <is>
          <t>00161383</t>
        </is>
      </c>
      <c r="C424" s="29" t="inlineStr">
        <is>
          <t>한미반도체</t>
        </is>
      </c>
      <c r="D424" s="29" t="inlineStr">
        <is>
          <t>hanmi</t>
        </is>
      </c>
      <c r="E424" s="29" t="inlineStr">
        <is>
          <t>042700</t>
        </is>
      </c>
      <c r="F424" s="29" t="inlineStr">
        <is>
          <t>2022</t>
        </is>
      </c>
      <c r="G424" s="29" t="inlineStr">
        <is>
          <t>CFS</t>
        </is>
      </c>
      <c r="H424" s="29" t="inlineStr">
        <is>
          <t>SCE</t>
        </is>
      </c>
      <c r="I424" s="29" t="inlineStr">
        <is>
          <t>자본변동표</t>
        </is>
      </c>
      <c r="J424" s="29" t="inlineStr">
        <is>
          <t>ifrs-full_DividendsPaid</t>
        </is>
      </c>
      <c r="K424" s="29" t="inlineStr">
        <is>
          <t>배당금</t>
        </is>
      </c>
      <c r="L424" s="29" t="inlineStr">
        <is>
          <t>연결재무제표 [member]</t>
        </is>
      </c>
      <c r="M424" s="29" t="inlineStr">
        <is>
          <t>제 43 기</t>
        </is>
      </c>
      <c r="N424" s="29" t="inlineStr">
        <is>
          <t>-29675926200.0</t>
        </is>
      </c>
      <c r="O424" s="29" t="inlineStr">
        <is>
          <t>-19671513600.0</t>
        </is>
      </c>
      <c r="P424" s="29" t="inlineStr">
        <is>
          <t>KRW</t>
        </is>
      </c>
      <c r="Q424" s="29" t="inlineStr">
        <is>
          <t>10</t>
        </is>
      </c>
    </row>
    <row r="425" ht="24" customHeight="1">
      <c r="A425" s="24" t="inlineStr">
        <is>
          <t>OpenDART_fnlttSinglAcntAll</t>
        </is>
      </c>
      <c r="B425" s="24" t="inlineStr">
        <is>
          <t>00161383</t>
        </is>
      </c>
      <c r="C425" s="24" t="inlineStr">
        <is>
          <t>한미반도체</t>
        </is>
      </c>
      <c r="D425" s="24" t="inlineStr">
        <is>
          <t>hanmi</t>
        </is>
      </c>
      <c r="E425" s="24" t="inlineStr">
        <is>
          <t>042700</t>
        </is>
      </c>
      <c r="F425" s="24" t="inlineStr">
        <is>
          <t>2022</t>
        </is>
      </c>
      <c r="G425" s="24" t="inlineStr">
        <is>
          <t>CFS</t>
        </is>
      </c>
      <c r="H425" s="24" t="inlineStr">
        <is>
          <t>SCE</t>
        </is>
      </c>
      <c r="I425" s="24" t="inlineStr">
        <is>
          <t>자본변동표</t>
        </is>
      </c>
      <c r="J425" s="24" t="inlineStr">
        <is>
          <t>ifrs-full_DividendsPaid</t>
        </is>
      </c>
      <c r="K425" s="24" t="inlineStr">
        <is>
          <t>배당금</t>
        </is>
      </c>
      <c r="L425" s="24" t="inlineStr">
        <is>
          <t>자본 [member]|지배기업지분</t>
        </is>
      </c>
      <c r="M425" s="24" t="inlineStr">
        <is>
          <t>제 43 기</t>
        </is>
      </c>
      <c r="N425" s="24" t="inlineStr">
        <is>
          <t>-29675926200.0</t>
        </is>
      </c>
      <c r="O425" s="24" t="inlineStr">
        <is>
          <t>-19671513600.0</t>
        </is>
      </c>
      <c r="P425" s="24" t="inlineStr">
        <is>
          <t>KRW</t>
        </is>
      </c>
      <c r="Q425" s="24" t="inlineStr">
        <is>
          <t>10</t>
        </is>
      </c>
    </row>
    <row r="426" ht="24" customHeight="1">
      <c r="A426" s="29" t="inlineStr">
        <is>
          <t>OpenDART_fnlttSinglAcntAll</t>
        </is>
      </c>
      <c r="B426" s="29" t="inlineStr">
        <is>
          <t>00161383</t>
        </is>
      </c>
      <c r="C426" s="29" t="inlineStr">
        <is>
          <t>한미반도체</t>
        </is>
      </c>
      <c r="D426" s="29" t="inlineStr">
        <is>
          <t>hanmi</t>
        </is>
      </c>
      <c r="E426" s="29" t="inlineStr">
        <is>
          <t>042700</t>
        </is>
      </c>
      <c r="F426" s="29" t="inlineStr">
        <is>
          <t>2022</t>
        </is>
      </c>
      <c r="G426" s="29" t="inlineStr">
        <is>
          <t>CFS</t>
        </is>
      </c>
      <c r="H426" s="29" t="inlineStr">
        <is>
          <t>SCE</t>
        </is>
      </c>
      <c r="I426" s="29" t="inlineStr">
        <is>
          <t>자본변동표</t>
        </is>
      </c>
      <c r="J426" s="29" t="inlineStr">
        <is>
          <t>ifrs-full_DividendsPaid</t>
        </is>
      </c>
      <c r="K426" s="29" t="inlineStr">
        <is>
          <t>배당금</t>
        </is>
      </c>
      <c r="L426" s="29" t="inlineStr">
        <is>
          <t>자본 [member]|지배기업지분|기타자본구성요소 [member]</t>
        </is>
      </c>
      <c r="M426" s="29" t="inlineStr">
        <is>
          <t>제 43 기</t>
        </is>
      </c>
      <c r="N426" s="29" t="inlineStr">
        <is>
          <t>0.0</t>
        </is>
      </c>
      <c r="O426" s="29" t="inlineStr">
        <is>
          <t>0.0</t>
        </is>
      </c>
      <c r="P426" s="29" t="inlineStr">
        <is>
          <t>KRW</t>
        </is>
      </c>
      <c r="Q426" s="29" t="inlineStr">
        <is>
          <t>10</t>
        </is>
      </c>
    </row>
    <row r="427" ht="24" customHeight="1">
      <c r="A427" s="24" t="inlineStr">
        <is>
          <t>OpenDART_fnlttSinglAcntAll</t>
        </is>
      </c>
      <c r="B427" s="24" t="inlineStr">
        <is>
          <t>00161383</t>
        </is>
      </c>
      <c r="C427" s="24" t="inlineStr">
        <is>
          <t>한미반도체</t>
        </is>
      </c>
      <c r="D427" s="24" t="inlineStr">
        <is>
          <t>hanmi</t>
        </is>
      </c>
      <c r="E427" s="24" t="inlineStr">
        <is>
          <t>042700</t>
        </is>
      </c>
      <c r="F427" s="24" t="inlineStr">
        <is>
          <t>2022</t>
        </is>
      </c>
      <c r="G427" s="24" t="inlineStr">
        <is>
          <t>CFS</t>
        </is>
      </c>
      <c r="H427" s="24" t="inlineStr">
        <is>
          <t>SCE</t>
        </is>
      </c>
      <c r="I427" s="24" t="inlineStr">
        <is>
          <t>자본변동표</t>
        </is>
      </c>
      <c r="J427" s="24" t="inlineStr">
        <is>
          <t>ifrs-full_DividendsPaid</t>
        </is>
      </c>
      <c r="K427" s="24" t="inlineStr">
        <is>
          <t>배당금</t>
        </is>
      </c>
      <c r="L427" s="24" t="inlineStr">
        <is>
          <t>자본 [member]|지배기업지분|기타포괄손익누계액 [member]</t>
        </is>
      </c>
      <c r="M427" s="24" t="inlineStr">
        <is>
          <t>제 43 기</t>
        </is>
      </c>
      <c r="N427" s="24" t="inlineStr">
        <is>
          <t>0.0</t>
        </is>
      </c>
      <c r="O427" s="24" t="inlineStr">
        <is>
          <t>0.0</t>
        </is>
      </c>
      <c r="P427" s="24" t="inlineStr">
        <is>
          <t>KRW</t>
        </is>
      </c>
      <c r="Q427" s="24" t="inlineStr">
        <is>
          <t>10</t>
        </is>
      </c>
    </row>
    <row r="428" ht="24" customHeight="1">
      <c r="A428" s="29" t="inlineStr">
        <is>
          <t>OpenDART_fnlttSinglAcntAll</t>
        </is>
      </c>
      <c r="B428" s="29" t="inlineStr">
        <is>
          <t>00161383</t>
        </is>
      </c>
      <c r="C428" s="29" t="inlineStr">
        <is>
          <t>한미반도체</t>
        </is>
      </c>
      <c r="D428" s="29" t="inlineStr">
        <is>
          <t>hanmi</t>
        </is>
      </c>
      <c r="E428" s="29" t="inlineStr">
        <is>
          <t>042700</t>
        </is>
      </c>
      <c r="F428" s="29" t="inlineStr">
        <is>
          <t>2022</t>
        </is>
      </c>
      <c r="G428" s="29" t="inlineStr">
        <is>
          <t>CFS</t>
        </is>
      </c>
      <c r="H428" s="29" t="inlineStr">
        <is>
          <t>SCE</t>
        </is>
      </c>
      <c r="I428" s="29" t="inlineStr">
        <is>
          <t>자본변동표</t>
        </is>
      </c>
      <c r="J428" s="29" t="inlineStr">
        <is>
          <t>ifrs-full_DividendsPaid</t>
        </is>
      </c>
      <c r="K428" s="29" t="inlineStr">
        <is>
          <t>배당금</t>
        </is>
      </c>
      <c r="L428" s="29" t="inlineStr">
        <is>
          <t>자본 [member]|지배기업지분|이익잉여금 [member]</t>
        </is>
      </c>
      <c r="M428" s="29" t="inlineStr">
        <is>
          <t>제 43 기</t>
        </is>
      </c>
      <c r="N428" s="29" t="inlineStr">
        <is>
          <t>-29675926200.0</t>
        </is>
      </c>
      <c r="O428" s="29" t="inlineStr">
        <is>
          <t>-19671513600.0</t>
        </is>
      </c>
      <c r="P428" s="29" t="inlineStr">
        <is>
          <t>KRW</t>
        </is>
      </c>
      <c r="Q428" s="29" t="inlineStr">
        <is>
          <t>10</t>
        </is>
      </c>
    </row>
    <row r="429" ht="24" customHeight="1">
      <c r="A429" s="24" t="inlineStr">
        <is>
          <t>OpenDART_fnlttSinglAcntAll</t>
        </is>
      </c>
      <c r="B429" s="24" t="inlineStr">
        <is>
          <t>00161383</t>
        </is>
      </c>
      <c r="C429" s="24" t="inlineStr">
        <is>
          <t>한미반도체</t>
        </is>
      </c>
      <c r="D429" s="24" t="inlineStr">
        <is>
          <t>hanmi</t>
        </is>
      </c>
      <c r="E429" s="24" t="inlineStr">
        <is>
          <t>042700</t>
        </is>
      </c>
      <c r="F429" s="24" t="inlineStr">
        <is>
          <t>2022</t>
        </is>
      </c>
      <c r="G429" s="24" t="inlineStr">
        <is>
          <t>CFS</t>
        </is>
      </c>
      <c r="H429" s="24" t="inlineStr">
        <is>
          <t>SCE</t>
        </is>
      </c>
      <c r="I429" s="24" t="inlineStr">
        <is>
          <t>자본변동표</t>
        </is>
      </c>
      <c r="J429" s="24" t="inlineStr">
        <is>
          <t>ifrs-full_DividendsPaid</t>
        </is>
      </c>
      <c r="K429" s="24" t="inlineStr">
        <is>
          <t>배당금</t>
        </is>
      </c>
      <c r="L429" s="24" t="inlineStr">
        <is>
          <t>자본 [member]|지배기업지분|자본금 [member]</t>
        </is>
      </c>
      <c r="M429" s="24" t="inlineStr">
        <is>
          <t>제 43 기</t>
        </is>
      </c>
      <c r="N429" s="24" t="inlineStr">
        <is>
          <t>0.0</t>
        </is>
      </c>
      <c r="O429" s="24" t="inlineStr">
        <is>
          <t>0.0</t>
        </is>
      </c>
      <c r="P429" s="24" t="inlineStr">
        <is>
          <t>KRW</t>
        </is>
      </c>
      <c r="Q429" s="24" t="inlineStr">
        <is>
          <t>10</t>
        </is>
      </c>
    </row>
    <row r="430" ht="24" customHeight="1">
      <c r="A430" s="29" t="inlineStr">
        <is>
          <t>OpenDART_fnlttSinglAcntAll</t>
        </is>
      </c>
      <c r="B430" s="29" t="inlineStr">
        <is>
          <t>00161383</t>
        </is>
      </c>
      <c r="C430" s="29" t="inlineStr">
        <is>
          <t>한미반도체</t>
        </is>
      </c>
      <c r="D430" s="29" t="inlineStr">
        <is>
          <t>hanmi</t>
        </is>
      </c>
      <c r="E430" s="29" t="inlineStr">
        <is>
          <t>042700</t>
        </is>
      </c>
      <c r="F430" s="29" t="inlineStr">
        <is>
          <t>2022</t>
        </is>
      </c>
      <c r="G430" s="29" t="inlineStr">
        <is>
          <t>CFS</t>
        </is>
      </c>
      <c r="H430" s="29" t="inlineStr">
        <is>
          <t>SCE</t>
        </is>
      </c>
      <c r="I430" s="29" t="inlineStr">
        <is>
          <t>자본변동표</t>
        </is>
      </c>
      <c r="J430" s="29" t="inlineStr">
        <is>
          <t>ifrs-full_DividendsPaid</t>
        </is>
      </c>
      <c r="K430" s="29" t="inlineStr">
        <is>
          <t>배당금</t>
        </is>
      </c>
      <c r="L430" s="29" t="inlineStr">
        <is>
          <t>자본 [member]|지배기업지분|자본잉여금 [member]</t>
        </is>
      </c>
      <c r="M430" s="29" t="inlineStr">
        <is>
          <t>제 43 기</t>
        </is>
      </c>
      <c r="N430" s="29" t="inlineStr">
        <is>
          <t>0.0</t>
        </is>
      </c>
      <c r="O430" s="29" t="inlineStr">
        <is>
          <t>0.0</t>
        </is>
      </c>
      <c r="P430" s="29" t="inlineStr">
        <is>
          <t>KRW</t>
        </is>
      </c>
      <c r="Q430" s="29" t="inlineStr">
        <is>
          <t>10</t>
        </is>
      </c>
    </row>
    <row r="431" ht="24" customHeight="1">
      <c r="A431" s="24" t="inlineStr">
        <is>
          <t>OpenDART_fnlttSinglAcntAll</t>
        </is>
      </c>
      <c r="B431" s="24" t="inlineStr">
        <is>
          <t>00161383</t>
        </is>
      </c>
      <c r="C431" s="24" t="inlineStr">
        <is>
          <t>한미반도체</t>
        </is>
      </c>
      <c r="D431" s="24" t="inlineStr">
        <is>
          <t>hanmi</t>
        </is>
      </c>
      <c r="E431" s="24" t="inlineStr">
        <is>
          <t>042700</t>
        </is>
      </c>
      <c r="F431" s="24" t="inlineStr">
        <is>
          <t>2022</t>
        </is>
      </c>
      <c r="G431" s="24" t="inlineStr">
        <is>
          <t>CFS</t>
        </is>
      </c>
      <c r="H431" s="24" t="inlineStr">
        <is>
          <t>SCE</t>
        </is>
      </c>
      <c r="I431" s="24" t="inlineStr">
        <is>
          <t>자본변동표</t>
        </is>
      </c>
      <c r="J431" s="24" t="inlineStr">
        <is>
          <t>ifrs-full_IncreaseDecreaseThroughTransfersAndOtherChangesEquity</t>
        </is>
      </c>
      <c r="K431" s="24" t="inlineStr">
        <is>
          <t>기타자본 조정</t>
        </is>
      </c>
      <c r="L431" s="24" t="inlineStr">
        <is>
          <t>자본 [member]|지배기업지분|자본잉여금 [member]</t>
        </is>
      </c>
      <c r="M431" s="24" t="inlineStr">
        <is>
          <t>제 43 기</t>
        </is>
      </c>
      <c r="N431" s="24" t="inlineStr">
        <is>
          <t>0.0</t>
        </is>
      </c>
      <c r="O431" s="24" t="inlineStr">
        <is>
          <t>0.0</t>
        </is>
      </c>
      <c r="P431" s="24" t="inlineStr">
        <is>
          <t>KRW</t>
        </is>
      </c>
      <c r="Q431" s="24" t="inlineStr">
        <is>
          <t>11</t>
        </is>
      </c>
    </row>
    <row r="432" ht="24" customHeight="1">
      <c r="A432" s="29" t="inlineStr">
        <is>
          <t>OpenDART_fnlttSinglAcntAll</t>
        </is>
      </c>
      <c r="B432" s="29" t="inlineStr">
        <is>
          <t>00161383</t>
        </is>
      </c>
      <c r="C432" s="29" t="inlineStr">
        <is>
          <t>한미반도체</t>
        </is>
      </c>
      <c r="D432" s="29" t="inlineStr">
        <is>
          <t>hanmi</t>
        </is>
      </c>
      <c r="E432" s="29" t="inlineStr">
        <is>
          <t>042700</t>
        </is>
      </c>
      <c r="F432" s="29" t="inlineStr">
        <is>
          <t>2022</t>
        </is>
      </c>
      <c r="G432" s="29" t="inlineStr">
        <is>
          <t>CFS</t>
        </is>
      </c>
      <c r="H432" s="29" t="inlineStr">
        <is>
          <t>SCE</t>
        </is>
      </c>
      <c r="I432" s="29" t="inlineStr">
        <is>
          <t>자본변동표</t>
        </is>
      </c>
      <c r="J432" s="29" t="inlineStr">
        <is>
          <t>ifrs-full_IncreaseDecreaseThroughTransfersAndOtherChangesEquity</t>
        </is>
      </c>
      <c r="K432" s="29" t="inlineStr">
        <is>
          <t>기타자본 조정</t>
        </is>
      </c>
      <c r="L432" s="29" t="inlineStr">
        <is>
          <t>자본 [member]|지배기업지분|자본금 [member]</t>
        </is>
      </c>
      <c r="M432" s="29" t="inlineStr">
        <is>
          <t>제 43 기</t>
        </is>
      </c>
      <c r="N432" s="29" t="inlineStr">
        <is>
          <t>0.0</t>
        </is>
      </c>
      <c r="O432" s="29" t="inlineStr">
        <is>
          <t>0.0</t>
        </is>
      </c>
      <c r="P432" s="29" t="inlineStr">
        <is>
          <t>KRW</t>
        </is>
      </c>
      <c r="Q432" s="29" t="inlineStr">
        <is>
          <t>11</t>
        </is>
      </c>
    </row>
    <row r="433" ht="24" customHeight="1">
      <c r="A433" s="24" t="inlineStr">
        <is>
          <t>OpenDART_fnlttSinglAcntAll</t>
        </is>
      </c>
      <c r="B433" s="24" t="inlineStr">
        <is>
          <t>00161383</t>
        </is>
      </c>
      <c r="C433" s="24" t="inlineStr">
        <is>
          <t>한미반도체</t>
        </is>
      </c>
      <c r="D433" s="24" t="inlineStr">
        <is>
          <t>hanmi</t>
        </is>
      </c>
      <c r="E433" s="24" t="inlineStr">
        <is>
          <t>042700</t>
        </is>
      </c>
      <c r="F433" s="24" t="inlineStr">
        <is>
          <t>2022</t>
        </is>
      </c>
      <c r="G433" s="24" t="inlineStr">
        <is>
          <t>CFS</t>
        </is>
      </c>
      <c r="H433" s="24" t="inlineStr">
        <is>
          <t>SCE</t>
        </is>
      </c>
      <c r="I433" s="24" t="inlineStr">
        <is>
          <t>자본변동표</t>
        </is>
      </c>
      <c r="J433" s="24" t="inlineStr">
        <is>
          <t>ifrs-full_IncreaseDecreaseThroughTransfersAndOtherChangesEquity</t>
        </is>
      </c>
      <c r="K433" s="24" t="inlineStr">
        <is>
          <t>기타자본 조정</t>
        </is>
      </c>
      <c r="L433" s="24" t="inlineStr">
        <is>
          <t>자본 [member]|지배기업지분|이익잉여금 [member]</t>
        </is>
      </c>
      <c r="M433" s="24" t="inlineStr">
        <is>
          <t>제 43 기</t>
        </is>
      </c>
      <c r="N433" s="24" t="inlineStr">
        <is>
          <t>0.0</t>
        </is>
      </c>
      <c r="O433" s="24" t="inlineStr">
        <is>
          <t>0.0</t>
        </is>
      </c>
      <c r="P433" s="24" t="inlineStr">
        <is>
          <t>KRW</t>
        </is>
      </c>
      <c r="Q433" s="24" t="inlineStr">
        <is>
          <t>11</t>
        </is>
      </c>
    </row>
    <row r="434" ht="24" customHeight="1">
      <c r="A434" s="29" t="inlineStr">
        <is>
          <t>OpenDART_fnlttSinglAcntAll</t>
        </is>
      </c>
      <c r="B434" s="29" t="inlineStr">
        <is>
          <t>00161383</t>
        </is>
      </c>
      <c r="C434" s="29" t="inlineStr">
        <is>
          <t>한미반도체</t>
        </is>
      </c>
      <c r="D434" s="29" t="inlineStr">
        <is>
          <t>hanmi</t>
        </is>
      </c>
      <c r="E434" s="29" t="inlineStr">
        <is>
          <t>042700</t>
        </is>
      </c>
      <c r="F434" s="29" t="inlineStr">
        <is>
          <t>2022</t>
        </is>
      </c>
      <c r="G434" s="29" t="inlineStr">
        <is>
          <t>CFS</t>
        </is>
      </c>
      <c r="H434" s="29" t="inlineStr">
        <is>
          <t>SCE</t>
        </is>
      </c>
      <c r="I434" s="29" t="inlineStr">
        <is>
          <t>자본변동표</t>
        </is>
      </c>
      <c r="J434" s="29" t="inlineStr">
        <is>
          <t>ifrs-full_IncreaseDecreaseThroughTransfersAndOtherChangesEquity</t>
        </is>
      </c>
      <c r="K434" s="29" t="inlineStr">
        <is>
          <t>기타자본 조정</t>
        </is>
      </c>
      <c r="L434" s="29" t="inlineStr">
        <is>
          <t>자본 [member]|지배기업지분|기타포괄손익누계액 [member]</t>
        </is>
      </c>
      <c r="M434" s="29" t="inlineStr">
        <is>
          <t>제 43 기</t>
        </is>
      </c>
      <c r="N434" s="29" t="inlineStr">
        <is>
          <t>0.0</t>
        </is>
      </c>
      <c r="O434" s="29" t="inlineStr">
        <is>
          <t>0.0</t>
        </is>
      </c>
      <c r="P434" s="29" t="inlineStr">
        <is>
          <t>KRW</t>
        </is>
      </c>
      <c r="Q434" s="29" t="inlineStr">
        <is>
          <t>11</t>
        </is>
      </c>
    </row>
    <row r="435" ht="24" customHeight="1">
      <c r="A435" s="24" t="inlineStr">
        <is>
          <t>OpenDART_fnlttSinglAcntAll</t>
        </is>
      </c>
      <c r="B435" s="24" t="inlineStr">
        <is>
          <t>00161383</t>
        </is>
      </c>
      <c r="C435" s="24" t="inlineStr">
        <is>
          <t>한미반도체</t>
        </is>
      </c>
      <c r="D435" s="24" t="inlineStr">
        <is>
          <t>hanmi</t>
        </is>
      </c>
      <c r="E435" s="24" t="inlineStr">
        <is>
          <t>042700</t>
        </is>
      </c>
      <c r="F435" s="24" t="inlineStr">
        <is>
          <t>2022</t>
        </is>
      </c>
      <c r="G435" s="24" t="inlineStr">
        <is>
          <t>CFS</t>
        </is>
      </c>
      <c r="H435" s="24" t="inlineStr">
        <is>
          <t>SCE</t>
        </is>
      </c>
      <c r="I435" s="24" t="inlineStr">
        <is>
          <t>자본변동표</t>
        </is>
      </c>
      <c r="J435" s="24" t="inlineStr">
        <is>
          <t>ifrs-full_IncreaseDecreaseThroughTransfersAndOtherChangesEquity</t>
        </is>
      </c>
      <c r="K435" s="24" t="inlineStr">
        <is>
          <t>기타자본 조정</t>
        </is>
      </c>
      <c r="L435" s="24" t="inlineStr">
        <is>
          <t>자본 [member]|지배기업지분|기타자본구성요소 [member]</t>
        </is>
      </c>
      <c r="M435" s="24" t="inlineStr">
        <is>
          <t>제 43 기</t>
        </is>
      </c>
      <c r="N435" s="24" t="inlineStr">
        <is>
          <t>0.0</t>
        </is>
      </c>
      <c r="O435" s="24" t="inlineStr">
        <is>
          <t>0.0</t>
        </is>
      </c>
      <c r="P435" s="24" t="inlineStr">
        <is>
          <t>KRW</t>
        </is>
      </c>
      <c r="Q435" s="24" t="inlineStr">
        <is>
          <t>11</t>
        </is>
      </c>
    </row>
    <row r="436" ht="24" customHeight="1">
      <c r="A436" s="29" t="inlineStr">
        <is>
          <t>OpenDART_fnlttSinglAcntAll</t>
        </is>
      </c>
      <c r="B436" s="29" t="inlineStr">
        <is>
          <t>00161383</t>
        </is>
      </c>
      <c r="C436" s="29" t="inlineStr">
        <is>
          <t>한미반도체</t>
        </is>
      </c>
      <c r="D436" s="29" t="inlineStr">
        <is>
          <t>hanmi</t>
        </is>
      </c>
      <c r="E436" s="29" t="inlineStr">
        <is>
          <t>042700</t>
        </is>
      </c>
      <c r="F436" s="29" t="inlineStr">
        <is>
          <t>2022</t>
        </is>
      </c>
      <c r="G436" s="29" t="inlineStr">
        <is>
          <t>CFS</t>
        </is>
      </c>
      <c r="H436" s="29" t="inlineStr">
        <is>
          <t>SCE</t>
        </is>
      </c>
      <c r="I436" s="29" t="inlineStr">
        <is>
          <t>자본변동표</t>
        </is>
      </c>
      <c r="J436" s="29" t="inlineStr">
        <is>
          <t>ifrs-full_IncreaseDecreaseThroughTransfersAndOtherChangesEquity</t>
        </is>
      </c>
      <c r="K436" s="29" t="inlineStr">
        <is>
          <t>기타자본 조정</t>
        </is>
      </c>
      <c r="L436" s="29" t="inlineStr">
        <is>
          <t>연결재무제표 [member]</t>
        </is>
      </c>
      <c r="M436" s="29" t="inlineStr">
        <is>
          <t>제 43 기</t>
        </is>
      </c>
      <c r="N436" s="29" t="inlineStr">
        <is>
          <t>0.0</t>
        </is>
      </c>
      <c r="O436" s="29" t="inlineStr">
        <is>
          <t>0.0</t>
        </is>
      </c>
      <c r="P436" s="29" t="inlineStr">
        <is>
          <t>KRW</t>
        </is>
      </c>
      <c r="Q436" s="29" t="inlineStr">
        <is>
          <t>11</t>
        </is>
      </c>
    </row>
    <row r="437" ht="24" customHeight="1">
      <c r="A437" s="24" t="inlineStr">
        <is>
          <t>OpenDART_fnlttSinglAcntAll</t>
        </is>
      </c>
      <c r="B437" s="24" t="inlineStr">
        <is>
          <t>00161383</t>
        </is>
      </c>
      <c r="C437" s="24" t="inlineStr">
        <is>
          <t>한미반도체</t>
        </is>
      </c>
      <c r="D437" s="24" t="inlineStr">
        <is>
          <t>hanmi</t>
        </is>
      </c>
      <c r="E437" s="24" t="inlineStr">
        <is>
          <t>042700</t>
        </is>
      </c>
      <c r="F437" s="24" t="inlineStr">
        <is>
          <t>2022</t>
        </is>
      </c>
      <c r="G437" s="24" t="inlineStr">
        <is>
          <t>CFS</t>
        </is>
      </c>
      <c r="H437" s="24" t="inlineStr">
        <is>
          <t>SCE</t>
        </is>
      </c>
      <c r="I437" s="24" t="inlineStr">
        <is>
          <t>자본변동표</t>
        </is>
      </c>
      <c r="J437" s="24" t="inlineStr">
        <is>
          <t>ifrs-full_IncreaseDecreaseThroughTransfersAndOtherChangesEquity</t>
        </is>
      </c>
      <c r="K437" s="24" t="inlineStr">
        <is>
          <t>기타자본 조정</t>
        </is>
      </c>
      <c r="L437" s="24" t="inlineStr">
        <is>
          <t>자본 [member]|지배기업지분</t>
        </is>
      </c>
      <c r="M437" s="24" t="inlineStr">
        <is>
          <t>제 43 기</t>
        </is>
      </c>
      <c r="N437" s="24" t="inlineStr">
        <is>
          <t>0.0</t>
        </is>
      </c>
      <c r="O437" s="24" t="inlineStr">
        <is>
          <t>0.0</t>
        </is>
      </c>
      <c r="P437" s="24" t="inlineStr">
        <is>
          <t>KRW</t>
        </is>
      </c>
      <c r="Q437" s="24" t="inlineStr">
        <is>
          <t>11</t>
        </is>
      </c>
    </row>
    <row r="438" ht="24" customHeight="1">
      <c r="A438" s="29" t="inlineStr">
        <is>
          <t>OpenDART_fnlttSinglAcntAll</t>
        </is>
      </c>
      <c r="B438" s="29" t="inlineStr">
        <is>
          <t>00161383</t>
        </is>
      </c>
      <c r="C438" s="29" t="inlineStr">
        <is>
          <t>한미반도체</t>
        </is>
      </c>
      <c r="D438" s="29" t="inlineStr">
        <is>
          <t>hanmi</t>
        </is>
      </c>
      <c r="E438" s="29" t="inlineStr">
        <is>
          <t>042700</t>
        </is>
      </c>
      <c r="F438" s="29" t="inlineStr">
        <is>
          <t>2022</t>
        </is>
      </c>
      <c r="G438" s="29" t="inlineStr">
        <is>
          <t>CFS</t>
        </is>
      </c>
      <c r="H438" s="29" t="inlineStr">
        <is>
          <t>SCE</t>
        </is>
      </c>
      <c r="I438" s="29" t="inlineStr">
        <is>
          <t>자본변동표</t>
        </is>
      </c>
      <c r="J438" s="29" t="inlineStr">
        <is>
          <t>ifrs-full_Equity</t>
        </is>
      </c>
      <c r="K438" s="29" t="inlineStr">
        <is>
          <t>기말자본</t>
        </is>
      </c>
      <c r="L438" s="29" t="inlineStr">
        <is>
          <t>연결재무제표 [member]</t>
        </is>
      </c>
      <c r="M438" s="29" t="inlineStr">
        <is>
          <t>제 43 기</t>
        </is>
      </c>
      <c r="N438" s="29" t="inlineStr">
        <is>
          <t>390096755786.0</t>
        </is>
      </c>
      <c r="O438" s="29" t="inlineStr">
        <is>
          <t>346812042277.0</t>
        </is>
      </c>
      <c r="P438" s="29" t="inlineStr">
        <is>
          <t>KRW</t>
        </is>
      </c>
      <c r="Q438" s="29" t="inlineStr">
        <is>
          <t>12</t>
        </is>
      </c>
    </row>
    <row r="439" ht="24" customHeight="1">
      <c r="A439" s="24" t="inlineStr">
        <is>
          <t>OpenDART_fnlttSinglAcntAll</t>
        </is>
      </c>
      <c r="B439" s="24" t="inlineStr">
        <is>
          <t>00161383</t>
        </is>
      </c>
      <c r="C439" s="24" t="inlineStr">
        <is>
          <t>한미반도체</t>
        </is>
      </c>
      <c r="D439" s="24" t="inlineStr">
        <is>
          <t>hanmi</t>
        </is>
      </c>
      <c r="E439" s="24" t="inlineStr">
        <is>
          <t>042700</t>
        </is>
      </c>
      <c r="F439" s="24" t="inlineStr">
        <is>
          <t>2022</t>
        </is>
      </c>
      <c r="G439" s="24" t="inlineStr">
        <is>
          <t>CFS</t>
        </is>
      </c>
      <c r="H439" s="24" t="inlineStr">
        <is>
          <t>SCE</t>
        </is>
      </c>
      <c r="I439" s="24" t="inlineStr">
        <is>
          <t>자본변동표</t>
        </is>
      </c>
      <c r="J439" s="24" t="inlineStr">
        <is>
          <t>ifrs-full_Equity</t>
        </is>
      </c>
      <c r="K439" s="24" t="inlineStr">
        <is>
          <t>기말자본</t>
        </is>
      </c>
      <c r="L439" s="24" t="inlineStr">
        <is>
          <t>자본 [member]|지배기업지분</t>
        </is>
      </c>
      <c r="M439" s="24" t="inlineStr">
        <is>
          <t>제 43 기</t>
        </is>
      </c>
      <c r="N439" s="24" t="inlineStr">
        <is>
          <t>390096755786.0</t>
        </is>
      </c>
      <c r="O439" s="24" t="inlineStr">
        <is>
          <t>346812042277.0</t>
        </is>
      </c>
      <c r="P439" s="24" t="inlineStr">
        <is>
          <t>KRW</t>
        </is>
      </c>
      <c r="Q439" s="24" t="inlineStr">
        <is>
          <t>12</t>
        </is>
      </c>
    </row>
    <row r="440" ht="24" customHeight="1">
      <c r="A440" s="29" t="inlineStr">
        <is>
          <t>OpenDART_fnlttSinglAcntAll</t>
        </is>
      </c>
      <c r="B440" s="29" t="inlineStr">
        <is>
          <t>00161383</t>
        </is>
      </c>
      <c r="C440" s="29" t="inlineStr">
        <is>
          <t>한미반도체</t>
        </is>
      </c>
      <c r="D440" s="29" t="inlineStr">
        <is>
          <t>hanmi</t>
        </is>
      </c>
      <c r="E440" s="29" t="inlineStr">
        <is>
          <t>042700</t>
        </is>
      </c>
      <c r="F440" s="29" t="inlineStr">
        <is>
          <t>2022</t>
        </is>
      </c>
      <c r="G440" s="29" t="inlineStr">
        <is>
          <t>CFS</t>
        </is>
      </c>
      <c r="H440" s="29" t="inlineStr">
        <is>
          <t>SCE</t>
        </is>
      </c>
      <c r="I440" s="29" t="inlineStr">
        <is>
          <t>자본변동표</t>
        </is>
      </c>
      <c r="J440" s="29" t="inlineStr">
        <is>
          <t>ifrs-full_Equity</t>
        </is>
      </c>
      <c r="K440" s="29" t="inlineStr">
        <is>
          <t>기말자본</t>
        </is>
      </c>
      <c r="L440" s="29" t="inlineStr">
        <is>
          <t>자본 [member]|지배기업지분|기타자본구성요소 [member]</t>
        </is>
      </c>
      <c r="M440" s="29" t="inlineStr">
        <is>
          <t>제 43 기</t>
        </is>
      </c>
      <c r="N440" s="29" t="inlineStr">
        <is>
          <t>403275571.0</t>
        </is>
      </c>
      <c r="O440" s="29" t="inlineStr">
        <is>
          <t>403275571.0</t>
        </is>
      </c>
      <c r="P440" s="29" t="inlineStr">
        <is>
          <t>KRW</t>
        </is>
      </c>
      <c r="Q440" s="29" t="inlineStr">
        <is>
          <t>12</t>
        </is>
      </c>
    </row>
    <row r="441" ht="24" customHeight="1">
      <c r="A441" s="24" t="inlineStr">
        <is>
          <t>OpenDART_fnlttSinglAcntAll</t>
        </is>
      </c>
      <c r="B441" s="24" t="inlineStr">
        <is>
          <t>00161383</t>
        </is>
      </c>
      <c r="C441" s="24" t="inlineStr">
        <is>
          <t>한미반도체</t>
        </is>
      </c>
      <c r="D441" s="24" t="inlineStr">
        <is>
          <t>hanmi</t>
        </is>
      </c>
      <c r="E441" s="24" t="inlineStr">
        <is>
          <t>042700</t>
        </is>
      </c>
      <c r="F441" s="24" t="inlineStr">
        <is>
          <t>2022</t>
        </is>
      </c>
      <c r="G441" s="24" t="inlineStr">
        <is>
          <t>CFS</t>
        </is>
      </c>
      <c r="H441" s="24" t="inlineStr">
        <is>
          <t>SCE</t>
        </is>
      </c>
      <c r="I441" s="24" t="inlineStr">
        <is>
          <t>자본변동표</t>
        </is>
      </c>
      <c r="J441" s="24" t="inlineStr">
        <is>
          <t>ifrs-full_Equity</t>
        </is>
      </c>
      <c r="K441" s="24" t="inlineStr">
        <is>
          <t>기말자본</t>
        </is>
      </c>
      <c r="L441" s="24" t="inlineStr">
        <is>
          <t>자본 [member]|지배기업지분|기타포괄손익누계액 [member]</t>
        </is>
      </c>
      <c r="M441" s="24" t="inlineStr">
        <is>
          <t>제 43 기</t>
        </is>
      </c>
      <c r="N441" s="24" t="inlineStr">
        <is>
          <t>789816976.0</t>
        </is>
      </c>
      <c r="O441" s="24" t="inlineStr">
        <is>
          <t>154903951.0</t>
        </is>
      </c>
      <c r="P441" s="24" t="inlineStr">
        <is>
          <t>KRW</t>
        </is>
      </c>
      <c r="Q441" s="24" t="inlineStr">
        <is>
          <t>12</t>
        </is>
      </c>
    </row>
    <row r="442" ht="24" customHeight="1">
      <c r="A442" s="29" t="inlineStr">
        <is>
          <t>OpenDART_fnlttSinglAcntAll</t>
        </is>
      </c>
      <c r="B442" s="29" t="inlineStr">
        <is>
          <t>00161383</t>
        </is>
      </c>
      <c r="C442" s="29" t="inlineStr">
        <is>
          <t>한미반도체</t>
        </is>
      </c>
      <c r="D442" s="29" t="inlineStr">
        <is>
          <t>hanmi</t>
        </is>
      </c>
      <c r="E442" s="29" t="inlineStr">
        <is>
          <t>042700</t>
        </is>
      </c>
      <c r="F442" s="29" t="inlineStr">
        <is>
          <t>2022</t>
        </is>
      </c>
      <c r="G442" s="29" t="inlineStr">
        <is>
          <t>CFS</t>
        </is>
      </c>
      <c r="H442" s="29" t="inlineStr">
        <is>
          <t>SCE</t>
        </is>
      </c>
      <c r="I442" s="29" t="inlineStr">
        <is>
          <t>자본변동표</t>
        </is>
      </c>
      <c r="J442" s="29" t="inlineStr">
        <is>
          <t>ifrs-full_Equity</t>
        </is>
      </c>
      <c r="K442" s="29" t="inlineStr">
        <is>
          <t>기말자본</t>
        </is>
      </c>
      <c r="L442" s="29" t="inlineStr">
        <is>
          <t>자본 [member]|지배기업지분|이익잉여금 [member]</t>
        </is>
      </c>
      <c r="M442" s="29" t="inlineStr">
        <is>
          <t>제 43 기</t>
        </is>
      </c>
      <c r="N442" s="29" t="inlineStr">
        <is>
          <t>325269340929.0</t>
        </is>
      </c>
      <c r="O442" s="29" t="inlineStr">
        <is>
          <t>282619540445.0</t>
        </is>
      </c>
      <c r="P442" s="29" t="inlineStr">
        <is>
          <t>KRW</t>
        </is>
      </c>
      <c r="Q442" s="29" t="inlineStr">
        <is>
          <t>12</t>
        </is>
      </c>
    </row>
    <row r="443" ht="24" customHeight="1">
      <c r="A443" s="24" t="inlineStr">
        <is>
          <t>OpenDART_fnlttSinglAcntAll</t>
        </is>
      </c>
      <c r="B443" s="24" t="inlineStr">
        <is>
          <t>00161383</t>
        </is>
      </c>
      <c r="C443" s="24" t="inlineStr">
        <is>
          <t>한미반도체</t>
        </is>
      </c>
      <c r="D443" s="24" t="inlineStr">
        <is>
          <t>hanmi</t>
        </is>
      </c>
      <c r="E443" s="24" t="inlineStr">
        <is>
          <t>042700</t>
        </is>
      </c>
      <c r="F443" s="24" t="inlineStr">
        <is>
          <t>2022</t>
        </is>
      </c>
      <c r="G443" s="24" t="inlineStr">
        <is>
          <t>CFS</t>
        </is>
      </c>
      <c r="H443" s="24" t="inlineStr">
        <is>
          <t>SCE</t>
        </is>
      </c>
      <c r="I443" s="24" t="inlineStr">
        <is>
          <t>자본변동표</t>
        </is>
      </c>
      <c r="J443" s="24" t="inlineStr">
        <is>
          <t>ifrs-full_Equity</t>
        </is>
      </c>
      <c r="K443" s="24" t="inlineStr">
        <is>
          <t>기말자본</t>
        </is>
      </c>
      <c r="L443" s="24" t="inlineStr">
        <is>
          <t>자본 [member]|지배기업지분|자본금 [member]</t>
        </is>
      </c>
      <c r="M443" s="24" t="inlineStr">
        <is>
          <t>제 43 기</t>
        </is>
      </c>
      <c r="N443" s="24" t="inlineStr">
        <is>
          <t>12716420500.0</t>
        </is>
      </c>
      <c r="O443" s="24" t="inlineStr">
        <is>
          <t>12716420500.0</t>
        </is>
      </c>
      <c r="P443" s="24" t="inlineStr">
        <is>
          <t>KRW</t>
        </is>
      </c>
      <c r="Q443" s="24" t="inlineStr">
        <is>
          <t>12</t>
        </is>
      </c>
    </row>
    <row r="444" ht="24" customHeight="1">
      <c r="A444" s="29" t="inlineStr">
        <is>
          <t>OpenDART_fnlttSinglAcntAll</t>
        </is>
      </c>
      <c r="B444" s="29" t="inlineStr">
        <is>
          <t>00161383</t>
        </is>
      </c>
      <c r="C444" s="29" t="inlineStr">
        <is>
          <t>한미반도체</t>
        </is>
      </c>
      <c r="D444" s="29" t="inlineStr">
        <is>
          <t>hanmi</t>
        </is>
      </c>
      <c r="E444" s="29" t="inlineStr">
        <is>
          <t>042700</t>
        </is>
      </c>
      <c r="F444" s="29" t="inlineStr">
        <is>
          <t>2022</t>
        </is>
      </c>
      <c r="G444" s="29" t="inlineStr">
        <is>
          <t>CFS</t>
        </is>
      </c>
      <c r="H444" s="29" t="inlineStr">
        <is>
          <t>SCE</t>
        </is>
      </c>
      <c r="I444" s="29" t="inlineStr">
        <is>
          <t>자본변동표</t>
        </is>
      </c>
      <c r="J444" s="29" t="inlineStr">
        <is>
          <t>ifrs-full_Equity</t>
        </is>
      </c>
      <c r="K444" s="29" t="inlineStr">
        <is>
          <t>기말자본</t>
        </is>
      </c>
      <c r="L444" s="29" t="inlineStr">
        <is>
          <t>자본 [member]|지배기업지분|자본잉여금 [member]</t>
        </is>
      </c>
      <c r="M444" s="29" t="inlineStr">
        <is>
          <t>제 43 기</t>
        </is>
      </c>
      <c r="N444" s="29" t="inlineStr">
        <is>
          <t>50917901810.0</t>
        </is>
      </c>
      <c r="O444" s="29" t="inlineStr">
        <is>
          <t>50917901810.0</t>
        </is>
      </c>
      <c r="P444" s="29" t="inlineStr">
        <is>
          <t>KRW</t>
        </is>
      </c>
      <c r="Q444" s="29" t="inlineStr">
        <is>
          <t>12</t>
        </is>
      </c>
    </row>
    <row r="445" ht="24" customHeight="1">
      <c r="A445" s="24" t="inlineStr">
        <is>
          <t>OpenDART_fnlttSinglAcntAll</t>
        </is>
      </c>
      <c r="B445" s="24" t="inlineStr">
        <is>
          <t>00161383</t>
        </is>
      </c>
      <c r="C445" s="24" t="inlineStr">
        <is>
          <t>한미반도체</t>
        </is>
      </c>
      <c r="D445" s="24" t="inlineStr">
        <is>
          <t>hanmi</t>
        </is>
      </c>
      <c r="E445" s="24" t="inlineStr">
        <is>
          <t>042700</t>
        </is>
      </c>
      <c r="F445" s="24" t="inlineStr">
        <is>
          <t>2023</t>
        </is>
      </c>
      <c r="G445" s="24" t="inlineStr">
        <is>
          <t>CFS</t>
        </is>
      </c>
      <c r="H445" s="24" t="inlineStr">
        <is>
          <t>BS</t>
        </is>
      </c>
      <c r="I445" s="24" t="inlineStr">
        <is>
          <t>재무상태표</t>
        </is>
      </c>
      <c r="J445" s="24" t="inlineStr">
        <is>
          <t>-표준계정코드 미사용-</t>
        </is>
      </c>
      <c r="K445" s="24" t="inlineStr">
        <is>
          <t>매각예정비유동자산</t>
        </is>
      </c>
      <c r="L445" s="24" t="inlineStr">
        <is>
          <t>-</t>
        </is>
      </c>
      <c r="M445" s="24" t="inlineStr">
        <is>
          <t>제 44 기</t>
        </is>
      </c>
      <c r="N445" s="24" t="inlineStr">
        <is>
          <t>0.0</t>
        </is>
      </c>
      <c r="O445" s="24" t="inlineStr">
        <is>
          <t>3387767680.0</t>
        </is>
      </c>
      <c r="P445" s="24" t="inlineStr">
        <is>
          <t>KRW</t>
        </is>
      </c>
      <c r="Q445" s="24" t="inlineStr">
        <is>
          <t>7</t>
        </is>
      </c>
    </row>
    <row r="446" ht="24" customHeight="1">
      <c r="A446" s="29" t="inlineStr">
        <is>
          <t>OpenDART_fnlttSinglAcntAll</t>
        </is>
      </c>
      <c r="B446" s="29" t="inlineStr">
        <is>
          <t>00161383</t>
        </is>
      </c>
      <c r="C446" s="29" t="inlineStr">
        <is>
          <t>한미반도체</t>
        </is>
      </c>
      <c r="D446" s="29" t="inlineStr">
        <is>
          <t>hanmi</t>
        </is>
      </c>
      <c r="E446" s="29" t="inlineStr">
        <is>
          <t>042700</t>
        </is>
      </c>
      <c r="F446" s="29" t="inlineStr">
        <is>
          <t>2023</t>
        </is>
      </c>
      <c r="G446" s="29" t="inlineStr">
        <is>
          <t>CFS</t>
        </is>
      </c>
      <c r="H446" s="29" t="inlineStr">
        <is>
          <t>BS</t>
        </is>
      </c>
      <c r="I446" s="29" t="inlineStr">
        <is>
          <t>재무상태표</t>
        </is>
      </c>
      <c r="J446" s="29" t="inlineStr">
        <is>
          <t>ifrs-full_Assets</t>
        </is>
      </c>
      <c r="K446" s="29" t="inlineStr">
        <is>
          <t>자산총계</t>
        </is>
      </c>
      <c r="L446" s="29" t="inlineStr">
        <is>
          <t>-</t>
        </is>
      </c>
      <c r="M446" s="29" t="inlineStr">
        <is>
          <t>제 44 기</t>
        </is>
      </c>
      <c r="N446" s="29" t="inlineStr">
        <is>
          <t>723839103741.0</t>
        </is>
      </c>
      <c r="O446" s="29" t="inlineStr">
        <is>
          <t>455432965985.0</t>
        </is>
      </c>
      <c r="P446" s="29" t="inlineStr">
        <is>
          <t>KRW</t>
        </is>
      </c>
      <c r="Q446" s="29" t="inlineStr">
        <is>
          <t>8</t>
        </is>
      </c>
    </row>
    <row r="447" ht="24" customHeight="1">
      <c r="A447" s="24" t="inlineStr">
        <is>
          <t>OpenDART_fnlttSinglAcntAll</t>
        </is>
      </c>
      <c r="B447" s="24" t="inlineStr">
        <is>
          <t>00161383</t>
        </is>
      </c>
      <c r="C447" s="24" t="inlineStr">
        <is>
          <t>한미반도체</t>
        </is>
      </c>
      <c r="D447" s="24" t="inlineStr">
        <is>
          <t>hanmi</t>
        </is>
      </c>
      <c r="E447" s="24" t="inlineStr">
        <is>
          <t>042700</t>
        </is>
      </c>
      <c r="F447" s="24" t="inlineStr">
        <is>
          <t>2023</t>
        </is>
      </c>
      <c r="G447" s="24" t="inlineStr">
        <is>
          <t>CFS</t>
        </is>
      </c>
      <c r="H447" s="24" t="inlineStr">
        <is>
          <t>BS</t>
        </is>
      </c>
      <c r="I447" s="24" t="inlineStr">
        <is>
          <t>재무상태표</t>
        </is>
      </c>
      <c r="J447" s="24" t="inlineStr">
        <is>
          <t>ifrs-full_CurrentAssets</t>
        </is>
      </c>
      <c r="K447" s="24" t="inlineStr">
        <is>
          <t>유동자산</t>
        </is>
      </c>
      <c r="L447" s="24" t="inlineStr">
        <is>
          <t>-</t>
        </is>
      </c>
      <c r="M447" s="24" t="inlineStr">
        <is>
          <t>제 44 기</t>
        </is>
      </c>
      <c r="N447" s="24" t="inlineStr">
        <is>
          <t>319391328603.0</t>
        </is>
      </c>
      <c r="O447" s="24" t="inlineStr">
        <is>
          <t>266177446666.0</t>
        </is>
      </c>
      <c r="P447" s="24" t="inlineStr">
        <is>
          <t>KRW</t>
        </is>
      </c>
      <c r="Q447" s="24" t="inlineStr">
        <is>
          <t>9</t>
        </is>
      </c>
    </row>
    <row r="448" ht="24" customHeight="1">
      <c r="A448" s="29" t="inlineStr">
        <is>
          <t>OpenDART_fnlttSinglAcntAll</t>
        </is>
      </c>
      <c r="B448" s="29" t="inlineStr">
        <is>
          <t>00161383</t>
        </is>
      </c>
      <c r="C448" s="29" t="inlineStr">
        <is>
          <t>한미반도체</t>
        </is>
      </c>
      <c r="D448" s="29" t="inlineStr">
        <is>
          <t>hanmi</t>
        </is>
      </c>
      <c r="E448" s="29" t="inlineStr">
        <is>
          <t>042700</t>
        </is>
      </c>
      <c r="F448" s="29" t="inlineStr">
        <is>
          <t>2023</t>
        </is>
      </c>
      <c r="G448" s="29" t="inlineStr">
        <is>
          <t>CFS</t>
        </is>
      </c>
      <c r="H448" s="29" t="inlineStr">
        <is>
          <t>BS</t>
        </is>
      </c>
      <c r="I448" s="29" t="inlineStr">
        <is>
          <t>재무상태표</t>
        </is>
      </c>
      <c r="J448" s="29" t="inlineStr">
        <is>
          <t>dart_ShortTermTradeReceivable</t>
        </is>
      </c>
      <c r="K448" s="29" t="inlineStr">
        <is>
          <t>매출채권</t>
        </is>
      </c>
      <c r="L448" s="29" t="inlineStr">
        <is>
          <t>-</t>
        </is>
      </c>
      <c r="M448" s="29" t="inlineStr">
        <is>
          <t>제 44 기</t>
        </is>
      </c>
      <c r="N448" s="29" t="inlineStr">
        <is>
          <t>40648496938.0</t>
        </is>
      </c>
      <c r="O448" s="29" t="inlineStr">
        <is>
          <t>80474494282.0</t>
        </is>
      </c>
      <c r="P448" s="29" t="inlineStr">
        <is>
          <t>KRW</t>
        </is>
      </c>
      <c r="Q448" s="29" t="inlineStr">
        <is>
          <t>10</t>
        </is>
      </c>
    </row>
    <row r="449" ht="24" customHeight="1">
      <c r="A449" s="24" t="inlineStr">
        <is>
          <t>OpenDART_fnlttSinglAcntAll</t>
        </is>
      </c>
      <c r="B449" s="24" t="inlineStr">
        <is>
          <t>00161383</t>
        </is>
      </c>
      <c r="C449" s="24" t="inlineStr">
        <is>
          <t>한미반도체</t>
        </is>
      </c>
      <c r="D449" s="24" t="inlineStr">
        <is>
          <t>hanmi</t>
        </is>
      </c>
      <c r="E449" s="24" t="inlineStr">
        <is>
          <t>042700</t>
        </is>
      </c>
      <c r="F449" s="24" t="inlineStr">
        <is>
          <t>2023</t>
        </is>
      </c>
      <c r="G449" s="24" t="inlineStr">
        <is>
          <t>CFS</t>
        </is>
      </c>
      <c r="H449" s="24" t="inlineStr">
        <is>
          <t>BS</t>
        </is>
      </c>
      <c r="I449" s="24" t="inlineStr">
        <is>
          <t>재무상태표</t>
        </is>
      </c>
      <c r="J449" s="24" t="inlineStr">
        <is>
          <t>ifrs-full_CashAndCashEquivalents</t>
        </is>
      </c>
      <c r="K449" s="24" t="inlineStr">
        <is>
          <t>현금및현금성자산</t>
        </is>
      </c>
      <c r="L449" s="24" t="inlineStr">
        <is>
          <t>-</t>
        </is>
      </c>
      <c r="M449" s="24" t="inlineStr">
        <is>
          <t>제 44 기</t>
        </is>
      </c>
      <c r="N449" s="24" t="inlineStr">
        <is>
          <t>179732421459.0</t>
        </is>
      </c>
      <c r="O449" s="24" t="inlineStr">
        <is>
          <t>90895691895.0</t>
        </is>
      </c>
      <c r="P449" s="24" t="inlineStr">
        <is>
          <t>KRW</t>
        </is>
      </c>
      <c r="Q449" s="24" t="inlineStr">
        <is>
          <t>11</t>
        </is>
      </c>
    </row>
    <row r="450" ht="24" customHeight="1">
      <c r="A450" s="29" t="inlineStr">
        <is>
          <t>OpenDART_fnlttSinglAcntAll</t>
        </is>
      </c>
      <c r="B450" s="29" t="inlineStr">
        <is>
          <t>00161383</t>
        </is>
      </c>
      <c r="C450" s="29" t="inlineStr">
        <is>
          <t>한미반도체</t>
        </is>
      </c>
      <c r="D450" s="29" t="inlineStr">
        <is>
          <t>hanmi</t>
        </is>
      </c>
      <c r="E450" s="29" t="inlineStr">
        <is>
          <t>042700</t>
        </is>
      </c>
      <c r="F450" s="29" t="inlineStr">
        <is>
          <t>2023</t>
        </is>
      </c>
      <c r="G450" s="29" t="inlineStr">
        <is>
          <t>CFS</t>
        </is>
      </c>
      <c r="H450" s="29" t="inlineStr">
        <is>
          <t>BS</t>
        </is>
      </c>
      <c r="I450" s="29" t="inlineStr">
        <is>
          <t>재무상태표</t>
        </is>
      </c>
      <c r="J450" s="29" t="inlineStr">
        <is>
          <t>ifrs-full_Inventories</t>
        </is>
      </c>
      <c r="K450" s="29" t="inlineStr">
        <is>
          <t>유동재고자산</t>
        </is>
      </c>
      <c r="L450" s="29" t="inlineStr">
        <is>
          <t>-</t>
        </is>
      </c>
      <c r="M450" s="29" t="inlineStr">
        <is>
          <t>제 44 기</t>
        </is>
      </c>
      <c r="N450" s="29" t="inlineStr">
        <is>
          <t>95433336170.0</t>
        </is>
      </c>
      <c r="O450" s="29" t="inlineStr">
        <is>
          <t>80082209631.0</t>
        </is>
      </c>
      <c r="P450" s="29" t="inlineStr">
        <is>
          <t>KRW</t>
        </is>
      </c>
      <c r="Q450" s="29" t="inlineStr">
        <is>
          <t>12</t>
        </is>
      </c>
    </row>
    <row r="451" ht="24" customHeight="1">
      <c r="A451" s="24" t="inlineStr">
        <is>
          <t>OpenDART_fnlttSinglAcntAll</t>
        </is>
      </c>
      <c r="B451" s="24" t="inlineStr">
        <is>
          <t>00161383</t>
        </is>
      </c>
      <c r="C451" s="24" t="inlineStr">
        <is>
          <t>한미반도체</t>
        </is>
      </c>
      <c r="D451" s="24" t="inlineStr">
        <is>
          <t>hanmi</t>
        </is>
      </c>
      <c r="E451" s="24" t="inlineStr">
        <is>
          <t>042700</t>
        </is>
      </c>
      <c r="F451" s="24" t="inlineStr">
        <is>
          <t>2023</t>
        </is>
      </c>
      <c r="G451" s="24" t="inlineStr">
        <is>
          <t>CFS</t>
        </is>
      </c>
      <c r="H451" s="24" t="inlineStr">
        <is>
          <t>BS</t>
        </is>
      </c>
      <c r="I451" s="24" t="inlineStr">
        <is>
          <t>재무상태표</t>
        </is>
      </c>
      <c r="J451" s="24" t="inlineStr">
        <is>
          <t>ifrs-full_OtherCurrentAssets</t>
        </is>
      </c>
      <c r="K451" s="24" t="inlineStr">
        <is>
          <t>기타유동자산</t>
        </is>
      </c>
      <c r="L451" s="24" t="inlineStr">
        <is>
          <t>-</t>
        </is>
      </c>
      <c r="M451" s="24" t="inlineStr">
        <is>
          <t>제 44 기</t>
        </is>
      </c>
      <c r="N451" s="24" t="inlineStr">
        <is>
          <t>2623538199.0</t>
        </is>
      </c>
      <c r="O451" s="24" t="inlineStr">
        <is>
          <t>1676274445.0</t>
        </is>
      </c>
      <c r="P451" s="24" t="inlineStr">
        <is>
          <t>KRW</t>
        </is>
      </c>
      <c r="Q451" s="24" t="inlineStr">
        <is>
          <t>13</t>
        </is>
      </c>
    </row>
    <row r="452" ht="24" customHeight="1">
      <c r="A452" s="29" t="inlineStr">
        <is>
          <t>OpenDART_fnlttSinglAcntAll</t>
        </is>
      </c>
      <c r="B452" s="29" t="inlineStr">
        <is>
          <t>00161383</t>
        </is>
      </c>
      <c r="C452" s="29" t="inlineStr">
        <is>
          <t>한미반도체</t>
        </is>
      </c>
      <c r="D452" s="29" t="inlineStr">
        <is>
          <t>hanmi</t>
        </is>
      </c>
      <c r="E452" s="29" t="inlineStr">
        <is>
          <t>042700</t>
        </is>
      </c>
      <c r="F452" s="29" t="inlineStr">
        <is>
          <t>2023</t>
        </is>
      </c>
      <c r="G452" s="29" t="inlineStr">
        <is>
          <t>CFS</t>
        </is>
      </c>
      <c r="H452" s="29" t="inlineStr">
        <is>
          <t>BS</t>
        </is>
      </c>
      <c r="I452" s="29" t="inlineStr">
        <is>
          <t>재무상태표</t>
        </is>
      </c>
      <c r="J452" s="29" t="inlineStr">
        <is>
          <t>ifrs-full_OtherCurrentFinancialAssets</t>
        </is>
      </c>
      <c r="K452" s="29" t="inlineStr">
        <is>
          <t>기타유동금융자산</t>
        </is>
      </c>
      <c r="L452" s="29" t="inlineStr">
        <is>
          <t>-</t>
        </is>
      </c>
      <c r="M452" s="29" t="inlineStr">
        <is>
          <t>제 44 기</t>
        </is>
      </c>
      <c r="N452" s="29" t="inlineStr">
        <is>
          <t>953535837.0</t>
        </is>
      </c>
      <c r="O452" s="29" t="inlineStr">
        <is>
          <t>375776413.0</t>
        </is>
      </c>
      <c r="P452" s="29" t="inlineStr">
        <is>
          <t>KRW</t>
        </is>
      </c>
      <c r="Q452" s="29" t="inlineStr">
        <is>
          <t>14</t>
        </is>
      </c>
    </row>
    <row r="453" ht="24" customHeight="1">
      <c r="A453" s="24" t="inlineStr">
        <is>
          <t>OpenDART_fnlttSinglAcntAll</t>
        </is>
      </c>
      <c r="B453" s="24" t="inlineStr">
        <is>
          <t>00161383</t>
        </is>
      </c>
      <c r="C453" s="24" t="inlineStr">
        <is>
          <t>한미반도체</t>
        </is>
      </c>
      <c r="D453" s="24" t="inlineStr">
        <is>
          <t>hanmi</t>
        </is>
      </c>
      <c r="E453" s="24" t="inlineStr">
        <is>
          <t>042700</t>
        </is>
      </c>
      <c r="F453" s="24" t="inlineStr">
        <is>
          <t>2023</t>
        </is>
      </c>
      <c r="G453" s="24" t="inlineStr">
        <is>
          <t>CFS</t>
        </is>
      </c>
      <c r="H453" s="24" t="inlineStr">
        <is>
          <t>BS</t>
        </is>
      </c>
      <c r="I453" s="24" t="inlineStr">
        <is>
          <t>재무상태표</t>
        </is>
      </c>
      <c r="J453" s="24" t="inlineStr">
        <is>
          <t>ifrs-full_ShorttermDepositsNotClassifiedAsCashEquivalents</t>
        </is>
      </c>
      <c r="K453" s="24" t="inlineStr">
        <is>
          <t>단기금융상품</t>
        </is>
      </c>
      <c r="L453" s="24" t="inlineStr">
        <is>
          <t>-</t>
        </is>
      </c>
      <c r="M453" s="24" t="inlineStr">
        <is>
          <t>제 44 기</t>
        </is>
      </c>
      <c r="N453" s="24" t="inlineStr">
        <is>
          <t>0.0</t>
        </is>
      </c>
      <c r="O453" s="24" t="inlineStr">
        <is>
          <t>12673000000.0</t>
        </is>
      </c>
      <c r="P453" s="24" t="inlineStr">
        <is>
          <t>KRW</t>
        </is>
      </c>
      <c r="Q453" s="24" t="inlineStr">
        <is>
          <t>15</t>
        </is>
      </c>
    </row>
    <row r="454" ht="24" customHeight="1">
      <c r="A454" s="29" t="inlineStr">
        <is>
          <t>OpenDART_fnlttSinglAcntAll</t>
        </is>
      </c>
      <c r="B454" s="29" t="inlineStr">
        <is>
          <t>00161383</t>
        </is>
      </c>
      <c r="C454" s="29" t="inlineStr">
        <is>
          <t>한미반도체</t>
        </is>
      </c>
      <c r="D454" s="29" t="inlineStr">
        <is>
          <t>hanmi</t>
        </is>
      </c>
      <c r="E454" s="29" t="inlineStr">
        <is>
          <t>042700</t>
        </is>
      </c>
      <c r="F454" s="29" t="inlineStr">
        <is>
          <t>2023</t>
        </is>
      </c>
      <c r="G454" s="29" t="inlineStr">
        <is>
          <t>CFS</t>
        </is>
      </c>
      <c r="H454" s="29" t="inlineStr">
        <is>
          <t>BS</t>
        </is>
      </c>
      <c r="I454" s="29" t="inlineStr">
        <is>
          <t>재무상태표</t>
        </is>
      </c>
      <c r="J454" s="29" t="inlineStr">
        <is>
          <t>ifrs-full_NoncurrentAssets</t>
        </is>
      </c>
      <c r="K454" s="29" t="inlineStr">
        <is>
          <t>비유동자산</t>
        </is>
      </c>
      <c r="L454" s="29" t="inlineStr">
        <is>
          <t>-</t>
        </is>
      </c>
      <c r="M454" s="29" t="inlineStr">
        <is>
          <t>제 44 기</t>
        </is>
      </c>
      <c r="N454" s="29" t="inlineStr">
        <is>
          <t>404447775138.0</t>
        </is>
      </c>
      <c r="O454" s="29" t="inlineStr">
        <is>
          <t>185867751639.0</t>
        </is>
      </c>
      <c r="P454" s="29" t="inlineStr">
        <is>
          <t>KRW</t>
        </is>
      </c>
      <c r="Q454" s="29" t="inlineStr">
        <is>
          <t>16</t>
        </is>
      </c>
    </row>
    <row r="455" ht="24" customHeight="1">
      <c r="A455" s="24" t="inlineStr">
        <is>
          <t>OpenDART_fnlttSinglAcntAll</t>
        </is>
      </c>
      <c r="B455" s="24" t="inlineStr">
        <is>
          <t>00161383</t>
        </is>
      </c>
      <c r="C455" s="24" t="inlineStr">
        <is>
          <t>한미반도체</t>
        </is>
      </c>
      <c r="D455" s="24" t="inlineStr">
        <is>
          <t>hanmi</t>
        </is>
      </c>
      <c r="E455" s="24" t="inlineStr">
        <is>
          <t>042700</t>
        </is>
      </c>
      <c r="F455" s="24" t="inlineStr">
        <is>
          <t>2023</t>
        </is>
      </c>
      <c r="G455" s="24" t="inlineStr">
        <is>
          <t>CFS</t>
        </is>
      </c>
      <c r="H455" s="24" t="inlineStr">
        <is>
          <t>BS</t>
        </is>
      </c>
      <c r="I455" s="24" t="inlineStr">
        <is>
          <t>재무상태표</t>
        </is>
      </c>
      <c r="J455" s="24" t="inlineStr">
        <is>
          <t>dart_InvestedAssetForPostemploymentBenefit</t>
        </is>
      </c>
      <c r="K455" s="24" t="inlineStr">
        <is>
          <t>퇴직급여자산</t>
        </is>
      </c>
      <c r="L455" s="24" t="inlineStr">
        <is>
          <t>-</t>
        </is>
      </c>
      <c r="M455" s="24" t="inlineStr">
        <is>
          <t>제 44 기</t>
        </is>
      </c>
      <c r="N455" s="24" t="inlineStr">
        <is>
          <t>1047642014.0</t>
        </is>
      </c>
      <c r="O455" s="24" t="inlineStr">
        <is>
          <t>2015229434.0</t>
        </is>
      </c>
      <c r="P455" s="24" t="inlineStr">
        <is>
          <t>KRW</t>
        </is>
      </c>
      <c r="Q455" s="24" t="inlineStr">
        <is>
          <t>17</t>
        </is>
      </c>
    </row>
    <row r="456" ht="24" customHeight="1">
      <c r="A456" s="29" t="inlineStr">
        <is>
          <t>OpenDART_fnlttSinglAcntAll</t>
        </is>
      </c>
      <c r="B456" s="29" t="inlineStr">
        <is>
          <t>00161383</t>
        </is>
      </c>
      <c r="C456" s="29" t="inlineStr">
        <is>
          <t>한미반도체</t>
        </is>
      </c>
      <c r="D456" s="29" t="inlineStr">
        <is>
          <t>hanmi</t>
        </is>
      </c>
      <c r="E456" s="29" t="inlineStr">
        <is>
          <t>042700</t>
        </is>
      </c>
      <c r="F456" s="29" t="inlineStr">
        <is>
          <t>2023</t>
        </is>
      </c>
      <c r="G456" s="29" t="inlineStr">
        <is>
          <t>CFS</t>
        </is>
      </c>
      <c r="H456" s="29" t="inlineStr">
        <is>
          <t>BS</t>
        </is>
      </c>
      <c r="I456" s="29" t="inlineStr">
        <is>
          <t>재무상태표</t>
        </is>
      </c>
      <c r="J456" s="29" t="inlineStr">
        <is>
          <t>dart_LongTermDepositsNotClassifiedAsCashEquivalents</t>
        </is>
      </c>
      <c r="K456" s="29" t="inlineStr">
        <is>
          <t>장기금융상품</t>
        </is>
      </c>
      <c r="L456" s="29" t="inlineStr">
        <is>
          <t>-</t>
        </is>
      </c>
      <c r="M456" s="29" t="inlineStr">
        <is>
          <t>제 44 기</t>
        </is>
      </c>
      <c r="N456" s="29" t="inlineStr">
        <is>
          <t>3057600.0</t>
        </is>
      </c>
      <c r="O456" s="29" t="inlineStr">
        <is>
          <t>8621280.0</t>
        </is>
      </c>
      <c r="P456" s="29" t="inlineStr">
        <is>
          <t>KRW</t>
        </is>
      </c>
      <c r="Q456" s="29" t="inlineStr">
        <is>
          <t>18</t>
        </is>
      </c>
    </row>
    <row r="457" ht="24" customHeight="1">
      <c r="A457" s="24" t="inlineStr">
        <is>
          <t>OpenDART_fnlttSinglAcntAll</t>
        </is>
      </c>
      <c r="B457" s="24" t="inlineStr">
        <is>
          <t>00161383</t>
        </is>
      </c>
      <c r="C457" s="24" t="inlineStr">
        <is>
          <t>한미반도체</t>
        </is>
      </c>
      <c r="D457" s="24" t="inlineStr">
        <is>
          <t>hanmi</t>
        </is>
      </c>
      <c r="E457" s="24" t="inlineStr">
        <is>
          <t>042700</t>
        </is>
      </c>
      <c r="F457" s="24" t="inlineStr">
        <is>
          <t>2023</t>
        </is>
      </c>
      <c r="G457" s="24" t="inlineStr">
        <is>
          <t>CFS</t>
        </is>
      </c>
      <c r="H457" s="24" t="inlineStr">
        <is>
          <t>BS</t>
        </is>
      </c>
      <c r="I457" s="24" t="inlineStr">
        <is>
          <t>재무상태표</t>
        </is>
      </c>
      <c r="J457" s="24" t="inlineStr">
        <is>
          <t>dart_NonCurrentAvailableForSaleFinancialAssets</t>
        </is>
      </c>
      <c r="K457" s="24" t="inlineStr">
        <is>
          <t>기타투자자산</t>
        </is>
      </c>
      <c r="L457" s="24" t="inlineStr">
        <is>
          <t>-</t>
        </is>
      </c>
      <c r="M457" s="24" t="inlineStr">
        <is>
          <t>제 44 기</t>
        </is>
      </c>
      <c r="N457" s="24" t="inlineStr">
        <is>
          <t>250142419800.0</t>
        </is>
      </c>
      <c r="O457" s="24" t="inlineStr">
        <is>
          <t>11300000.0</t>
        </is>
      </c>
      <c r="P457" s="24" t="inlineStr">
        <is>
          <t>KRW</t>
        </is>
      </c>
      <c r="Q457" s="24" t="inlineStr">
        <is>
          <t>19</t>
        </is>
      </c>
    </row>
    <row r="458" ht="24" customHeight="1">
      <c r="A458" s="29" t="inlineStr">
        <is>
          <t>OpenDART_fnlttSinglAcntAll</t>
        </is>
      </c>
      <c r="B458" s="29" t="inlineStr">
        <is>
          <t>00161383</t>
        </is>
      </c>
      <c r="C458" s="29" t="inlineStr">
        <is>
          <t>한미반도체</t>
        </is>
      </c>
      <c r="D458" s="29" t="inlineStr">
        <is>
          <t>hanmi</t>
        </is>
      </c>
      <c r="E458" s="29" t="inlineStr">
        <is>
          <t>042700</t>
        </is>
      </c>
      <c r="F458" s="29" t="inlineStr">
        <is>
          <t>2023</t>
        </is>
      </c>
      <c r="G458" s="29" t="inlineStr">
        <is>
          <t>CFS</t>
        </is>
      </c>
      <c r="H458" s="29" t="inlineStr">
        <is>
          <t>BS</t>
        </is>
      </c>
      <c r="I458" s="29" t="inlineStr">
        <is>
          <t>재무상태표</t>
        </is>
      </c>
      <c r="J458" s="29" t="inlineStr">
        <is>
          <t>ifrs-full_DeferredTaxAssets</t>
        </is>
      </c>
      <c r="K458" s="29" t="inlineStr">
        <is>
          <t>이연법인세자산</t>
        </is>
      </c>
      <c r="L458" s="29" t="inlineStr">
        <is>
          <t>-</t>
        </is>
      </c>
      <c r="M458" s="29" t="inlineStr">
        <is>
          <t>제 44 기</t>
        </is>
      </c>
      <c r="N458" s="29" t="inlineStr">
        <is>
          <t>4519945.0</t>
        </is>
      </c>
      <c r="O458" s="29" t="inlineStr">
        <is>
          <t>6686868211.0</t>
        </is>
      </c>
      <c r="P458" s="29" t="inlineStr">
        <is>
          <t>KRW</t>
        </is>
      </c>
      <c r="Q458" s="29" t="inlineStr">
        <is>
          <t>20</t>
        </is>
      </c>
    </row>
    <row r="459" ht="24" customHeight="1">
      <c r="A459" s="24" t="inlineStr">
        <is>
          <t>OpenDART_fnlttSinglAcntAll</t>
        </is>
      </c>
      <c r="B459" s="24" t="inlineStr">
        <is>
          <t>00161383</t>
        </is>
      </c>
      <c r="C459" s="24" t="inlineStr">
        <is>
          <t>한미반도체</t>
        </is>
      </c>
      <c r="D459" s="24" t="inlineStr">
        <is>
          <t>hanmi</t>
        </is>
      </c>
      <c r="E459" s="24" t="inlineStr">
        <is>
          <t>042700</t>
        </is>
      </c>
      <c r="F459" s="24" t="inlineStr">
        <is>
          <t>2023</t>
        </is>
      </c>
      <c r="G459" s="24" t="inlineStr">
        <is>
          <t>CFS</t>
        </is>
      </c>
      <c r="H459" s="24" t="inlineStr">
        <is>
          <t>BS</t>
        </is>
      </c>
      <c r="I459" s="24" t="inlineStr">
        <is>
          <t>재무상태표</t>
        </is>
      </c>
      <c r="J459" s="24" t="inlineStr">
        <is>
          <t>ifrs-full_IntangibleAssetsOtherThanGoodwill</t>
        </is>
      </c>
      <c r="K459" s="24" t="inlineStr">
        <is>
          <t>무형자산</t>
        </is>
      </c>
      <c r="L459" s="24" t="inlineStr">
        <is>
          <t>-</t>
        </is>
      </c>
      <c r="M459" s="24" t="inlineStr">
        <is>
          <t>제 44 기</t>
        </is>
      </c>
      <c r="N459" s="24" t="inlineStr">
        <is>
          <t>4458788729.0</t>
        </is>
      </c>
      <c r="O459" s="24" t="inlineStr">
        <is>
          <t>4280048490.0</t>
        </is>
      </c>
      <c r="P459" s="24" t="inlineStr">
        <is>
          <t>KRW</t>
        </is>
      </c>
      <c r="Q459" s="24" t="inlineStr">
        <is>
          <t>21</t>
        </is>
      </c>
    </row>
    <row r="460" ht="24" customHeight="1">
      <c r="A460" s="29" t="inlineStr">
        <is>
          <t>OpenDART_fnlttSinglAcntAll</t>
        </is>
      </c>
      <c r="B460" s="29" t="inlineStr">
        <is>
          <t>00161383</t>
        </is>
      </c>
      <c r="C460" s="29" t="inlineStr">
        <is>
          <t>한미반도체</t>
        </is>
      </c>
      <c r="D460" s="29" t="inlineStr">
        <is>
          <t>hanmi</t>
        </is>
      </c>
      <c r="E460" s="29" t="inlineStr">
        <is>
          <t>042700</t>
        </is>
      </c>
      <c r="F460" s="29" t="inlineStr">
        <is>
          <t>2023</t>
        </is>
      </c>
      <c r="G460" s="29" t="inlineStr">
        <is>
          <t>CFS</t>
        </is>
      </c>
      <c r="H460" s="29" t="inlineStr">
        <is>
          <t>BS</t>
        </is>
      </c>
      <c r="I460" s="29" t="inlineStr">
        <is>
          <t>재무상태표</t>
        </is>
      </c>
      <c r="J460" s="29" t="inlineStr">
        <is>
          <t>ifrs-full_InvestmentProperty</t>
        </is>
      </c>
      <c r="K460" s="29" t="inlineStr">
        <is>
          <t>투자부동산</t>
        </is>
      </c>
      <c r="L460" s="29" t="inlineStr">
        <is>
          <t>-</t>
        </is>
      </c>
      <c r="M460" s="29" t="inlineStr">
        <is>
          <t>제 44 기</t>
        </is>
      </c>
      <c r="N460" s="29" t="inlineStr">
        <is>
          <t>9137329985.0</t>
        </is>
      </c>
      <c r="O460" s="29" t="inlineStr">
        <is>
          <t>5882878350.0</t>
        </is>
      </c>
      <c r="P460" s="29" t="inlineStr">
        <is>
          <t>KRW</t>
        </is>
      </c>
      <c r="Q460" s="29" t="inlineStr">
        <is>
          <t>22</t>
        </is>
      </c>
    </row>
    <row r="461" ht="24" customHeight="1">
      <c r="A461" s="24" t="inlineStr">
        <is>
          <t>OpenDART_fnlttSinglAcntAll</t>
        </is>
      </c>
      <c r="B461" s="24" t="inlineStr">
        <is>
          <t>00161383</t>
        </is>
      </c>
      <c r="C461" s="24" t="inlineStr">
        <is>
          <t>한미반도체</t>
        </is>
      </c>
      <c r="D461" s="24" t="inlineStr">
        <is>
          <t>hanmi</t>
        </is>
      </c>
      <c r="E461" s="24" t="inlineStr">
        <is>
          <t>042700</t>
        </is>
      </c>
      <c r="F461" s="24" t="inlineStr">
        <is>
          <t>2023</t>
        </is>
      </c>
      <c r="G461" s="24" t="inlineStr">
        <is>
          <t>CFS</t>
        </is>
      </c>
      <c r="H461" s="24" t="inlineStr">
        <is>
          <t>BS</t>
        </is>
      </c>
      <c r="I461" s="24" t="inlineStr">
        <is>
          <t>재무상태표</t>
        </is>
      </c>
      <c r="J461" s="24" t="inlineStr">
        <is>
          <t>ifrs-full_InvestmentsInAssociates</t>
        </is>
      </c>
      <c r="K461" s="24" t="inlineStr">
        <is>
          <t>관계기업투자</t>
        </is>
      </c>
      <c r="L461" s="24" t="inlineStr">
        <is>
          <t>-</t>
        </is>
      </c>
      <c r="M461" s="24" t="inlineStr">
        <is>
          <t>제 44 기</t>
        </is>
      </c>
      <c r="N461" s="24" t="inlineStr">
        <is>
          <t>12138955454.0</t>
        </is>
      </c>
      <c r="O461" s="24" t="inlineStr">
        <is>
          <t>52273831483.0</t>
        </is>
      </c>
      <c r="P461" s="24" t="inlineStr">
        <is>
          <t>KRW</t>
        </is>
      </c>
      <c r="Q461" s="24" t="inlineStr">
        <is>
          <t>23</t>
        </is>
      </c>
    </row>
    <row r="462" ht="24" customHeight="1">
      <c r="A462" s="29" t="inlineStr">
        <is>
          <t>OpenDART_fnlttSinglAcntAll</t>
        </is>
      </c>
      <c r="B462" s="29" t="inlineStr">
        <is>
          <t>00161383</t>
        </is>
      </c>
      <c r="C462" s="29" t="inlineStr">
        <is>
          <t>한미반도체</t>
        </is>
      </c>
      <c r="D462" s="29" t="inlineStr">
        <is>
          <t>hanmi</t>
        </is>
      </c>
      <c r="E462" s="29" t="inlineStr">
        <is>
          <t>042700</t>
        </is>
      </c>
      <c r="F462" s="29" t="inlineStr">
        <is>
          <t>2023</t>
        </is>
      </c>
      <c r="G462" s="29" t="inlineStr">
        <is>
          <t>CFS</t>
        </is>
      </c>
      <c r="H462" s="29" t="inlineStr">
        <is>
          <t>BS</t>
        </is>
      </c>
      <c r="I462" s="29" t="inlineStr">
        <is>
          <t>재무상태표</t>
        </is>
      </c>
      <c r="J462" s="29" t="inlineStr">
        <is>
          <t>ifrs-full_OtherNoncurrentAssets</t>
        </is>
      </c>
      <c r="K462" s="29" t="inlineStr">
        <is>
          <t>기타비유동자산</t>
        </is>
      </c>
      <c r="L462" s="29" t="inlineStr">
        <is>
          <t>-</t>
        </is>
      </c>
      <c r="M462" s="29" t="inlineStr">
        <is>
          <t>제 44 기</t>
        </is>
      </c>
      <c r="N462" s="29" t="inlineStr">
        <is>
          <t>422854225.0</t>
        </is>
      </c>
      <c r="O462" s="29" t="inlineStr">
        <is>
          <t>360090413.0</t>
        </is>
      </c>
      <c r="P462" s="29" t="inlineStr">
        <is>
          <t>KRW</t>
        </is>
      </c>
      <c r="Q462" s="29" t="inlineStr">
        <is>
          <t>24</t>
        </is>
      </c>
    </row>
    <row r="463" ht="24" customHeight="1">
      <c r="A463" s="24" t="inlineStr">
        <is>
          <t>OpenDART_fnlttSinglAcntAll</t>
        </is>
      </c>
      <c r="B463" s="24" t="inlineStr">
        <is>
          <t>00161383</t>
        </is>
      </c>
      <c r="C463" s="24" t="inlineStr">
        <is>
          <t>한미반도체</t>
        </is>
      </c>
      <c r="D463" s="24" t="inlineStr">
        <is>
          <t>hanmi</t>
        </is>
      </c>
      <c r="E463" s="24" t="inlineStr">
        <is>
          <t>042700</t>
        </is>
      </c>
      <c r="F463" s="24" t="inlineStr">
        <is>
          <t>2023</t>
        </is>
      </c>
      <c r="G463" s="24" t="inlineStr">
        <is>
          <t>CFS</t>
        </is>
      </c>
      <c r="H463" s="24" t="inlineStr">
        <is>
          <t>BS</t>
        </is>
      </c>
      <c r="I463" s="24" t="inlineStr">
        <is>
          <t>재무상태표</t>
        </is>
      </c>
      <c r="J463" s="24" t="inlineStr">
        <is>
          <t>ifrs-full_OtherNoncurrentFinancialAssets</t>
        </is>
      </c>
      <c r="K463" s="24" t="inlineStr">
        <is>
          <t>기타비유동금융자산</t>
        </is>
      </c>
      <c r="L463" s="24" t="inlineStr">
        <is>
          <t>-</t>
        </is>
      </c>
      <c r="M463" s="24" t="inlineStr">
        <is>
          <t>제 44 기</t>
        </is>
      </c>
      <c r="N463" s="24" t="inlineStr">
        <is>
          <t>567721042.0</t>
        </is>
      </c>
      <c r="O463" s="24" t="inlineStr">
        <is>
          <t>1800488512.0</t>
        </is>
      </c>
      <c r="P463" s="24" t="inlineStr">
        <is>
          <t>KRW</t>
        </is>
      </c>
      <c r="Q463" s="24" t="inlineStr">
        <is>
          <t>25</t>
        </is>
      </c>
    </row>
    <row r="464" ht="24" customHeight="1">
      <c r="A464" s="29" t="inlineStr">
        <is>
          <t>OpenDART_fnlttSinglAcntAll</t>
        </is>
      </c>
      <c r="B464" s="29" t="inlineStr">
        <is>
          <t>00161383</t>
        </is>
      </c>
      <c r="C464" s="29" t="inlineStr">
        <is>
          <t>한미반도체</t>
        </is>
      </c>
      <c r="D464" s="29" t="inlineStr">
        <is>
          <t>hanmi</t>
        </is>
      </c>
      <c r="E464" s="29" t="inlineStr">
        <is>
          <t>042700</t>
        </is>
      </c>
      <c r="F464" s="29" t="inlineStr">
        <is>
          <t>2023</t>
        </is>
      </c>
      <c r="G464" s="29" t="inlineStr">
        <is>
          <t>CFS</t>
        </is>
      </c>
      <c r="H464" s="29" t="inlineStr">
        <is>
          <t>BS</t>
        </is>
      </c>
      <c r="I464" s="29" t="inlineStr">
        <is>
          <t>재무상태표</t>
        </is>
      </c>
      <c r="J464" s="29" t="inlineStr">
        <is>
          <t>ifrs-full_PropertyPlantAndEquipment</t>
        </is>
      </c>
      <c r="K464" s="29" t="inlineStr">
        <is>
          <t>유형자산</t>
        </is>
      </c>
      <c r="L464" s="29" t="inlineStr">
        <is>
          <t>-</t>
        </is>
      </c>
      <c r="M464" s="29" t="inlineStr">
        <is>
          <t>제 44 기</t>
        </is>
      </c>
      <c r="N464" s="29" t="inlineStr">
        <is>
          <t>126524486344.0</t>
        </is>
      </c>
      <c r="O464" s="29" t="inlineStr">
        <is>
          <t>112548395466.0</t>
        </is>
      </c>
      <c r="P464" s="29" t="inlineStr">
        <is>
          <t>KRW</t>
        </is>
      </c>
      <c r="Q464" s="29" t="inlineStr">
        <is>
          <t>26</t>
        </is>
      </c>
    </row>
    <row r="465" ht="24" customHeight="1">
      <c r="A465" s="24" t="inlineStr">
        <is>
          <t>OpenDART_fnlttSinglAcntAll</t>
        </is>
      </c>
      <c r="B465" s="24" t="inlineStr">
        <is>
          <t>00161383</t>
        </is>
      </c>
      <c r="C465" s="24" t="inlineStr">
        <is>
          <t>한미반도체</t>
        </is>
      </c>
      <c r="D465" s="24" t="inlineStr">
        <is>
          <t>hanmi</t>
        </is>
      </c>
      <c r="E465" s="24" t="inlineStr">
        <is>
          <t>042700</t>
        </is>
      </c>
      <c r="F465" s="24" t="inlineStr">
        <is>
          <t>2023</t>
        </is>
      </c>
      <c r="G465" s="24" t="inlineStr">
        <is>
          <t>CFS</t>
        </is>
      </c>
      <c r="H465" s="24" t="inlineStr">
        <is>
          <t>BS</t>
        </is>
      </c>
      <c r="I465" s="24" t="inlineStr">
        <is>
          <t>재무상태표</t>
        </is>
      </c>
      <c r="J465" s="24" t="inlineStr">
        <is>
          <t>ifrs-full_Equity</t>
        </is>
      </c>
      <c r="K465" s="24" t="inlineStr">
        <is>
          <t>자본총계</t>
        </is>
      </c>
      <c r="L465" s="24" t="inlineStr">
        <is>
          <t>-</t>
        </is>
      </c>
      <c r="M465" s="24" t="inlineStr">
        <is>
          <t>제 44 기</t>
        </is>
      </c>
      <c r="N465" s="24" t="inlineStr">
        <is>
          <t>571898625127.0</t>
        </is>
      </c>
      <c r="O465" s="24" t="inlineStr">
        <is>
          <t>390096755786.0</t>
        </is>
      </c>
      <c r="P465" s="24" t="inlineStr">
        <is>
          <t>KRW</t>
        </is>
      </c>
      <c r="Q465" s="24" t="inlineStr">
        <is>
          <t>28</t>
        </is>
      </c>
    </row>
    <row r="466" ht="24" customHeight="1">
      <c r="A466" s="29" t="inlineStr">
        <is>
          <t>OpenDART_fnlttSinglAcntAll</t>
        </is>
      </c>
      <c r="B466" s="29" t="inlineStr">
        <is>
          <t>00161383</t>
        </is>
      </c>
      <c r="C466" s="29" t="inlineStr">
        <is>
          <t>한미반도체</t>
        </is>
      </c>
      <c r="D466" s="29" t="inlineStr">
        <is>
          <t>hanmi</t>
        </is>
      </c>
      <c r="E466" s="29" t="inlineStr">
        <is>
          <t>042700</t>
        </is>
      </c>
      <c r="F466" s="29" t="inlineStr">
        <is>
          <t>2023</t>
        </is>
      </c>
      <c r="G466" s="29" t="inlineStr">
        <is>
          <t>CFS</t>
        </is>
      </c>
      <c r="H466" s="29" t="inlineStr">
        <is>
          <t>BS</t>
        </is>
      </c>
      <c r="I466" s="29" t="inlineStr">
        <is>
          <t>재무상태표</t>
        </is>
      </c>
      <c r="J466" s="29" t="inlineStr">
        <is>
          <t>ifrs-full_EquityAttributableToOwnersOfParent</t>
        </is>
      </c>
      <c r="K466" s="29" t="inlineStr">
        <is>
          <t>지배기업의 소유주에게 귀속되는 자본</t>
        </is>
      </c>
      <c r="L466" s="29" t="inlineStr">
        <is>
          <t>-</t>
        </is>
      </c>
      <c r="M466" s="29" t="inlineStr">
        <is>
          <t>제 44 기</t>
        </is>
      </c>
      <c r="N466" s="29" t="inlineStr">
        <is>
          <t>571898625127.0</t>
        </is>
      </c>
      <c r="O466" s="29" t="inlineStr">
        <is>
          <t>390096755786.0</t>
        </is>
      </c>
      <c r="P466" s="29" t="inlineStr">
        <is>
          <t>KRW</t>
        </is>
      </c>
      <c r="Q466" s="29" t="inlineStr">
        <is>
          <t>29</t>
        </is>
      </c>
    </row>
    <row r="467" ht="24" customHeight="1">
      <c r="A467" s="24" t="inlineStr">
        <is>
          <t>OpenDART_fnlttSinglAcntAll</t>
        </is>
      </c>
      <c r="B467" s="24" t="inlineStr">
        <is>
          <t>00161383</t>
        </is>
      </c>
      <c r="C467" s="24" t="inlineStr">
        <is>
          <t>한미반도체</t>
        </is>
      </c>
      <c r="D467" s="24" t="inlineStr">
        <is>
          <t>hanmi</t>
        </is>
      </c>
      <c r="E467" s="24" t="inlineStr">
        <is>
          <t>042700</t>
        </is>
      </c>
      <c r="F467" s="24" t="inlineStr">
        <is>
          <t>2023</t>
        </is>
      </c>
      <c r="G467" s="24" t="inlineStr">
        <is>
          <t>CFS</t>
        </is>
      </c>
      <c r="H467" s="24" t="inlineStr">
        <is>
          <t>BS</t>
        </is>
      </c>
      <c r="I467" s="24" t="inlineStr">
        <is>
          <t>재무상태표</t>
        </is>
      </c>
      <c r="J467" s="24" t="inlineStr">
        <is>
          <t>dart_CapitalSurplus</t>
        </is>
      </c>
      <c r="K467" s="24" t="inlineStr">
        <is>
          <t>자본잉여금</t>
        </is>
      </c>
      <c r="L467" s="24" t="inlineStr">
        <is>
          <t>-</t>
        </is>
      </c>
      <c r="M467" s="24" t="inlineStr">
        <is>
          <t>제 44 기</t>
        </is>
      </c>
      <c r="N467" s="24" t="inlineStr">
        <is>
          <t>56382072938.0</t>
        </is>
      </c>
      <c r="O467" s="24" t="inlineStr">
        <is>
          <t>50917901810.0</t>
        </is>
      </c>
      <c r="P467" s="24" t="inlineStr">
        <is>
          <t>KRW</t>
        </is>
      </c>
      <c r="Q467" s="24" t="inlineStr">
        <is>
          <t>30</t>
        </is>
      </c>
    </row>
    <row r="468" ht="24" customHeight="1">
      <c r="A468" s="29" t="inlineStr">
        <is>
          <t>OpenDART_fnlttSinglAcntAll</t>
        </is>
      </c>
      <c r="B468" s="29" t="inlineStr">
        <is>
          <t>00161383</t>
        </is>
      </c>
      <c r="C468" s="29" t="inlineStr">
        <is>
          <t>한미반도체</t>
        </is>
      </c>
      <c r="D468" s="29" t="inlineStr">
        <is>
          <t>hanmi</t>
        </is>
      </c>
      <c r="E468" s="29" t="inlineStr">
        <is>
          <t>042700</t>
        </is>
      </c>
      <c r="F468" s="29" t="inlineStr">
        <is>
          <t>2023</t>
        </is>
      </c>
      <c r="G468" s="29" t="inlineStr">
        <is>
          <t>CFS</t>
        </is>
      </c>
      <c r="H468" s="29" t="inlineStr">
        <is>
          <t>BS</t>
        </is>
      </c>
      <c r="I468" s="29" t="inlineStr">
        <is>
          <t>재무상태표</t>
        </is>
      </c>
      <c r="J468" s="29" t="inlineStr">
        <is>
          <t>dart_ElementsOfOtherStockholdersEquity</t>
        </is>
      </c>
      <c r="K468" s="29" t="inlineStr">
        <is>
          <t>기타자본구성요소</t>
        </is>
      </c>
      <c r="L468" s="29" t="inlineStr">
        <is>
          <t>-</t>
        </is>
      </c>
      <c r="M468" s="29" t="inlineStr">
        <is>
          <t>제 44 기</t>
        </is>
      </c>
      <c r="N468" s="29" t="inlineStr">
        <is>
          <t>-29542433975.0</t>
        </is>
      </c>
      <c r="O468" s="29" t="inlineStr">
        <is>
          <t>403275571.0</t>
        </is>
      </c>
      <c r="P468" s="29" t="inlineStr">
        <is>
          <t>KRW</t>
        </is>
      </c>
      <c r="Q468" s="29" t="inlineStr">
        <is>
          <t>31</t>
        </is>
      </c>
    </row>
    <row r="469" ht="24" customHeight="1">
      <c r="A469" s="24" t="inlineStr">
        <is>
          <t>OpenDART_fnlttSinglAcntAll</t>
        </is>
      </c>
      <c r="B469" s="24" t="inlineStr">
        <is>
          <t>00161383</t>
        </is>
      </c>
      <c r="C469" s="24" t="inlineStr">
        <is>
          <t>한미반도체</t>
        </is>
      </c>
      <c r="D469" s="24" t="inlineStr">
        <is>
          <t>hanmi</t>
        </is>
      </c>
      <c r="E469" s="24" t="inlineStr">
        <is>
          <t>042700</t>
        </is>
      </c>
      <c r="F469" s="24" t="inlineStr">
        <is>
          <t>2023</t>
        </is>
      </c>
      <c r="G469" s="24" t="inlineStr">
        <is>
          <t>CFS</t>
        </is>
      </c>
      <c r="H469" s="24" t="inlineStr">
        <is>
          <t>BS</t>
        </is>
      </c>
      <c r="I469" s="24" t="inlineStr">
        <is>
          <t>재무상태표</t>
        </is>
      </c>
      <c r="J469" s="24" t="inlineStr">
        <is>
          <t>dart_OtherComprehensiveIncomeLossAccumulatedAmount</t>
        </is>
      </c>
      <c r="K469" s="24" t="inlineStr">
        <is>
          <t>기타포괄손익누계액</t>
        </is>
      </c>
      <c r="L469" s="24" t="inlineStr">
        <is>
          <t>-</t>
        </is>
      </c>
      <c r="M469" s="24" t="inlineStr">
        <is>
          <t>제 44 기</t>
        </is>
      </c>
      <c r="N469" s="24" t="inlineStr">
        <is>
          <t>93591495.0</t>
        </is>
      </c>
      <c r="O469" s="24" t="inlineStr">
        <is>
          <t>789816976.0</t>
        </is>
      </c>
      <c r="P469" s="24" t="inlineStr">
        <is>
          <t>KRW</t>
        </is>
      </c>
      <c r="Q469" s="24" t="inlineStr">
        <is>
          <t>32</t>
        </is>
      </c>
    </row>
    <row r="470" ht="24" customHeight="1">
      <c r="A470" s="29" t="inlineStr">
        <is>
          <t>OpenDART_fnlttSinglAcntAll</t>
        </is>
      </c>
      <c r="B470" s="29" t="inlineStr">
        <is>
          <t>00161383</t>
        </is>
      </c>
      <c r="C470" s="29" t="inlineStr">
        <is>
          <t>한미반도체</t>
        </is>
      </c>
      <c r="D470" s="29" t="inlineStr">
        <is>
          <t>hanmi</t>
        </is>
      </c>
      <c r="E470" s="29" t="inlineStr">
        <is>
          <t>042700</t>
        </is>
      </c>
      <c r="F470" s="29" t="inlineStr">
        <is>
          <t>2023</t>
        </is>
      </c>
      <c r="G470" s="29" t="inlineStr">
        <is>
          <t>CFS</t>
        </is>
      </c>
      <c r="H470" s="29" t="inlineStr">
        <is>
          <t>BS</t>
        </is>
      </c>
      <c r="I470" s="29" t="inlineStr">
        <is>
          <t>재무상태표</t>
        </is>
      </c>
      <c r="J470" s="29" t="inlineStr">
        <is>
          <t>ifrs-full_IssuedCapital</t>
        </is>
      </c>
      <c r="K470" s="29" t="inlineStr">
        <is>
          <t>자본금</t>
        </is>
      </c>
      <c r="L470" s="29" t="inlineStr">
        <is>
          <t>-</t>
        </is>
      </c>
      <c r="M470" s="29" t="inlineStr">
        <is>
          <t>제 44 기</t>
        </is>
      </c>
      <c r="N470" s="29" t="inlineStr">
        <is>
          <t>12716420500.0</t>
        </is>
      </c>
      <c r="O470" s="29" t="inlineStr">
        <is>
          <t>12716420500.0</t>
        </is>
      </c>
      <c r="P470" s="29" t="inlineStr">
        <is>
          <t>KRW</t>
        </is>
      </c>
      <c r="Q470" s="29" t="inlineStr">
        <is>
          <t>33</t>
        </is>
      </c>
    </row>
    <row r="471" ht="24" customHeight="1">
      <c r="A471" s="24" t="inlineStr">
        <is>
          <t>OpenDART_fnlttSinglAcntAll</t>
        </is>
      </c>
      <c r="B471" s="24" t="inlineStr">
        <is>
          <t>00161383</t>
        </is>
      </c>
      <c r="C471" s="24" t="inlineStr">
        <is>
          <t>한미반도체</t>
        </is>
      </c>
      <c r="D471" s="24" t="inlineStr">
        <is>
          <t>hanmi</t>
        </is>
      </c>
      <c r="E471" s="24" t="inlineStr">
        <is>
          <t>042700</t>
        </is>
      </c>
      <c r="F471" s="24" t="inlineStr">
        <is>
          <t>2023</t>
        </is>
      </c>
      <c r="G471" s="24" t="inlineStr">
        <is>
          <t>CFS</t>
        </is>
      </c>
      <c r="H471" s="24" t="inlineStr">
        <is>
          <t>BS</t>
        </is>
      </c>
      <c r="I471" s="24" t="inlineStr">
        <is>
          <t>재무상태표</t>
        </is>
      </c>
      <c r="J471" s="24" t="inlineStr">
        <is>
          <t>ifrs-full_RetainedEarnings</t>
        </is>
      </c>
      <c r="K471" s="24" t="inlineStr">
        <is>
          <t>이익잉여금</t>
        </is>
      </c>
      <c r="L471" s="24" t="inlineStr">
        <is>
          <t>-</t>
        </is>
      </c>
      <c r="M471" s="24" t="inlineStr">
        <is>
          <t>제 44 기</t>
        </is>
      </c>
      <c r="N471" s="24" t="inlineStr">
        <is>
          <t>532248974169.0</t>
        </is>
      </c>
      <c r="O471" s="24" t="inlineStr">
        <is>
          <t>325269340929.0</t>
        </is>
      </c>
      <c r="P471" s="24" t="inlineStr">
        <is>
          <t>KRW</t>
        </is>
      </c>
      <c r="Q471" s="24" t="inlineStr">
        <is>
          <t>34</t>
        </is>
      </c>
    </row>
    <row r="472" ht="24" customHeight="1">
      <c r="A472" s="29" t="inlineStr">
        <is>
          <t>OpenDART_fnlttSinglAcntAll</t>
        </is>
      </c>
      <c r="B472" s="29" t="inlineStr">
        <is>
          <t>00161383</t>
        </is>
      </c>
      <c r="C472" s="29" t="inlineStr">
        <is>
          <t>한미반도체</t>
        </is>
      </c>
      <c r="D472" s="29" t="inlineStr">
        <is>
          <t>hanmi</t>
        </is>
      </c>
      <c r="E472" s="29" t="inlineStr">
        <is>
          <t>042700</t>
        </is>
      </c>
      <c r="F472" s="29" t="inlineStr">
        <is>
          <t>2023</t>
        </is>
      </c>
      <c r="G472" s="29" t="inlineStr">
        <is>
          <t>CFS</t>
        </is>
      </c>
      <c r="H472" s="29" t="inlineStr">
        <is>
          <t>BS</t>
        </is>
      </c>
      <c r="I472" s="29" t="inlineStr">
        <is>
          <t>재무상태표</t>
        </is>
      </c>
      <c r="J472" s="29" t="inlineStr">
        <is>
          <t>ifrs-full_NoncontrollingInterests</t>
        </is>
      </c>
      <c r="K472" s="29" t="inlineStr">
        <is>
          <t>비지배지분</t>
        </is>
      </c>
      <c r="L472" s="29" t="inlineStr">
        <is>
          <t>-</t>
        </is>
      </c>
      <c r="M472" s="29" t="inlineStr">
        <is>
          <t>제 44 기</t>
        </is>
      </c>
      <c r="N472" s="29" t="inlineStr">
        <is>
          <t>0.0</t>
        </is>
      </c>
      <c r="O472" s="29" t="inlineStr">
        <is>
          <t>0.0</t>
        </is>
      </c>
      <c r="P472" s="29" t="inlineStr">
        <is>
          <t>KRW</t>
        </is>
      </c>
      <c r="Q472" s="29" t="inlineStr">
        <is>
          <t>35</t>
        </is>
      </c>
    </row>
    <row r="473" ht="24" customHeight="1">
      <c r="A473" s="24" t="inlineStr">
        <is>
          <t>OpenDART_fnlttSinglAcntAll</t>
        </is>
      </c>
      <c r="B473" s="24" t="inlineStr">
        <is>
          <t>00161383</t>
        </is>
      </c>
      <c r="C473" s="24" t="inlineStr">
        <is>
          <t>한미반도체</t>
        </is>
      </c>
      <c r="D473" s="24" t="inlineStr">
        <is>
          <t>hanmi</t>
        </is>
      </c>
      <c r="E473" s="24" t="inlineStr">
        <is>
          <t>042700</t>
        </is>
      </c>
      <c r="F473" s="24" t="inlineStr">
        <is>
          <t>2023</t>
        </is>
      </c>
      <c r="G473" s="24" t="inlineStr">
        <is>
          <t>CFS</t>
        </is>
      </c>
      <c r="H473" s="24" t="inlineStr">
        <is>
          <t>BS</t>
        </is>
      </c>
      <c r="I473" s="24" t="inlineStr">
        <is>
          <t>재무상태표</t>
        </is>
      </c>
      <c r="J473" s="24" t="inlineStr">
        <is>
          <t>ifrs-full_EquityAndLiabilities</t>
        </is>
      </c>
      <c r="K473" s="24" t="inlineStr">
        <is>
          <t>자본과 부채</t>
        </is>
      </c>
      <c r="L473" s="24" t="inlineStr">
        <is>
          <t>-</t>
        </is>
      </c>
      <c r="M473" s="24" t="inlineStr">
        <is>
          <t>제 44 기</t>
        </is>
      </c>
      <c r="N473" s="24" t="inlineStr">
        <is>
          <t>723839103741.0</t>
        </is>
      </c>
      <c r="O473" s="24" t="inlineStr">
        <is>
          <t>455432965985.0</t>
        </is>
      </c>
      <c r="P473" s="24" t="inlineStr">
        <is>
          <t>KRW</t>
        </is>
      </c>
      <c r="Q473" s="24" t="inlineStr">
        <is>
          <t>36</t>
        </is>
      </c>
    </row>
    <row r="474" ht="24" customHeight="1">
      <c r="A474" s="29" t="inlineStr">
        <is>
          <t>OpenDART_fnlttSinglAcntAll</t>
        </is>
      </c>
      <c r="B474" s="29" t="inlineStr">
        <is>
          <t>00161383</t>
        </is>
      </c>
      <c r="C474" s="29" t="inlineStr">
        <is>
          <t>한미반도체</t>
        </is>
      </c>
      <c r="D474" s="29" t="inlineStr">
        <is>
          <t>hanmi</t>
        </is>
      </c>
      <c r="E474" s="29" t="inlineStr">
        <is>
          <t>042700</t>
        </is>
      </c>
      <c r="F474" s="29" t="inlineStr">
        <is>
          <t>2023</t>
        </is>
      </c>
      <c r="G474" s="29" t="inlineStr">
        <is>
          <t>CFS</t>
        </is>
      </c>
      <c r="H474" s="29" t="inlineStr">
        <is>
          <t>BS</t>
        </is>
      </c>
      <c r="I474" s="29" t="inlineStr">
        <is>
          <t>재무상태표</t>
        </is>
      </c>
      <c r="J474" s="29" t="inlineStr">
        <is>
          <t>ifrs-full_CurrentLiabilities</t>
        </is>
      </c>
      <c r="K474" s="29" t="inlineStr">
        <is>
          <t>유동부채</t>
        </is>
      </c>
      <c r="L474" s="29" t="inlineStr">
        <is>
          <t>-</t>
        </is>
      </c>
      <c r="M474" s="29" t="inlineStr">
        <is>
          <t>제 44 기</t>
        </is>
      </c>
      <c r="N474" s="29" t="inlineStr">
        <is>
          <t>105009650585.0</t>
        </is>
      </c>
      <c r="O474" s="29" t="inlineStr">
        <is>
          <t>63044830709.0</t>
        </is>
      </c>
      <c r="P474" s="29" t="inlineStr">
        <is>
          <t>KRW</t>
        </is>
      </c>
      <c r="Q474" s="29" t="inlineStr">
        <is>
          <t>38</t>
        </is>
      </c>
    </row>
    <row r="475" ht="24" customHeight="1">
      <c r="A475" s="24" t="inlineStr">
        <is>
          <t>OpenDART_fnlttSinglAcntAll</t>
        </is>
      </c>
      <c r="B475" s="24" t="inlineStr">
        <is>
          <t>00161383</t>
        </is>
      </c>
      <c r="C475" s="24" t="inlineStr">
        <is>
          <t>한미반도체</t>
        </is>
      </c>
      <c r="D475" s="24" t="inlineStr">
        <is>
          <t>hanmi</t>
        </is>
      </c>
      <c r="E475" s="24" t="inlineStr">
        <is>
          <t>042700</t>
        </is>
      </c>
      <c r="F475" s="24" t="inlineStr">
        <is>
          <t>2023</t>
        </is>
      </c>
      <c r="G475" s="24" t="inlineStr">
        <is>
          <t>CFS</t>
        </is>
      </c>
      <c r="H475" s="24" t="inlineStr">
        <is>
          <t>BS</t>
        </is>
      </c>
      <c r="I475" s="24" t="inlineStr">
        <is>
          <t>재무상태표</t>
        </is>
      </c>
      <c r="J475" s="24" t="inlineStr">
        <is>
          <t>dart_PaymentsOfIncomeTaxesPayable</t>
        </is>
      </c>
      <c r="K475" s="24" t="inlineStr">
        <is>
          <t>미지급법인세</t>
        </is>
      </c>
      <c r="L475" s="24" t="inlineStr">
        <is>
          <t>-</t>
        </is>
      </c>
      <c r="M475" s="24" t="inlineStr">
        <is>
          <t>제 44 기</t>
        </is>
      </c>
      <c r="N475" s="24" t="inlineStr">
        <is>
          <t>24544806512.0</t>
        </is>
      </c>
      <c r="O475" s="24" t="inlineStr">
        <is>
          <t>23543309014.0</t>
        </is>
      </c>
      <c r="P475" s="24" t="inlineStr">
        <is>
          <t>KRW</t>
        </is>
      </c>
      <c r="Q475" s="24" t="inlineStr">
        <is>
          <t>39</t>
        </is>
      </c>
    </row>
    <row r="476" ht="24" customHeight="1">
      <c r="A476" s="29" t="inlineStr">
        <is>
          <t>OpenDART_fnlttSinglAcntAll</t>
        </is>
      </c>
      <c r="B476" s="29" t="inlineStr">
        <is>
          <t>00161383</t>
        </is>
      </c>
      <c r="C476" s="29" t="inlineStr">
        <is>
          <t>한미반도체</t>
        </is>
      </c>
      <c r="D476" s="29" t="inlineStr">
        <is>
          <t>hanmi</t>
        </is>
      </c>
      <c r="E476" s="29" t="inlineStr">
        <is>
          <t>042700</t>
        </is>
      </c>
      <c r="F476" s="29" t="inlineStr">
        <is>
          <t>2023</t>
        </is>
      </c>
      <c r="G476" s="29" t="inlineStr">
        <is>
          <t>CFS</t>
        </is>
      </c>
      <c r="H476" s="29" t="inlineStr">
        <is>
          <t>BS</t>
        </is>
      </c>
      <c r="I476" s="29" t="inlineStr">
        <is>
          <t>재무상태표</t>
        </is>
      </c>
      <c r="J476" s="29" t="inlineStr">
        <is>
          <t>ifrs-full_CurrentLeaseLiabilities</t>
        </is>
      </c>
      <c r="K476" s="29" t="inlineStr">
        <is>
          <t>유동리스부채</t>
        </is>
      </c>
      <c r="L476" s="29" t="inlineStr">
        <is>
          <t>-</t>
        </is>
      </c>
      <c r="M476" s="29" t="inlineStr">
        <is>
          <t>제 44 기</t>
        </is>
      </c>
      <c r="N476" s="29" t="inlineStr">
        <is>
          <t>648109209.0</t>
        </is>
      </c>
      <c r="O476" s="29" t="inlineStr">
        <is>
          <t>1405180706.0</t>
        </is>
      </c>
      <c r="P476" s="29" t="inlineStr">
        <is>
          <t>KRW</t>
        </is>
      </c>
      <c r="Q476" s="29" t="inlineStr">
        <is>
          <t>40</t>
        </is>
      </c>
    </row>
    <row r="477" ht="24" customHeight="1">
      <c r="A477" s="24" t="inlineStr">
        <is>
          <t>OpenDART_fnlttSinglAcntAll</t>
        </is>
      </c>
      <c r="B477" s="24" t="inlineStr">
        <is>
          <t>00161383</t>
        </is>
      </c>
      <c r="C477" s="24" t="inlineStr">
        <is>
          <t>한미반도체</t>
        </is>
      </c>
      <c r="D477" s="24" t="inlineStr">
        <is>
          <t>hanmi</t>
        </is>
      </c>
      <c r="E477" s="24" t="inlineStr">
        <is>
          <t>042700</t>
        </is>
      </c>
      <c r="F477" s="24" t="inlineStr">
        <is>
          <t>2023</t>
        </is>
      </c>
      <c r="G477" s="24" t="inlineStr">
        <is>
          <t>CFS</t>
        </is>
      </c>
      <c r="H477" s="24" t="inlineStr">
        <is>
          <t>BS</t>
        </is>
      </c>
      <c r="I477" s="24" t="inlineStr">
        <is>
          <t>재무상태표</t>
        </is>
      </c>
      <c r="J477" s="24" t="inlineStr">
        <is>
          <t>ifrs-full_CurrentProvisions</t>
        </is>
      </c>
      <c r="K477" s="24" t="inlineStr">
        <is>
          <t>유동충당부채</t>
        </is>
      </c>
      <c r="L477" s="24" t="inlineStr">
        <is>
          <t>-</t>
        </is>
      </c>
      <c r="M477" s="24" t="inlineStr">
        <is>
          <t>제 44 기</t>
        </is>
      </c>
      <c r="N477" s="24" t="inlineStr">
        <is>
          <t>3148476867.0</t>
        </is>
      </c>
      <c r="O477" s="24" t="inlineStr">
        <is>
          <t>4181062668.0</t>
        </is>
      </c>
      <c r="P477" s="24" t="inlineStr">
        <is>
          <t>KRW</t>
        </is>
      </c>
      <c r="Q477" s="24" t="inlineStr">
        <is>
          <t>41</t>
        </is>
      </c>
    </row>
    <row r="478" ht="24" customHeight="1">
      <c r="A478" s="29" t="inlineStr">
        <is>
          <t>OpenDART_fnlttSinglAcntAll</t>
        </is>
      </c>
      <c r="B478" s="29" t="inlineStr">
        <is>
          <t>00161383</t>
        </is>
      </c>
      <c r="C478" s="29" t="inlineStr">
        <is>
          <t>한미반도체</t>
        </is>
      </c>
      <c r="D478" s="29" t="inlineStr">
        <is>
          <t>hanmi</t>
        </is>
      </c>
      <c r="E478" s="29" t="inlineStr">
        <is>
          <t>042700</t>
        </is>
      </c>
      <c r="F478" s="29" t="inlineStr">
        <is>
          <t>2023</t>
        </is>
      </c>
      <c r="G478" s="29" t="inlineStr">
        <is>
          <t>CFS</t>
        </is>
      </c>
      <c r="H478" s="29" t="inlineStr">
        <is>
          <t>BS</t>
        </is>
      </c>
      <c r="I478" s="29" t="inlineStr">
        <is>
          <t>재무상태표</t>
        </is>
      </c>
      <c r="J478" s="29" t="inlineStr">
        <is>
          <t>ifrs-full_OtherCurrentFinancialLiabilities</t>
        </is>
      </c>
      <c r="K478" s="29" t="inlineStr">
        <is>
          <t>기타유동금융부채</t>
        </is>
      </c>
      <c r="L478" s="29" t="inlineStr">
        <is>
          <t>-</t>
        </is>
      </c>
      <c r="M478" s="29" t="inlineStr">
        <is>
          <t>제 44 기</t>
        </is>
      </c>
      <c r="N478" s="29" t="inlineStr">
        <is>
          <t>49275267324.0</t>
        </is>
      </c>
      <c r="O478" s="29" t="inlineStr">
        <is>
          <t>11793494557.0</t>
        </is>
      </c>
      <c r="P478" s="29" t="inlineStr">
        <is>
          <t>KRW</t>
        </is>
      </c>
      <c r="Q478" s="29" t="inlineStr">
        <is>
          <t>42</t>
        </is>
      </c>
    </row>
    <row r="479" ht="24" customHeight="1">
      <c r="A479" s="24" t="inlineStr">
        <is>
          <t>OpenDART_fnlttSinglAcntAll</t>
        </is>
      </c>
      <c r="B479" s="24" t="inlineStr">
        <is>
          <t>00161383</t>
        </is>
      </c>
      <c r="C479" s="24" t="inlineStr">
        <is>
          <t>한미반도체</t>
        </is>
      </c>
      <c r="D479" s="24" t="inlineStr">
        <is>
          <t>hanmi</t>
        </is>
      </c>
      <c r="E479" s="24" t="inlineStr">
        <is>
          <t>042700</t>
        </is>
      </c>
      <c r="F479" s="24" t="inlineStr">
        <is>
          <t>2023</t>
        </is>
      </c>
      <c r="G479" s="24" t="inlineStr">
        <is>
          <t>CFS</t>
        </is>
      </c>
      <c r="H479" s="24" t="inlineStr">
        <is>
          <t>BS</t>
        </is>
      </c>
      <c r="I479" s="24" t="inlineStr">
        <is>
          <t>재무상태표</t>
        </is>
      </c>
      <c r="J479" s="24" t="inlineStr">
        <is>
          <t>ifrs-full_OtherCurrentLiabilities</t>
        </is>
      </c>
      <c r="K479" s="24" t="inlineStr">
        <is>
          <t>기타유동부채</t>
        </is>
      </c>
      <c r="L479" s="24" t="inlineStr">
        <is>
          <t>-</t>
        </is>
      </c>
      <c r="M479" s="24" t="inlineStr">
        <is>
          <t>제 44 기</t>
        </is>
      </c>
      <c r="N479" s="24" t="inlineStr">
        <is>
          <t>9017317584.0</t>
        </is>
      </c>
      <c r="O479" s="24" t="inlineStr">
        <is>
          <t>9716454217.0</t>
        </is>
      </c>
      <c r="P479" s="24" t="inlineStr">
        <is>
          <t>KRW</t>
        </is>
      </c>
      <c r="Q479" s="24" t="inlineStr">
        <is>
          <t>43</t>
        </is>
      </c>
    </row>
    <row r="480" ht="24" customHeight="1">
      <c r="A480" s="29" t="inlineStr">
        <is>
          <t>OpenDART_fnlttSinglAcntAll</t>
        </is>
      </c>
      <c r="B480" s="29" t="inlineStr">
        <is>
          <t>00161383</t>
        </is>
      </c>
      <c r="C480" s="29" t="inlineStr">
        <is>
          <t>한미반도체</t>
        </is>
      </c>
      <c r="D480" s="29" t="inlineStr">
        <is>
          <t>hanmi</t>
        </is>
      </c>
      <c r="E480" s="29" t="inlineStr">
        <is>
          <t>042700</t>
        </is>
      </c>
      <c r="F480" s="29" t="inlineStr">
        <is>
          <t>2023</t>
        </is>
      </c>
      <c r="G480" s="29" t="inlineStr">
        <is>
          <t>CFS</t>
        </is>
      </c>
      <c r="H480" s="29" t="inlineStr">
        <is>
          <t>BS</t>
        </is>
      </c>
      <c r="I480" s="29" t="inlineStr">
        <is>
          <t>재무상태표</t>
        </is>
      </c>
      <c r="J480" s="29" t="inlineStr">
        <is>
          <t>ifrs-full_TradeAndOtherCurrentPayables</t>
        </is>
      </c>
      <c r="K480" s="29" t="inlineStr">
        <is>
          <t>매입채무</t>
        </is>
      </c>
      <c r="L480" s="29" t="inlineStr">
        <is>
          <t>-</t>
        </is>
      </c>
      <c r="M480" s="29" t="inlineStr">
        <is>
          <t>제 44 기</t>
        </is>
      </c>
      <c r="N480" s="29" t="inlineStr">
        <is>
          <t>18375673089.0</t>
        </is>
      </c>
      <c r="O480" s="29" t="inlineStr">
        <is>
          <t>12405329547.0</t>
        </is>
      </c>
      <c r="P480" s="29" t="inlineStr">
        <is>
          <t>KRW</t>
        </is>
      </c>
      <c r="Q480" s="29" t="inlineStr">
        <is>
          <t>44</t>
        </is>
      </c>
    </row>
    <row r="481" ht="24" customHeight="1">
      <c r="A481" s="24" t="inlineStr">
        <is>
          <t>OpenDART_fnlttSinglAcntAll</t>
        </is>
      </c>
      <c r="B481" s="24" t="inlineStr">
        <is>
          <t>00161383</t>
        </is>
      </c>
      <c r="C481" s="24" t="inlineStr">
        <is>
          <t>한미반도체</t>
        </is>
      </c>
      <c r="D481" s="24" t="inlineStr">
        <is>
          <t>hanmi</t>
        </is>
      </c>
      <c r="E481" s="24" t="inlineStr">
        <is>
          <t>042700</t>
        </is>
      </c>
      <c r="F481" s="24" t="inlineStr">
        <is>
          <t>2023</t>
        </is>
      </c>
      <c r="G481" s="24" t="inlineStr">
        <is>
          <t>CFS</t>
        </is>
      </c>
      <c r="H481" s="24" t="inlineStr">
        <is>
          <t>BS</t>
        </is>
      </c>
      <c r="I481" s="24" t="inlineStr">
        <is>
          <t>재무상태표</t>
        </is>
      </c>
      <c r="J481" s="24" t="inlineStr">
        <is>
          <t>ifrs-full_Liabilities</t>
        </is>
      </c>
      <c r="K481" s="24" t="inlineStr">
        <is>
          <t>부채총계</t>
        </is>
      </c>
      <c r="L481" s="24" t="inlineStr">
        <is>
          <t>-</t>
        </is>
      </c>
      <c r="M481" s="24" t="inlineStr">
        <is>
          <t>제 44 기</t>
        </is>
      </c>
      <c r="N481" s="24" t="inlineStr">
        <is>
          <t>151940478614.0</t>
        </is>
      </c>
      <c r="O481" s="24" t="inlineStr">
        <is>
          <t>65336210199.0</t>
        </is>
      </c>
      <c r="P481" s="24" t="inlineStr">
        <is>
          <t>KRW</t>
        </is>
      </c>
      <c r="Q481" s="24" t="inlineStr">
        <is>
          <t>45</t>
        </is>
      </c>
    </row>
    <row r="482" ht="24" customHeight="1">
      <c r="A482" s="29" t="inlineStr">
        <is>
          <t>OpenDART_fnlttSinglAcntAll</t>
        </is>
      </c>
      <c r="B482" s="29" t="inlineStr">
        <is>
          <t>00161383</t>
        </is>
      </c>
      <c r="C482" s="29" t="inlineStr">
        <is>
          <t>한미반도체</t>
        </is>
      </c>
      <c r="D482" s="29" t="inlineStr">
        <is>
          <t>hanmi</t>
        </is>
      </c>
      <c r="E482" s="29" t="inlineStr">
        <is>
          <t>042700</t>
        </is>
      </c>
      <c r="F482" s="29" t="inlineStr">
        <is>
          <t>2023</t>
        </is>
      </c>
      <c r="G482" s="29" t="inlineStr">
        <is>
          <t>CFS</t>
        </is>
      </c>
      <c r="H482" s="29" t="inlineStr">
        <is>
          <t>BS</t>
        </is>
      </c>
      <c r="I482" s="29" t="inlineStr">
        <is>
          <t>재무상태표</t>
        </is>
      </c>
      <c r="J482" s="29" t="inlineStr">
        <is>
          <t>ifrs-full_NoncurrentLiabilities</t>
        </is>
      </c>
      <c r="K482" s="29" t="inlineStr">
        <is>
          <t>비유동부채</t>
        </is>
      </c>
      <c r="L482" s="29" t="inlineStr">
        <is>
          <t>-</t>
        </is>
      </c>
      <c r="M482" s="29" t="inlineStr">
        <is>
          <t>제 44 기</t>
        </is>
      </c>
      <c r="N482" s="29" t="inlineStr">
        <is>
          <t>46930828029.0</t>
        </is>
      </c>
      <c r="O482" s="29" t="inlineStr">
        <is>
          <t>2291379490.0</t>
        </is>
      </c>
      <c r="P482" s="29" t="inlineStr">
        <is>
          <t>KRW</t>
        </is>
      </c>
      <c r="Q482" s="29" t="inlineStr">
        <is>
          <t>46</t>
        </is>
      </c>
    </row>
    <row r="483" ht="24" customHeight="1">
      <c r="A483" s="24" t="inlineStr">
        <is>
          <t>OpenDART_fnlttSinglAcntAll</t>
        </is>
      </c>
      <c r="B483" s="24" t="inlineStr">
        <is>
          <t>00161383</t>
        </is>
      </c>
      <c r="C483" s="24" t="inlineStr">
        <is>
          <t>한미반도체</t>
        </is>
      </c>
      <c r="D483" s="24" t="inlineStr">
        <is>
          <t>hanmi</t>
        </is>
      </c>
      <c r="E483" s="24" t="inlineStr">
        <is>
          <t>042700</t>
        </is>
      </c>
      <c r="F483" s="24" t="inlineStr">
        <is>
          <t>2023</t>
        </is>
      </c>
      <c r="G483" s="24" t="inlineStr">
        <is>
          <t>CFS</t>
        </is>
      </c>
      <c r="H483" s="24" t="inlineStr">
        <is>
          <t>BS</t>
        </is>
      </c>
      <c r="I483" s="24" t="inlineStr">
        <is>
          <t>재무상태표</t>
        </is>
      </c>
      <c r="J483" s="24" t="inlineStr">
        <is>
          <t>dart_PostemploymentBenefitObligations</t>
        </is>
      </c>
      <c r="K483" s="24" t="inlineStr">
        <is>
          <t>퇴직급여채무</t>
        </is>
      </c>
      <c r="L483" s="24" t="inlineStr">
        <is>
          <t>-</t>
        </is>
      </c>
      <c r="M483" s="24" t="inlineStr">
        <is>
          <t>제 44 기</t>
        </is>
      </c>
      <c r="N483" s="24" t="inlineStr">
        <is>
          <t>0.0</t>
        </is>
      </c>
      <c r="O483" s="24" t="inlineStr">
        <is>
          <t>0.0</t>
        </is>
      </c>
      <c r="P483" s="24" t="inlineStr">
        <is>
          <t>KRW</t>
        </is>
      </c>
      <c r="Q483" s="24" t="inlineStr">
        <is>
          <t>47</t>
        </is>
      </c>
    </row>
    <row r="484" ht="24" customHeight="1">
      <c r="A484" s="29" t="inlineStr">
        <is>
          <t>OpenDART_fnlttSinglAcntAll</t>
        </is>
      </c>
      <c r="B484" s="29" t="inlineStr">
        <is>
          <t>00161383</t>
        </is>
      </c>
      <c r="C484" s="29" t="inlineStr">
        <is>
          <t>한미반도체</t>
        </is>
      </c>
      <c r="D484" s="29" t="inlineStr">
        <is>
          <t>hanmi</t>
        </is>
      </c>
      <c r="E484" s="29" t="inlineStr">
        <is>
          <t>042700</t>
        </is>
      </c>
      <c r="F484" s="29" t="inlineStr">
        <is>
          <t>2023</t>
        </is>
      </c>
      <c r="G484" s="29" t="inlineStr">
        <is>
          <t>CFS</t>
        </is>
      </c>
      <c r="H484" s="29" t="inlineStr">
        <is>
          <t>BS</t>
        </is>
      </c>
      <c r="I484" s="29" t="inlineStr">
        <is>
          <t>재무상태표</t>
        </is>
      </c>
      <c r="J484" s="29" t="inlineStr">
        <is>
          <t>ifrs-full_DeferredTaxLiabilities</t>
        </is>
      </c>
      <c r="K484" s="29" t="inlineStr">
        <is>
          <t>이연법인세부채</t>
        </is>
      </c>
      <c r="L484" s="29" t="inlineStr">
        <is>
          <t>-</t>
        </is>
      </c>
      <c r="M484" s="29" t="inlineStr">
        <is>
          <t>제 44 기</t>
        </is>
      </c>
      <c r="N484" s="29" t="inlineStr">
        <is>
          <t>45422230348.0</t>
        </is>
      </c>
      <c r="O484" s="29" t="inlineStr">
        <is>
          <t>9270810.0</t>
        </is>
      </c>
      <c r="P484" s="29" t="inlineStr">
        <is>
          <t>KRW</t>
        </is>
      </c>
      <c r="Q484" s="29" t="inlineStr">
        <is>
          <t>48</t>
        </is>
      </c>
    </row>
    <row r="485" ht="24" customHeight="1">
      <c r="A485" s="24" t="inlineStr">
        <is>
          <t>OpenDART_fnlttSinglAcntAll</t>
        </is>
      </c>
      <c r="B485" s="24" t="inlineStr">
        <is>
          <t>00161383</t>
        </is>
      </c>
      <c r="C485" s="24" t="inlineStr">
        <is>
          <t>한미반도체</t>
        </is>
      </c>
      <c r="D485" s="24" t="inlineStr">
        <is>
          <t>hanmi</t>
        </is>
      </c>
      <c r="E485" s="24" t="inlineStr">
        <is>
          <t>042700</t>
        </is>
      </c>
      <c r="F485" s="24" t="inlineStr">
        <is>
          <t>2023</t>
        </is>
      </c>
      <c r="G485" s="24" t="inlineStr">
        <is>
          <t>CFS</t>
        </is>
      </c>
      <c r="H485" s="24" t="inlineStr">
        <is>
          <t>BS</t>
        </is>
      </c>
      <c r="I485" s="24" t="inlineStr">
        <is>
          <t>재무상태표</t>
        </is>
      </c>
      <c r="J485" s="24" t="inlineStr">
        <is>
          <t>ifrs-full_NoncurrentLeaseLiabilities</t>
        </is>
      </c>
      <c r="K485" s="24" t="inlineStr">
        <is>
          <t>비유동리스부채</t>
        </is>
      </c>
      <c r="L485" s="24" t="inlineStr">
        <is>
          <t>-</t>
        </is>
      </c>
      <c r="M485" s="24" t="inlineStr">
        <is>
          <t>제 44 기</t>
        </is>
      </c>
      <c r="N485" s="24" t="inlineStr">
        <is>
          <t>467410377.0</t>
        </is>
      </c>
      <c r="O485" s="24" t="inlineStr">
        <is>
          <t>788794404.0</t>
        </is>
      </c>
      <c r="P485" s="24" t="inlineStr">
        <is>
          <t>KRW</t>
        </is>
      </c>
      <c r="Q485" s="24" t="inlineStr">
        <is>
          <t>49</t>
        </is>
      </c>
    </row>
    <row r="486" ht="24" customHeight="1">
      <c r="A486" s="29" t="inlineStr">
        <is>
          <t>OpenDART_fnlttSinglAcntAll</t>
        </is>
      </c>
      <c r="B486" s="29" t="inlineStr">
        <is>
          <t>00161383</t>
        </is>
      </c>
      <c r="C486" s="29" t="inlineStr">
        <is>
          <t>한미반도체</t>
        </is>
      </c>
      <c r="D486" s="29" t="inlineStr">
        <is>
          <t>hanmi</t>
        </is>
      </c>
      <c r="E486" s="29" t="inlineStr">
        <is>
          <t>042700</t>
        </is>
      </c>
      <c r="F486" s="29" t="inlineStr">
        <is>
          <t>2023</t>
        </is>
      </c>
      <c r="G486" s="29" t="inlineStr">
        <is>
          <t>CFS</t>
        </is>
      </c>
      <c r="H486" s="29" t="inlineStr">
        <is>
          <t>BS</t>
        </is>
      </c>
      <c r="I486" s="29" t="inlineStr">
        <is>
          <t>재무상태표</t>
        </is>
      </c>
      <c r="J486" s="29" t="inlineStr">
        <is>
          <t>ifrs-full_NoncurrentProvisions</t>
        </is>
      </c>
      <c r="K486" s="29" t="inlineStr">
        <is>
          <t>비유동충당부채</t>
        </is>
      </c>
      <c r="L486" s="29" t="inlineStr">
        <is>
          <t>-</t>
        </is>
      </c>
      <c r="M486" s="29" t="inlineStr">
        <is>
          <t>제 44 기</t>
        </is>
      </c>
      <c r="N486" s="29" t="inlineStr">
        <is>
          <t>40371029.0</t>
        </is>
      </c>
      <c r="O486" s="29" t="inlineStr">
        <is>
          <t>593188200.0</t>
        </is>
      </c>
      <c r="P486" s="29" t="inlineStr">
        <is>
          <t>KRW</t>
        </is>
      </c>
      <c r="Q486" s="29" t="inlineStr">
        <is>
          <t>50</t>
        </is>
      </c>
    </row>
    <row r="487" ht="24" customHeight="1">
      <c r="A487" s="24" t="inlineStr">
        <is>
          <t>OpenDART_fnlttSinglAcntAll</t>
        </is>
      </c>
      <c r="B487" s="24" t="inlineStr">
        <is>
          <t>00161383</t>
        </is>
      </c>
      <c r="C487" s="24" t="inlineStr">
        <is>
          <t>한미반도체</t>
        </is>
      </c>
      <c r="D487" s="24" t="inlineStr">
        <is>
          <t>hanmi</t>
        </is>
      </c>
      <c r="E487" s="24" t="inlineStr">
        <is>
          <t>042700</t>
        </is>
      </c>
      <c r="F487" s="24" t="inlineStr">
        <is>
          <t>2023</t>
        </is>
      </c>
      <c r="G487" s="24" t="inlineStr">
        <is>
          <t>CFS</t>
        </is>
      </c>
      <c r="H487" s="24" t="inlineStr">
        <is>
          <t>BS</t>
        </is>
      </c>
      <c r="I487" s="24" t="inlineStr">
        <is>
          <t>재무상태표</t>
        </is>
      </c>
      <c r="J487" s="24" t="inlineStr">
        <is>
          <t>ifrs-full_OtherNoncurrentFinancialLiabilities</t>
        </is>
      </c>
      <c r="K487" s="24" t="inlineStr">
        <is>
          <t>기타비유동금융부채</t>
        </is>
      </c>
      <c r="L487" s="24" t="inlineStr">
        <is>
          <t>-</t>
        </is>
      </c>
      <c r="M487" s="24" t="inlineStr">
        <is>
          <t>제 44 기</t>
        </is>
      </c>
      <c r="N487" s="24" t="inlineStr">
        <is>
          <t>440694089.0</t>
        </is>
      </c>
      <c r="O487" s="24" t="inlineStr">
        <is>
          <t>426119871.0</t>
        </is>
      </c>
      <c r="P487" s="24" t="inlineStr">
        <is>
          <t>KRW</t>
        </is>
      </c>
      <c r="Q487" s="24" t="inlineStr">
        <is>
          <t>51</t>
        </is>
      </c>
    </row>
    <row r="488" ht="24" customHeight="1">
      <c r="A488" s="29" t="inlineStr">
        <is>
          <t>OpenDART_fnlttSinglAcntAll</t>
        </is>
      </c>
      <c r="B488" s="29" t="inlineStr">
        <is>
          <t>00161383</t>
        </is>
      </c>
      <c r="C488" s="29" t="inlineStr">
        <is>
          <t>한미반도체</t>
        </is>
      </c>
      <c r="D488" s="29" t="inlineStr">
        <is>
          <t>hanmi</t>
        </is>
      </c>
      <c r="E488" s="29" t="inlineStr">
        <is>
          <t>042700</t>
        </is>
      </c>
      <c r="F488" s="29" t="inlineStr">
        <is>
          <t>2023</t>
        </is>
      </c>
      <c r="G488" s="29" t="inlineStr">
        <is>
          <t>CFS</t>
        </is>
      </c>
      <c r="H488" s="29" t="inlineStr">
        <is>
          <t>BS</t>
        </is>
      </c>
      <c r="I488" s="29" t="inlineStr">
        <is>
          <t>재무상태표</t>
        </is>
      </c>
      <c r="J488" s="29" t="inlineStr">
        <is>
          <t>ifrs-full_OtherNoncurrentLiabilities</t>
        </is>
      </c>
      <c r="K488" s="29" t="inlineStr">
        <is>
          <t>기타비유동부채</t>
        </is>
      </c>
      <c r="L488" s="29" t="inlineStr">
        <is>
          <t>-</t>
        </is>
      </c>
      <c r="M488" s="29" t="inlineStr">
        <is>
          <t>제 44 기</t>
        </is>
      </c>
      <c r="N488" s="29" t="inlineStr">
        <is>
          <t>560122186.0</t>
        </is>
      </c>
      <c r="O488" s="29" t="inlineStr">
        <is>
          <t>474006205.0</t>
        </is>
      </c>
      <c r="P488" s="29" t="inlineStr">
        <is>
          <t>KRW</t>
        </is>
      </c>
      <c r="Q488" s="29" t="inlineStr">
        <is>
          <t>52</t>
        </is>
      </c>
    </row>
    <row r="489" ht="24" customHeight="1">
      <c r="A489" s="24" t="inlineStr">
        <is>
          <t>OpenDART_fnlttSinglAcntAll</t>
        </is>
      </c>
      <c r="B489" s="24" t="inlineStr">
        <is>
          <t>00161383</t>
        </is>
      </c>
      <c r="C489" s="24" t="inlineStr">
        <is>
          <t>한미반도체</t>
        </is>
      </c>
      <c r="D489" s="24" t="inlineStr">
        <is>
          <t>hanmi</t>
        </is>
      </c>
      <c r="E489" s="24" t="inlineStr">
        <is>
          <t>042700</t>
        </is>
      </c>
      <c r="F489" s="24" t="inlineStr">
        <is>
          <t>2023</t>
        </is>
      </c>
      <c r="G489" s="24" t="inlineStr">
        <is>
          <t>CFS</t>
        </is>
      </c>
      <c r="H489" s="24" t="inlineStr">
        <is>
          <t>CIS</t>
        </is>
      </c>
      <c r="I489" s="24" t="inlineStr">
        <is>
          <t>포괄손익계산서</t>
        </is>
      </c>
      <c r="J489" s="24" t="inlineStr">
        <is>
          <t>dart_OperatingIncomeLoss</t>
        </is>
      </c>
      <c r="K489" s="24" t="inlineStr">
        <is>
          <t>영업이익</t>
        </is>
      </c>
      <c r="L489" s="24" t="inlineStr">
        <is>
          <t>-</t>
        </is>
      </c>
      <c r="M489" s="24" t="inlineStr">
        <is>
          <t>제 44 기</t>
        </is>
      </c>
      <c r="N489" s="24" t="inlineStr">
        <is>
          <t>34571410992.0</t>
        </is>
      </c>
      <c r="O489" s="24" t="inlineStr">
        <is>
          <t>111859422080.0</t>
        </is>
      </c>
      <c r="P489" s="24" t="inlineStr">
        <is>
          <t>KRW</t>
        </is>
      </c>
      <c r="Q489" s="24" t="inlineStr">
        <is>
          <t>6</t>
        </is>
      </c>
    </row>
    <row r="490" ht="24" customHeight="1">
      <c r="A490" s="29" t="inlineStr">
        <is>
          <t>OpenDART_fnlttSinglAcntAll</t>
        </is>
      </c>
      <c r="B490" s="29" t="inlineStr">
        <is>
          <t>00161383</t>
        </is>
      </c>
      <c r="C490" s="29" t="inlineStr">
        <is>
          <t>한미반도체</t>
        </is>
      </c>
      <c r="D490" s="29" t="inlineStr">
        <is>
          <t>hanmi</t>
        </is>
      </c>
      <c r="E490" s="29" t="inlineStr">
        <is>
          <t>042700</t>
        </is>
      </c>
      <c r="F490" s="29" t="inlineStr">
        <is>
          <t>2023</t>
        </is>
      </c>
      <c r="G490" s="29" t="inlineStr">
        <is>
          <t>CFS</t>
        </is>
      </c>
      <c r="H490" s="29" t="inlineStr">
        <is>
          <t>CIS</t>
        </is>
      </c>
      <c r="I490" s="29" t="inlineStr">
        <is>
          <t>포괄손익계산서</t>
        </is>
      </c>
      <c r="J490" s="29" t="inlineStr">
        <is>
          <t>dart_OtherGains</t>
        </is>
      </c>
      <c r="K490" s="29" t="inlineStr">
        <is>
          <t>기타영업외수익</t>
        </is>
      </c>
      <c r="L490" s="29" t="inlineStr">
        <is>
          <t>-</t>
        </is>
      </c>
      <c r="M490" s="29" t="inlineStr">
        <is>
          <t>제 44 기</t>
        </is>
      </c>
      <c r="N490" s="29" t="inlineStr">
        <is>
          <t>300256406809.0</t>
        </is>
      </c>
      <c r="O490" s="29" t="inlineStr">
        <is>
          <t>5622842109.0</t>
        </is>
      </c>
      <c r="P490" s="29" t="inlineStr">
        <is>
          <t>KRW</t>
        </is>
      </c>
      <c r="Q490" s="29" t="inlineStr">
        <is>
          <t>7</t>
        </is>
      </c>
    </row>
    <row r="491" ht="24" customHeight="1">
      <c r="A491" s="24" t="inlineStr">
        <is>
          <t>OpenDART_fnlttSinglAcntAll</t>
        </is>
      </c>
      <c r="B491" s="24" t="inlineStr">
        <is>
          <t>00161383</t>
        </is>
      </c>
      <c r="C491" s="24" t="inlineStr">
        <is>
          <t>한미반도체</t>
        </is>
      </c>
      <c r="D491" s="24" t="inlineStr">
        <is>
          <t>hanmi</t>
        </is>
      </c>
      <c r="E491" s="24" t="inlineStr">
        <is>
          <t>042700</t>
        </is>
      </c>
      <c r="F491" s="24" t="inlineStr">
        <is>
          <t>2023</t>
        </is>
      </c>
      <c r="G491" s="24" t="inlineStr">
        <is>
          <t>CFS</t>
        </is>
      </c>
      <c r="H491" s="24" t="inlineStr">
        <is>
          <t>CIS</t>
        </is>
      </c>
      <c r="I491" s="24" t="inlineStr">
        <is>
          <t>포괄손익계산서</t>
        </is>
      </c>
      <c r="J491" s="24" t="inlineStr">
        <is>
          <t>dart_TotalSellingGeneralAdministrativeExpenses</t>
        </is>
      </c>
      <c r="K491" s="24" t="inlineStr">
        <is>
          <t>판매비와관리비</t>
        </is>
      </c>
      <c r="L491" s="24" t="inlineStr">
        <is>
          <t>-</t>
        </is>
      </c>
      <c r="M491" s="24" t="inlineStr">
        <is>
          <t>제 44 기</t>
        </is>
      </c>
      <c r="N491" s="24" t="inlineStr">
        <is>
          <t>28972848032.0</t>
        </is>
      </c>
      <c r="O491" s="24" t="inlineStr">
        <is>
          <t>54910431420.0</t>
        </is>
      </c>
      <c r="P491" s="24" t="inlineStr">
        <is>
          <t>KRW</t>
        </is>
      </c>
      <c r="Q491" s="24" t="inlineStr">
        <is>
          <t>8</t>
        </is>
      </c>
    </row>
    <row r="492" ht="24" customHeight="1">
      <c r="A492" s="29" t="inlineStr">
        <is>
          <t>OpenDART_fnlttSinglAcntAll</t>
        </is>
      </c>
      <c r="B492" s="29" t="inlineStr">
        <is>
          <t>00161383</t>
        </is>
      </c>
      <c r="C492" s="29" t="inlineStr">
        <is>
          <t>한미반도체</t>
        </is>
      </c>
      <c r="D492" s="29" t="inlineStr">
        <is>
          <t>hanmi</t>
        </is>
      </c>
      <c r="E492" s="29" t="inlineStr">
        <is>
          <t>042700</t>
        </is>
      </c>
      <c r="F492" s="29" t="inlineStr">
        <is>
          <t>2023</t>
        </is>
      </c>
      <c r="G492" s="29" t="inlineStr">
        <is>
          <t>CFS</t>
        </is>
      </c>
      <c r="H492" s="29" t="inlineStr">
        <is>
          <t>CIS</t>
        </is>
      </c>
      <c r="I492" s="29" t="inlineStr">
        <is>
          <t>포괄손익계산서</t>
        </is>
      </c>
      <c r="J492" s="29" t="inlineStr">
        <is>
          <t>-표준계정코드 미사용-</t>
        </is>
      </c>
      <c r="K492" s="29" t="inlineStr">
        <is>
          <t>연구개발비</t>
        </is>
      </c>
      <c r="L492" s="29" t="inlineStr">
        <is>
          <t>-</t>
        </is>
      </c>
      <c r="M492" s="29" t="inlineStr">
        <is>
          <t>제 44 기</t>
        </is>
      </c>
      <c r="N492" s="29" t="inlineStr">
        <is>
          <t>15859690104.0</t>
        </is>
      </c>
      <c r="O492" s="29" t="inlineStr">
        <is>
          <t>18266502256.0</t>
        </is>
      </c>
      <c r="P492" s="29" t="inlineStr">
        <is>
          <t>KRW</t>
        </is>
      </c>
      <c r="Q492" s="29" t="inlineStr">
        <is>
          <t>9</t>
        </is>
      </c>
    </row>
    <row r="493" ht="24" customHeight="1">
      <c r="A493" s="24" t="inlineStr">
        <is>
          <t>OpenDART_fnlttSinglAcntAll</t>
        </is>
      </c>
      <c r="B493" s="24" t="inlineStr">
        <is>
          <t>00161383</t>
        </is>
      </c>
      <c r="C493" s="24" t="inlineStr">
        <is>
          <t>한미반도체</t>
        </is>
      </c>
      <c r="D493" s="24" t="inlineStr">
        <is>
          <t>hanmi</t>
        </is>
      </c>
      <c r="E493" s="24" t="inlineStr">
        <is>
          <t>042700</t>
        </is>
      </c>
      <c r="F493" s="24" t="inlineStr">
        <is>
          <t>2023</t>
        </is>
      </c>
      <c r="G493" s="24" t="inlineStr">
        <is>
          <t>CFS</t>
        </is>
      </c>
      <c r="H493" s="24" t="inlineStr">
        <is>
          <t>CIS</t>
        </is>
      </c>
      <c r="I493" s="24" t="inlineStr">
        <is>
          <t>포괄손익계산서</t>
        </is>
      </c>
      <c r="J493" s="24" t="inlineStr">
        <is>
          <t>-표준계정코드 미사용-</t>
        </is>
      </c>
      <c r="K493" s="24" t="inlineStr">
        <is>
          <t>기타영업외비용</t>
        </is>
      </c>
      <c r="L493" s="24" t="inlineStr">
        <is>
          <t>-</t>
        </is>
      </c>
      <c r="M493" s="24" t="inlineStr">
        <is>
          <t>제 44 기</t>
        </is>
      </c>
      <c r="N493" s="24" t="inlineStr">
        <is>
          <t>1634208906.0</t>
        </is>
      </c>
      <c r="O493" s="24" t="inlineStr">
        <is>
          <t>1508087362.0</t>
        </is>
      </c>
      <c r="P493" s="24" t="inlineStr">
        <is>
          <t>KRW</t>
        </is>
      </c>
      <c r="Q493" s="24" t="inlineStr">
        <is>
          <t>10</t>
        </is>
      </c>
    </row>
    <row r="494" ht="24" customHeight="1">
      <c r="A494" s="29" t="inlineStr">
        <is>
          <t>OpenDART_fnlttSinglAcntAll</t>
        </is>
      </c>
      <c r="B494" s="29" t="inlineStr">
        <is>
          <t>00161383</t>
        </is>
      </c>
      <c r="C494" s="29" t="inlineStr">
        <is>
          <t>한미반도체</t>
        </is>
      </c>
      <c r="D494" s="29" t="inlineStr">
        <is>
          <t>hanmi</t>
        </is>
      </c>
      <c r="E494" s="29" t="inlineStr">
        <is>
          <t>042700</t>
        </is>
      </c>
      <c r="F494" s="29" t="inlineStr">
        <is>
          <t>2023</t>
        </is>
      </c>
      <c r="G494" s="29" t="inlineStr">
        <is>
          <t>CFS</t>
        </is>
      </c>
      <c r="H494" s="29" t="inlineStr">
        <is>
          <t>CIS</t>
        </is>
      </c>
      <c r="I494" s="29" t="inlineStr">
        <is>
          <t>포괄손익계산서</t>
        </is>
      </c>
      <c r="J494" s="29" t="inlineStr">
        <is>
          <t>-표준계정코드 미사용-</t>
        </is>
      </c>
      <c r="K494" s="29" t="inlineStr">
        <is>
          <t>관계기업투자손익</t>
        </is>
      </c>
      <c r="L494" s="29" t="inlineStr">
        <is>
          <t>-</t>
        </is>
      </c>
      <c r="M494" s="29" t="inlineStr">
        <is>
          <t>제 44 기</t>
        </is>
      </c>
      <c r="N494" s="29" t="inlineStr">
        <is>
          <t>4374357077.0</t>
        </is>
      </c>
      <c r="O494" s="29" t="inlineStr">
        <is>
          <t>1180984703.0</t>
        </is>
      </c>
      <c r="P494" s="29" t="inlineStr">
        <is>
          <t>KRW</t>
        </is>
      </c>
      <c r="Q494" s="29" t="inlineStr">
        <is>
          <t>11</t>
        </is>
      </c>
    </row>
    <row r="495" ht="24" customHeight="1">
      <c r="A495" s="24" t="inlineStr">
        <is>
          <t>OpenDART_fnlttSinglAcntAll</t>
        </is>
      </c>
      <c r="B495" s="24" t="inlineStr">
        <is>
          <t>00161383</t>
        </is>
      </c>
      <c r="C495" s="24" t="inlineStr">
        <is>
          <t>한미반도체</t>
        </is>
      </c>
      <c r="D495" s="24" t="inlineStr">
        <is>
          <t>hanmi</t>
        </is>
      </c>
      <c r="E495" s="24" t="inlineStr">
        <is>
          <t>042700</t>
        </is>
      </c>
      <c r="F495" s="24" t="inlineStr">
        <is>
          <t>2023</t>
        </is>
      </c>
      <c r="G495" s="24" t="inlineStr">
        <is>
          <t>CFS</t>
        </is>
      </c>
      <c r="H495" s="24" t="inlineStr">
        <is>
          <t>CIS</t>
        </is>
      </c>
      <c r="I495" s="24" t="inlineStr">
        <is>
          <t>포괄손익계산서</t>
        </is>
      </c>
      <c r="J495" s="24" t="inlineStr">
        <is>
          <t>ifrs-full_ComprehensiveIncome</t>
        </is>
      </c>
      <c r="K495" s="24" t="inlineStr">
        <is>
          <t>총포괄이익</t>
        </is>
      </c>
      <c r="L495" s="24" t="inlineStr">
        <is>
          <t>-</t>
        </is>
      </c>
      <c r="M495" s="24" t="inlineStr">
        <is>
          <t>제 44 기</t>
        </is>
      </c>
      <c r="N495" s="24" t="inlineStr">
        <is>
          <t>266416214999.0</t>
        </is>
      </c>
      <c r="O495" s="24" t="inlineStr">
        <is>
          <t>92956446209.0</t>
        </is>
      </c>
      <c r="P495" s="24" t="inlineStr">
        <is>
          <t>KRW</t>
        </is>
      </c>
      <c r="Q495" s="24" t="inlineStr">
        <is>
          <t>12</t>
        </is>
      </c>
    </row>
    <row r="496" ht="24" customHeight="1">
      <c r="A496" s="29" t="inlineStr">
        <is>
          <t>OpenDART_fnlttSinglAcntAll</t>
        </is>
      </c>
      <c r="B496" s="29" t="inlineStr">
        <is>
          <t>00161383</t>
        </is>
      </c>
      <c r="C496" s="29" t="inlineStr">
        <is>
          <t>한미반도체</t>
        </is>
      </c>
      <c r="D496" s="29" t="inlineStr">
        <is>
          <t>hanmi</t>
        </is>
      </c>
      <c r="E496" s="29" t="inlineStr">
        <is>
          <t>042700</t>
        </is>
      </c>
      <c r="F496" s="29" t="inlineStr">
        <is>
          <t>2023</t>
        </is>
      </c>
      <c r="G496" s="29" t="inlineStr">
        <is>
          <t>CFS</t>
        </is>
      </c>
      <c r="H496" s="29" t="inlineStr">
        <is>
          <t>CIS</t>
        </is>
      </c>
      <c r="I496" s="29" t="inlineStr">
        <is>
          <t>포괄손익계산서</t>
        </is>
      </c>
      <c r="J496" s="29" t="inlineStr">
        <is>
          <t>ifrs-full_ComprehensiveIncomeAttributableToNoncontrollingInterests</t>
        </is>
      </c>
      <c r="K496" s="29" t="inlineStr">
        <is>
          <t>비지배지분포괄이익</t>
        </is>
      </c>
      <c r="L496" s="29" t="inlineStr">
        <is>
          <t>-</t>
        </is>
      </c>
      <c r="M496" s="29" t="inlineStr">
        <is>
          <t>제 44 기</t>
        </is>
      </c>
      <c r="N496" s="29" t="inlineStr">
        <is>
          <t>0.0</t>
        </is>
      </c>
      <c r="O496" s="29" t="inlineStr">
        <is>
          <t>0.0</t>
        </is>
      </c>
      <c r="P496" s="29" t="inlineStr">
        <is>
          <t>KRW</t>
        </is>
      </c>
      <c r="Q496" s="29" t="inlineStr">
        <is>
          <t>14</t>
        </is>
      </c>
    </row>
    <row r="497" ht="24" customHeight="1">
      <c r="A497" s="24" t="inlineStr">
        <is>
          <t>OpenDART_fnlttSinglAcntAll</t>
        </is>
      </c>
      <c r="B497" s="24" t="inlineStr">
        <is>
          <t>00161383</t>
        </is>
      </c>
      <c r="C497" s="24" t="inlineStr">
        <is>
          <t>한미반도체</t>
        </is>
      </c>
      <c r="D497" s="24" t="inlineStr">
        <is>
          <t>hanmi</t>
        </is>
      </c>
      <c r="E497" s="24" t="inlineStr">
        <is>
          <t>042700</t>
        </is>
      </c>
      <c r="F497" s="24" t="inlineStr">
        <is>
          <t>2023</t>
        </is>
      </c>
      <c r="G497" s="24" t="inlineStr">
        <is>
          <t>CFS</t>
        </is>
      </c>
      <c r="H497" s="24" t="inlineStr">
        <is>
          <t>CIS</t>
        </is>
      </c>
      <c r="I497" s="24" t="inlineStr">
        <is>
          <t>포괄손익계산서</t>
        </is>
      </c>
      <c r="J497" s="24" t="inlineStr">
        <is>
          <t>ifrs-full_ComprehensiveIncomeAttributableToOwnersOfParent</t>
        </is>
      </c>
      <c r="K497" s="24" t="inlineStr">
        <is>
          <t>지배기업지분포괄이익</t>
        </is>
      </c>
      <c r="L497" s="24" t="inlineStr">
        <is>
          <t>-</t>
        </is>
      </c>
      <c r="M497" s="24" t="inlineStr">
        <is>
          <t>제 44 기</t>
        </is>
      </c>
      <c r="N497" s="24" t="inlineStr">
        <is>
          <t>266416214999.0</t>
        </is>
      </c>
      <c r="O497" s="24" t="inlineStr">
        <is>
          <t>92956446209.0</t>
        </is>
      </c>
      <c r="P497" s="24" t="inlineStr">
        <is>
          <t>KRW</t>
        </is>
      </c>
      <c r="Q497" s="24" t="inlineStr">
        <is>
          <t>15</t>
        </is>
      </c>
    </row>
    <row r="498" ht="24" customHeight="1">
      <c r="A498" s="29" t="inlineStr">
        <is>
          <t>OpenDART_fnlttSinglAcntAll</t>
        </is>
      </c>
      <c r="B498" s="29" t="inlineStr">
        <is>
          <t>00161383</t>
        </is>
      </c>
      <c r="C498" s="29" t="inlineStr">
        <is>
          <t>한미반도체</t>
        </is>
      </c>
      <c r="D498" s="29" t="inlineStr">
        <is>
          <t>hanmi</t>
        </is>
      </c>
      <c r="E498" s="29" t="inlineStr">
        <is>
          <t>042700</t>
        </is>
      </c>
      <c r="F498" s="29" t="inlineStr">
        <is>
          <t>2023</t>
        </is>
      </c>
      <c r="G498" s="29" t="inlineStr">
        <is>
          <t>CFS</t>
        </is>
      </c>
      <c r="H498" s="29" t="inlineStr">
        <is>
          <t>CIS</t>
        </is>
      </c>
      <c r="I498" s="29" t="inlineStr">
        <is>
          <t>포괄손익계산서</t>
        </is>
      </c>
      <c r="J498" s="29" t="inlineStr">
        <is>
          <t>ifrs-full_CostOfSales</t>
        </is>
      </c>
      <c r="K498" s="29" t="inlineStr">
        <is>
          <t>매출원가</t>
        </is>
      </c>
      <c r="L498" s="29" t="inlineStr">
        <is>
          <t>-</t>
        </is>
      </c>
      <c r="M498" s="29" t="inlineStr">
        <is>
          <t>제 44 기</t>
        </is>
      </c>
      <c r="N498" s="29" t="inlineStr">
        <is>
          <t>79604579238.0</t>
        </is>
      </c>
      <c r="O498" s="29" t="inlineStr">
        <is>
          <t>142555702958.0</t>
        </is>
      </c>
      <c r="P498" s="29" t="inlineStr">
        <is>
          <t>KRW</t>
        </is>
      </c>
      <c r="Q498" s="29" t="inlineStr">
        <is>
          <t>16</t>
        </is>
      </c>
    </row>
    <row r="499" ht="24" customHeight="1">
      <c r="A499" s="24" t="inlineStr">
        <is>
          <t>OpenDART_fnlttSinglAcntAll</t>
        </is>
      </c>
      <c r="B499" s="24" t="inlineStr">
        <is>
          <t>00161383</t>
        </is>
      </c>
      <c r="C499" s="24" t="inlineStr">
        <is>
          <t>한미반도체</t>
        </is>
      </c>
      <c r="D499" s="24" t="inlineStr">
        <is>
          <t>hanmi</t>
        </is>
      </c>
      <c r="E499" s="24" t="inlineStr">
        <is>
          <t>042700</t>
        </is>
      </c>
      <c r="F499" s="24" t="inlineStr">
        <is>
          <t>2023</t>
        </is>
      </c>
      <c r="G499" s="24" t="inlineStr">
        <is>
          <t>CFS</t>
        </is>
      </c>
      <c r="H499" s="24" t="inlineStr">
        <is>
          <t>CIS</t>
        </is>
      </c>
      <c r="I499" s="24" t="inlineStr">
        <is>
          <t>포괄손익계산서</t>
        </is>
      </c>
      <c r="J499" s="24" t="inlineStr">
        <is>
          <t>ifrs-full_BasicEarningsLossPerShare</t>
        </is>
      </c>
      <c r="K499" s="24" t="inlineStr">
        <is>
          <t>기본주당이익(손실)</t>
        </is>
      </c>
      <c r="L499" s="24" t="inlineStr">
        <is>
          <t>-</t>
        </is>
      </c>
      <c r="M499" s="24" t="inlineStr">
        <is>
          <t>제 44 기</t>
        </is>
      </c>
      <c r="N499" s="24" t="inlineStr">
        <is>
          <t>2753.0</t>
        </is>
      </c>
      <c r="O499" s="24" t="inlineStr">
        <is>
          <t>939.0</t>
        </is>
      </c>
      <c r="P499" s="24" t="inlineStr">
        <is>
          <t>KRW</t>
        </is>
      </c>
      <c r="Q499" s="24" t="inlineStr">
        <is>
          <t>18</t>
        </is>
      </c>
    </row>
    <row r="500" ht="24" customHeight="1">
      <c r="A500" s="29" t="inlineStr">
        <is>
          <t>OpenDART_fnlttSinglAcntAll</t>
        </is>
      </c>
      <c r="B500" s="29" t="inlineStr">
        <is>
          <t>00161383</t>
        </is>
      </c>
      <c r="C500" s="29" t="inlineStr">
        <is>
          <t>한미반도체</t>
        </is>
      </c>
      <c r="D500" s="29" t="inlineStr">
        <is>
          <t>hanmi</t>
        </is>
      </c>
      <c r="E500" s="29" t="inlineStr">
        <is>
          <t>042700</t>
        </is>
      </c>
      <c r="F500" s="29" t="inlineStr">
        <is>
          <t>2023</t>
        </is>
      </c>
      <c r="G500" s="29" t="inlineStr">
        <is>
          <t>CFS</t>
        </is>
      </c>
      <c r="H500" s="29" t="inlineStr">
        <is>
          <t>CIS</t>
        </is>
      </c>
      <c r="I500" s="29" t="inlineStr">
        <is>
          <t>포괄손익계산서</t>
        </is>
      </c>
      <c r="J500" s="29" t="inlineStr">
        <is>
          <t>ifrs-full_DilutedEarningsLossPerShare</t>
        </is>
      </c>
      <c r="K500" s="29" t="inlineStr">
        <is>
          <t>희석주당이익(손실)</t>
        </is>
      </c>
      <c r="L500" s="29" t="inlineStr">
        <is>
          <t>-</t>
        </is>
      </c>
      <c r="M500" s="29" t="inlineStr">
        <is>
          <t>제 44 기</t>
        </is>
      </c>
      <c r="N500" s="29" t="inlineStr">
        <is>
          <t>2753.0</t>
        </is>
      </c>
      <c r="O500" s="29" t="inlineStr">
        <is>
          <t>939.0</t>
        </is>
      </c>
      <c r="P500" s="29" t="inlineStr">
        <is>
          <t>KRW</t>
        </is>
      </c>
      <c r="Q500" s="29" t="inlineStr">
        <is>
          <t>19</t>
        </is>
      </c>
    </row>
    <row r="501" ht="24" customHeight="1">
      <c r="A501" s="24" t="inlineStr">
        <is>
          <t>OpenDART_fnlttSinglAcntAll</t>
        </is>
      </c>
      <c r="B501" s="24" t="inlineStr">
        <is>
          <t>00161383</t>
        </is>
      </c>
      <c r="C501" s="24" t="inlineStr">
        <is>
          <t>한미반도체</t>
        </is>
      </c>
      <c r="D501" s="24" t="inlineStr">
        <is>
          <t>hanmi</t>
        </is>
      </c>
      <c r="E501" s="24" t="inlineStr">
        <is>
          <t>042700</t>
        </is>
      </c>
      <c r="F501" s="24" t="inlineStr">
        <is>
          <t>2023</t>
        </is>
      </c>
      <c r="G501" s="24" t="inlineStr">
        <is>
          <t>CFS</t>
        </is>
      </c>
      <c r="H501" s="24" t="inlineStr">
        <is>
          <t>CIS</t>
        </is>
      </c>
      <c r="I501" s="24" t="inlineStr">
        <is>
          <t>포괄손익계산서</t>
        </is>
      </c>
      <c r="J501" s="24" t="inlineStr">
        <is>
          <t>ifrs-full_FinanceCosts</t>
        </is>
      </c>
      <c r="K501" s="24" t="inlineStr">
        <is>
          <t>금융비용</t>
        </is>
      </c>
      <c r="L501" s="24" t="inlineStr">
        <is>
          <t>-</t>
        </is>
      </c>
      <c r="M501" s="24" t="inlineStr">
        <is>
          <t>제 44 기</t>
        </is>
      </c>
      <c r="N501" s="24" t="inlineStr">
        <is>
          <t>10157405048.0</t>
        </is>
      </c>
      <c r="O501" s="24" t="inlineStr">
        <is>
          <t>9567800296.0</t>
        </is>
      </c>
      <c r="P501" s="24" t="inlineStr">
        <is>
          <t>KRW</t>
        </is>
      </c>
      <c r="Q501" s="24" t="inlineStr">
        <is>
          <t>20</t>
        </is>
      </c>
    </row>
    <row r="502" ht="24" customHeight="1">
      <c r="A502" s="29" t="inlineStr">
        <is>
          <t>OpenDART_fnlttSinglAcntAll</t>
        </is>
      </c>
      <c r="B502" s="29" t="inlineStr">
        <is>
          <t>00161383</t>
        </is>
      </c>
      <c r="C502" s="29" t="inlineStr">
        <is>
          <t>한미반도체</t>
        </is>
      </c>
      <c r="D502" s="29" t="inlineStr">
        <is>
          <t>hanmi</t>
        </is>
      </c>
      <c r="E502" s="29" t="inlineStr">
        <is>
          <t>042700</t>
        </is>
      </c>
      <c r="F502" s="29" t="inlineStr">
        <is>
          <t>2023</t>
        </is>
      </c>
      <c r="G502" s="29" t="inlineStr">
        <is>
          <t>CFS</t>
        </is>
      </c>
      <c r="H502" s="29" t="inlineStr">
        <is>
          <t>CIS</t>
        </is>
      </c>
      <c r="I502" s="29" t="inlineStr">
        <is>
          <t>포괄손익계산서</t>
        </is>
      </c>
      <c r="J502" s="29" t="inlineStr">
        <is>
          <t>ifrs-full_FinanceIncome</t>
        </is>
      </c>
      <c r="K502" s="29" t="inlineStr">
        <is>
          <t>금융수익</t>
        </is>
      </c>
      <c r="L502" s="29" t="inlineStr">
        <is>
          <t>-</t>
        </is>
      </c>
      <c r="M502" s="29" t="inlineStr">
        <is>
          <t>제 44 기</t>
        </is>
      </c>
      <c r="N502" s="29" t="inlineStr">
        <is>
          <t>17869000863.0</t>
        </is>
      </c>
      <c r="O502" s="29" t="inlineStr">
        <is>
          <t>20256659783.0</t>
        </is>
      </c>
      <c r="P502" s="29" t="inlineStr">
        <is>
          <t>KRW</t>
        </is>
      </c>
      <c r="Q502" s="29" t="inlineStr">
        <is>
          <t>21</t>
        </is>
      </c>
    </row>
    <row r="503" ht="24" customHeight="1">
      <c r="A503" s="24" t="inlineStr">
        <is>
          <t>OpenDART_fnlttSinglAcntAll</t>
        </is>
      </c>
      <c r="B503" s="24" t="inlineStr">
        <is>
          <t>00161383</t>
        </is>
      </c>
      <c r="C503" s="24" t="inlineStr">
        <is>
          <t>한미반도체</t>
        </is>
      </c>
      <c r="D503" s="24" t="inlineStr">
        <is>
          <t>hanmi</t>
        </is>
      </c>
      <c r="E503" s="24" t="inlineStr">
        <is>
          <t>042700</t>
        </is>
      </c>
      <c r="F503" s="24" t="inlineStr">
        <is>
          <t>2023</t>
        </is>
      </c>
      <c r="G503" s="24" t="inlineStr">
        <is>
          <t>CFS</t>
        </is>
      </c>
      <c r="H503" s="24" t="inlineStr">
        <is>
          <t>CIS</t>
        </is>
      </c>
      <c r="I503" s="24" t="inlineStr">
        <is>
          <t>포괄손익계산서</t>
        </is>
      </c>
      <c r="J503" s="24" t="inlineStr">
        <is>
          <t>ifrs-full_GrossProfit</t>
        </is>
      </c>
      <c r="K503" s="24" t="inlineStr">
        <is>
          <t>매출총이익</t>
        </is>
      </c>
      <c r="L503" s="24" t="inlineStr">
        <is>
          <t>-</t>
        </is>
      </c>
      <c r="M503" s="24" t="inlineStr">
        <is>
          <t>제 44 기</t>
        </is>
      </c>
      <c r="N503" s="24" t="inlineStr">
        <is>
          <t>79403949128.0</t>
        </is>
      </c>
      <c r="O503" s="24" t="inlineStr">
        <is>
          <t>185036355756.0</t>
        </is>
      </c>
      <c r="P503" s="24" t="inlineStr">
        <is>
          <t>KRW</t>
        </is>
      </c>
      <c r="Q503" s="24" t="inlineStr">
        <is>
          <t>22</t>
        </is>
      </c>
    </row>
    <row r="504" ht="24" customHeight="1">
      <c r="A504" s="29" t="inlineStr">
        <is>
          <t>OpenDART_fnlttSinglAcntAll</t>
        </is>
      </c>
      <c r="B504" s="29" t="inlineStr">
        <is>
          <t>00161383</t>
        </is>
      </c>
      <c r="C504" s="29" t="inlineStr">
        <is>
          <t>한미반도체</t>
        </is>
      </c>
      <c r="D504" s="29" t="inlineStr">
        <is>
          <t>hanmi</t>
        </is>
      </c>
      <c r="E504" s="29" t="inlineStr">
        <is>
          <t>042700</t>
        </is>
      </c>
      <c r="F504" s="29" t="inlineStr">
        <is>
          <t>2023</t>
        </is>
      </c>
      <c r="G504" s="29" t="inlineStr">
        <is>
          <t>CFS</t>
        </is>
      </c>
      <c r="H504" s="29" t="inlineStr">
        <is>
          <t>CIS</t>
        </is>
      </c>
      <c r="I504" s="29" t="inlineStr">
        <is>
          <t>포괄손익계산서</t>
        </is>
      </c>
      <c r="J504" s="29" t="inlineStr">
        <is>
          <t>ifrs-full_IncomeTaxExpenseContinuingOperations</t>
        </is>
      </c>
      <c r="K504" s="29" t="inlineStr">
        <is>
          <t>법인세비용</t>
        </is>
      </c>
      <c r="L504" s="29" t="inlineStr">
        <is>
          <t>-</t>
        </is>
      </c>
      <c r="M504" s="29" t="inlineStr">
        <is>
          <t>제 44 기</t>
        </is>
      </c>
      <c r="N504" s="29" t="inlineStr">
        <is>
          <t>78112045929.0</t>
        </is>
      </c>
      <c r="O504" s="29" t="inlineStr">
        <is>
          <t>35584763606.0</t>
        </is>
      </c>
      <c r="P504" s="29" t="inlineStr">
        <is>
          <t>KRW</t>
        </is>
      </c>
      <c r="Q504" s="29" t="inlineStr">
        <is>
          <t>23</t>
        </is>
      </c>
    </row>
    <row r="505" ht="24" customHeight="1">
      <c r="A505" s="24" t="inlineStr">
        <is>
          <t>OpenDART_fnlttSinglAcntAll</t>
        </is>
      </c>
      <c r="B505" s="24" t="inlineStr">
        <is>
          <t>00161383</t>
        </is>
      </c>
      <c r="C505" s="24" t="inlineStr">
        <is>
          <t>한미반도체</t>
        </is>
      </c>
      <c r="D505" s="24" t="inlineStr">
        <is>
          <t>hanmi</t>
        </is>
      </c>
      <c r="E505" s="24" t="inlineStr">
        <is>
          <t>042700</t>
        </is>
      </c>
      <c r="F505" s="24" t="inlineStr">
        <is>
          <t>2023</t>
        </is>
      </c>
      <c r="G505" s="24" t="inlineStr">
        <is>
          <t>CFS</t>
        </is>
      </c>
      <c r="H505" s="24" t="inlineStr">
        <is>
          <t>CIS</t>
        </is>
      </c>
      <c r="I505" s="24" t="inlineStr">
        <is>
          <t>포괄손익계산서</t>
        </is>
      </c>
      <c r="J505" s="24" t="inlineStr">
        <is>
          <t>ifrs-full_OtherComprehensiveIncome</t>
        </is>
      </c>
      <c r="K505" s="24" t="inlineStr">
        <is>
          <t>기타포괄손익</t>
        </is>
      </c>
      <c r="L505" s="24" t="inlineStr">
        <is>
          <t>-</t>
        </is>
      </c>
      <c r="M505" s="24" t="inlineStr">
        <is>
          <t>제 44 기</t>
        </is>
      </c>
      <c r="N505" s="24" t="inlineStr">
        <is>
          <t>-751300859.0</t>
        </is>
      </c>
      <c r="O505" s="24" t="inlineStr">
        <is>
          <t>697188798.0</t>
        </is>
      </c>
      <c r="P505" s="24" t="inlineStr">
        <is>
          <t>KRW</t>
        </is>
      </c>
      <c r="Q505" s="24" t="inlineStr">
        <is>
          <t>24</t>
        </is>
      </c>
    </row>
    <row r="506" ht="24" customHeight="1">
      <c r="A506" s="29" t="inlineStr">
        <is>
          <t>OpenDART_fnlttSinglAcntAll</t>
        </is>
      </c>
      <c r="B506" s="29" t="inlineStr">
        <is>
          <t>00161383</t>
        </is>
      </c>
      <c r="C506" s="29" t="inlineStr">
        <is>
          <t>한미반도체</t>
        </is>
      </c>
      <c r="D506" s="29" t="inlineStr">
        <is>
          <t>hanmi</t>
        </is>
      </c>
      <c r="E506" s="29" t="inlineStr">
        <is>
          <t>042700</t>
        </is>
      </c>
      <c r="F506" s="29" t="inlineStr">
        <is>
          <t>2023</t>
        </is>
      </c>
      <c r="G506" s="29" t="inlineStr">
        <is>
          <t>CFS</t>
        </is>
      </c>
      <c r="H506" s="29" t="inlineStr">
        <is>
          <t>CIS</t>
        </is>
      </c>
      <c r="I506" s="29" t="inlineStr">
        <is>
          <t>포괄손익계산서</t>
        </is>
      </c>
      <c r="J506" s="29" t="inlineStr">
        <is>
          <t>ifrs-full_OtherComprehensiveIncomeThatWillBeReclassifiedToProfitOrLossBeforeTax</t>
        </is>
      </c>
      <c r="K506" s="29" t="inlineStr">
        <is>
          <t>후속기간에 당기손익으로 재분류되는 항목</t>
        </is>
      </c>
      <c r="L506" s="29" t="inlineStr">
        <is>
          <t>-</t>
        </is>
      </c>
      <c r="M506" s="29" t="inlineStr">
        <is>
          <t>제 44 기</t>
        </is>
      </c>
      <c r="N506" s="29" t="inlineStr">
        <is>
          <t>-696225481.0</t>
        </is>
      </c>
      <c r="O506" s="29" t="inlineStr">
        <is>
          <t>634913025.0</t>
        </is>
      </c>
      <c r="P506" s="29" t="inlineStr">
        <is>
          <t>KRW</t>
        </is>
      </c>
      <c r="Q506" s="29" t="inlineStr">
        <is>
          <t>25</t>
        </is>
      </c>
    </row>
    <row r="507" ht="24" customHeight="1">
      <c r="A507" s="24" t="inlineStr">
        <is>
          <t>OpenDART_fnlttSinglAcntAll</t>
        </is>
      </c>
      <c r="B507" s="24" t="inlineStr">
        <is>
          <t>00161383</t>
        </is>
      </c>
      <c r="C507" s="24" t="inlineStr">
        <is>
          <t>한미반도체</t>
        </is>
      </c>
      <c r="D507" s="24" t="inlineStr">
        <is>
          <t>hanmi</t>
        </is>
      </c>
      <c r="E507" s="24" t="inlineStr">
        <is>
          <t>042700</t>
        </is>
      </c>
      <c r="F507" s="24" t="inlineStr">
        <is>
          <t>2023</t>
        </is>
      </c>
      <c r="G507" s="24" t="inlineStr">
        <is>
          <t>CFS</t>
        </is>
      </c>
      <c r="H507" s="24" t="inlineStr">
        <is>
          <t>CIS</t>
        </is>
      </c>
      <c r="I507" s="24" t="inlineStr">
        <is>
          <t>포괄손익계산서</t>
        </is>
      </c>
      <c r="J507" s="24" t="inlineStr">
        <is>
          <t>ifrs-full_GainsLossesOnExchangeDifferencesOnTranslationBeforeTax</t>
        </is>
      </c>
      <c r="K507" s="24" t="inlineStr">
        <is>
          <t>해외사업환산손익</t>
        </is>
      </c>
      <c r="L507" s="24" t="inlineStr">
        <is>
          <t>-</t>
        </is>
      </c>
      <c r="M507" s="24" t="inlineStr">
        <is>
          <t>제 44 기</t>
        </is>
      </c>
      <c r="N507" s="24" t="inlineStr">
        <is>
          <t>72723652.0</t>
        </is>
      </c>
      <c r="O507" s="24" t="inlineStr">
        <is>
          <t>-258240445.0</t>
        </is>
      </c>
      <c r="P507" s="24" t="inlineStr">
        <is>
          <t>KRW</t>
        </is>
      </c>
      <c r="Q507" s="24" t="inlineStr">
        <is>
          <t>26</t>
        </is>
      </c>
    </row>
    <row r="508" ht="24" customHeight="1">
      <c r="A508" s="29" t="inlineStr">
        <is>
          <t>OpenDART_fnlttSinglAcntAll</t>
        </is>
      </c>
      <c r="B508" s="29" t="inlineStr">
        <is>
          <t>00161383</t>
        </is>
      </c>
      <c r="C508" s="29" t="inlineStr">
        <is>
          <t>한미반도체</t>
        </is>
      </c>
      <c r="D508" s="29" t="inlineStr">
        <is>
          <t>hanmi</t>
        </is>
      </c>
      <c r="E508" s="29" t="inlineStr">
        <is>
          <t>042700</t>
        </is>
      </c>
      <c r="F508" s="29" t="inlineStr">
        <is>
          <t>2023</t>
        </is>
      </c>
      <c r="G508" s="29" t="inlineStr">
        <is>
          <t>CFS</t>
        </is>
      </c>
      <c r="H508" s="29" t="inlineStr">
        <is>
          <t>CIS</t>
        </is>
      </c>
      <c r="I508" s="29" t="inlineStr">
        <is>
          <t>포괄손익계산서</t>
        </is>
      </c>
      <c r="J508" s="29" t="inlineStr">
        <is>
          <t>ifrs-full_ShareOfOtherComprehensiveIncomeOfAssociatesAndJointVenturesAccountedForUsingEquityMethodThatWillBeReclassifiedToProfitOrLossBeforeTax</t>
        </is>
      </c>
      <c r="K508" s="29" t="inlineStr">
        <is>
          <t>지분법자본변동</t>
        </is>
      </c>
      <c r="L508" s="29" t="inlineStr">
        <is>
          <t>-</t>
        </is>
      </c>
      <c r="M508" s="29" t="inlineStr">
        <is>
          <t>제 44 기</t>
        </is>
      </c>
      <c r="N508" s="29" t="inlineStr">
        <is>
          <t>-768949133.0</t>
        </is>
      </c>
      <c r="O508" s="29" t="inlineStr">
        <is>
          <t>893153470.0</t>
        </is>
      </c>
      <c r="P508" s="29" t="inlineStr">
        <is>
          <t>KRW</t>
        </is>
      </c>
      <c r="Q508" s="29" t="inlineStr">
        <is>
          <t>27</t>
        </is>
      </c>
    </row>
    <row r="509" ht="24" customHeight="1">
      <c r="A509" s="24" t="inlineStr">
        <is>
          <t>OpenDART_fnlttSinglAcntAll</t>
        </is>
      </c>
      <c r="B509" s="24" t="inlineStr">
        <is>
          <t>00161383</t>
        </is>
      </c>
      <c r="C509" s="24" t="inlineStr">
        <is>
          <t>한미반도체</t>
        </is>
      </c>
      <c r="D509" s="24" t="inlineStr">
        <is>
          <t>hanmi</t>
        </is>
      </c>
      <c r="E509" s="24" t="inlineStr">
        <is>
          <t>042700</t>
        </is>
      </c>
      <c r="F509" s="24" t="inlineStr">
        <is>
          <t>2023</t>
        </is>
      </c>
      <c r="G509" s="24" t="inlineStr">
        <is>
          <t>CFS</t>
        </is>
      </c>
      <c r="H509" s="24" t="inlineStr">
        <is>
          <t>CIS</t>
        </is>
      </c>
      <c r="I509" s="24" t="inlineStr">
        <is>
          <t>포괄손익계산서</t>
        </is>
      </c>
      <c r="J509" s="24" t="inlineStr">
        <is>
          <t>ifrs-full_OtherComprehensiveIncomeThatWillNotBeReclassifiedToProfitOrLossBeforeTax</t>
        </is>
      </c>
      <c r="K509" s="24" t="inlineStr">
        <is>
          <t>후속기간에 당기손익으로 재분류되지않는 항목</t>
        </is>
      </c>
      <c r="L509" s="24" t="inlineStr">
        <is>
          <t>-</t>
        </is>
      </c>
      <c r="M509" s="24" t="inlineStr">
        <is>
          <t>제 44 기</t>
        </is>
      </c>
      <c r="N509" s="24" t="inlineStr">
        <is>
          <t>-55075378.0</t>
        </is>
      </c>
      <c r="O509" s="24" t="inlineStr">
        <is>
          <t>62275773.0</t>
        </is>
      </c>
      <c r="P509" s="24" t="inlineStr">
        <is>
          <t>KRW</t>
        </is>
      </c>
      <c r="Q509" s="24" t="inlineStr">
        <is>
          <t>28</t>
        </is>
      </c>
    </row>
    <row r="510" ht="24" customHeight="1">
      <c r="A510" s="29" t="inlineStr">
        <is>
          <t>OpenDART_fnlttSinglAcntAll</t>
        </is>
      </c>
      <c r="B510" s="29" t="inlineStr">
        <is>
          <t>00161383</t>
        </is>
      </c>
      <c r="C510" s="29" t="inlineStr">
        <is>
          <t>한미반도체</t>
        </is>
      </c>
      <c r="D510" s="29" t="inlineStr">
        <is>
          <t>hanmi</t>
        </is>
      </c>
      <c r="E510" s="29" t="inlineStr">
        <is>
          <t>042700</t>
        </is>
      </c>
      <c r="F510" s="29" t="inlineStr">
        <is>
          <t>2023</t>
        </is>
      </c>
      <c r="G510" s="29" t="inlineStr">
        <is>
          <t>CFS</t>
        </is>
      </c>
      <c r="H510" s="29" t="inlineStr">
        <is>
          <t>CIS</t>
        </is>
      </c>
      <c r="I510" s="29" t="inlineStr">
        <is>
          <t>포괄손익계산서</t>
        </is>
      </c>
      <c r="J510" s="29" t="inlineStr">
        <is>
          <t>ifrs-full_IncomeTaxRelatingToComponentsOfOtherComprehensiveIncomeThatWillNotBeReclassifiedToProfitOrLoss</t>
        </is>
      </c>
      <c r="K510" s="29" t="inlineStr">
        <is>
          <t>법인세효과</t>
        </is>
      </c>
      <c r="L510" s="29" t="inlineStr">
        <is>
          <t>-</t>
        </is>
      </c>
      <c r="M510" s="29" t="inlineStr">
        <is>
          <t>제 44 기</t>
        </is>
      </c>
      <c r="N510" s="29" t="inlineStr">
        <is>
          <t>-16544100.0</t>
        </is>
      </c>
      <c r="O510" s="29" t="inlineStr">
        <is>
          <t>18812473.0</t>
        </is>
      </c>
      <c r="P510" s="29" t="inlineStr">
        <is>
          <t>KRW</t>
        </is>
      </c>
      <c r="Q510" s="29" t="inlineStr">
        <is>
          <t>29</t>
        </is>
      </c>
    </row>
    <row r="511" ht="24" customHeight="1">
      <c r="A511" s="24" t="inlineStr">
        <is>
          <t>OpenDART_fnlttSinglAcntAll</t>
        </is>
      </c>
      <c r="B511" s="24" t="inlineStr">
        <is>
          <t>00161383</t>
        </is>
      </c>
      <c r="C511" s="24" t="inlineStr">
        <is>
          <t>한미반도체</t>
        </is>
      </c>
      <c r="D511" s="24" t="inlineStr">
        <is>
          <t>hanmi</t>
        </is>
      </c>
      <c r="E511" s="24" t="inlineStr">
        <is>
          <t>042700</t>
        </is>
      </c>
      <c r="F511" s="24" t="inlineStr">
        <is>
          <t>2023</t>
        </is>
      </c>
      <c r="G511" s="24" t="inlineStr">
        <is>
          <t>CFS</t>
        </is>
      </c>
      <c r="H511" s="24" t="inlineStr">
        <is>
          <t>CIS</t>
        </is>
      </c>
      <c r="I511" s="24" t="inlineStr">
        <is>
          <t>포괄손익계산서</t>
        </is>
      </c>
      <c r="J511" s="24" t="inlineStr">
        <is>
          <t>ifrs-full_OtherComprehensiveIncomeBeforeTaxGainsLossesOnRemeasurementsOfDefinedBenefitPlans</t>
        </is>
      </c>
      <c r="K511" s="24" t="inlineStr">
        <is>
          <t>확정급여제도의 재측정요소</t>
        </is>
      </c>
      <c r="L511" s="24" t="inlineStr">
        <is>
          <t>-</t>
        </is>
      </c>
      <c r="M511" s="24" t="inlineStr">
        <is>
          <t>제 44 기</t>
        </is>
      </c>
      <c r="N511" s="24" t="inlineStr">
        <is>
          <t>-71619478.0</t>
        </is>
      </c>
      <c r="O511" s="24" t="inlineStr">
        <is>
          <t>81088246.0</t>
        </is>
      </c>
      <c r="P511" s="24" t="inlineStr">
        <is>
          <t>KRW</t>
        </is>
      </c>
      <c r="Q511" s="24" t="inlineStr">
        <is>
          <t>30</t>
        </is>
      </c>
    </row>
    <row r="512" ht="24" customHeight="1">
      <c r="A512" s="29" t="inlineStr">
        <is>
          <t>OpenDART_fnlttSinglAcntAll</t>
        </is>
      </c>
      <c r="B512" s="29" t="inlineStr">
        <is>
          <t>00161383</t>
        </is>
      </c>
      <c r="C512" s="29" t="inlineStr">
        <is>
          <t>한미반도체</t>
        </is>
      </c>
      <c r="D512" s="29" t="inlineStr">
        <is>
          <t>hanmi</t>
        </is>
      </c>
      <c r="E512" s="29" t="inlineStr">
        <is>
          <t>042700</t>
        </is>
      </c>
      <c r="F512" s="29" t="inlineStr">
        <is>
          <t>2023</t>
        </is>
      </c>
      <c r="G512" s="29" t="inlineStr">
        <is>
          <t>CFS</t>
        </is>
      </c>
      <c r="H512" s="29" t="inlineStr">
        <is>
          <t>CIS</t>
        </is>
      </c>
      <c r="I512" s="29" t="inlineStr">
        <is>
          <t>포괄손익계산서</t>
        </is>
      </c>
      <c r="J512" s="29" t="inlineStr">
        <is>
          <t>ifrs-full_ProfitLoss</t>
        </is>
      </c>
      <c r="K512" s="29" t="inlineStr">
        <is>
          <t>당기순이익</t>
        </is>
      </c>
      <c r="L512" s="29" t="inlineStr">
        <is>
          <t>-</t>
        </is>
      </c>
      <c r="M512" s="29" t="inlineStr">
        <is>
          <t>제 44 기</t>
        </is>
      </c>
      <c r="N512" s="29" t="inlineStr">
        <is>
          <t>267167515858.0</t>
        </is>
      </c>
      <c r="O512" s="29" t="inlineStr">
        <is>
          <t>92259257411.0</t>
        </is>
      </c>
      <c r="P512" s="29" t="inlineStr">
        <is>
          <t>KRW</t>
        </is>
      </c>
      <c r="Q512" s="29" t="inlineStr">
        <is>
          <t>31</t>
        </is>
      </c>
    </row>
    <row r="513" ht="24" customHeight="1">
      <c r="A513" s="24" t="inlineStr">
        <is>
          <t>OpenDART_fnlttSinglAcntAll</t>
        </is>
      </c>
      <c r="B513" s="24" t="inlineStr">
        <is>
          <t>00161383</t>
        </is>
      </c>
      <c r="C513" s="24" t="inlineStr">
        <is>
          <t>한미반도체</t>
        </is>
      </c>
      <c r="D513" s="24" t="inlineStr">
        <is>
          <t>hanmi</t>
        </is>
      </c>
      <c r="E513" s="24" t="inlineStr">
        <is>
          <t>042700</t>
        </is>
      </c>
      <c r="F513" s="24" t="inlineStr">
        <is>
          <t>2023</t>
        </is>
      </c>
      <c r="G513" s="24" t="inlineStr">
        <is>
          <t>CFS</t>
        </is>
      </c>
      <c r="H513" s="24" t="inlineStr">
        <is>
          <t>CIS</t>
        </is>
      </c>
      <c r="I513" s="24" t="inlineStr">
        <is>
          <t>포괄손익계산서</t>
        </is>
      </c>
      <c r="J513" s="24" t="inlineStr">
        <is>
          <t>ifrs-full_ProfitLossAttributableToNoncontrollingInterests</t>
        </is>
      </c>
      <c r="K513" s="24" t="inlineStr">
        <is>
          <t>비지배지분순이익</t>
        </is>
      </c>
      <c r="L513" s="24" t="inlineStr">
        <is>
          <t>-</t>
        </is>
      </c>
      <c r="M513" s="24" t="inlineStr">
        <is>
          <t>제 44 기</t>
        </is>
      </c>
      <c r="N513" s="24" t="inlineStr">
        <is>
          <t>0.0</t>
        </is>
      </c>
      <c r="O513" s="24" t="inlineStr">
        <is>
          <t>0.0</t>
        </is>
      </c>
      <c r="P513" s="24" t="inlineStr">
        <is>
          <t>KRW</t>
        </is>
      </c>
      <c r="Q513" s="24" t="inlineStr">
        <is>
          <t>33</t>
        </is>
      </c>
    </row>
    <row r="514" ht="24" customHeight="1">
      <c r="A514" s="29" t="inlineStr">
        <is>
          <t>OpenDART_fnlttSinglAcntAll</t>
        </is>
      </c>
      <c r="B514" s="29" t="inlineStr">
        <is>
          <t>00161383</t>
        </is>
      </c>
      <c r="C514" s="29" t="inlineStr">
        <is>
          <t>한미반도체</t>
        </is>
      </c>
      <c r="D514" s="29" t="inlineStr">
        <is>
          <t>hanmi</t>
        </is>
      </c>
      <c r="E514" s="29" t="inlineStr">
        <is>
          <t>042700</t>
        </is>
      </c>
      <c r="F514" s="29" t="inlineStr">
        <is>
          <t>2023</t>
        </is>
      </c>
      <c r="G514" s="29" t="inlineStr">
        <is>
          <t>CFS</t>
        </is>
      </c>
      <c r="H514" s="29" t="inlineStr">
        <is>
          <t>CIS</t>
        </is>
      </c>
      <c r="I514" s="29" t="inlineStr">
        <is>
          <t>포괄손익계산서</t>
        </is>
      </c>
      <c r="J514" s="29" t="inlineStr">
        <is>
          <t>ifrs-full_ProfitLossAttributableToOwnersOfParent</t>
        </is>
      </c>
      <c r="K514" s="29" t="inlineStr">
        <is>
          <t>지배기업지분순이익</t>
        </is>
      </c>
      <c r="L514" s="29" t="inlineStr">
        <is>
          <t>-</t>
        </is>
      </c>
      <c r="M514" s="29" t="inlineStr">
        <is>
          <t>제 44 기</t>
        </is>
      </c>
      <c r="N514" s="29" t="inlineStr">
        <is>
          <t>267167515858.0</t>
        </is>
      </c>
      <c r="O514" s="29" t="inlineStr">
        <is>
          <t>92259257411.0</t>
        </is>
      </c>
      <c r="P514" s="29" t="inlineStr">
        <is>
          <t>KRW</t>
        </is>
      </c>
      <c r="Q514" s="29" t="inlineStr">
        <is>
          <t>34</t>
        </is>
      </c>
    </row>
    <row r="515" ht="24" customHeight="1">
      <c r="A515" s="24" t="inlineStr">
        <is>
          <t>OpenDART_fnlttSinglAcntAll</t>
        </is>
      </c>
      <c r="B515" s="24" t="inlineStr">
        <is>
          <t>00161383</t>
        </is>
      </c>
      <c r="C515" s="24" t="inlineStr">
        <is>
          <t>한미반도체</t>
        </is>
      </c>
      <c r="D515" s="24" t="inlineStr">
        <is>
          <t>hanmi</t>
        </is>
      </c>
      <c r="E515" s="24" t="inlineStr">
        <is>
          <t>042700</t>
        </is>
      </c>
      <c r="F515" s="24" t="inlineStr">
        <is>
          <t>2023</t>
        </is>
      </c>
      <c r="G515" s="24" t="inlineStr">
        <is>
          <t>CFS</t>
        </is>
      </c>
      <c r="H515" s="24" t="inlineStr">
        <is>
          <t>CIS</t>
        </is>
      </c>
      <c r="I515" s="24" t="inlineStr">
        <is>
          <t>포괄손익계산서</t>
        </is>
      </c>
      <c r="J515" s="24" t="inlineStr">
        <is>
          <t>ifrs-full_ProfitLossBeforeTax</t>
        </is>
      </c>
      <c r="K515" s="24" t="inlineStr">
        <is>
          <t>법인세비용차감전순이익</t>
        </is>
      </c>
      <c r="L515" s="24" t="inlineStr">
        <is>
          <t>-</t>
        </is>
      </c>
      <c r="M515" s="24" t="inlineStr">
        <is>
          <t>제 44 기</t>
        </is>
      </c>
      <c r="N515" s="24" t="inlineStr">
        <is>
          <t>345279561787.0</t>
        </is>
      </c>
      <c r="O515" s="24" t="inlineStr">
        <is>
          <t>127844021017.0</t>
        </is>
      </c>
      <c r="P515" s="24" t="inlineStr">
        <is>
          <t>KRW</t>
        </is>
      </c>
      <c r="Q515" s="24" t="inlineStr">
        <is>
          <t>35</t>
        </is>
      </c>
    </row>
    <row r="516" ht="24" customHeight="1">
      <c r="A516" s="29" t="inlineStr">
        <is>
          <t>OpenDART_fnlttSinglAcntAll</t>
        </is>
      </c>
      <c r="B516" s="29" t="inlineStr">
        <is>
          <t>00161383</t>
        </is>
      </c>
      <c r="C516" s="29" t="inlineStr">
        <is>
          <t>한미반도체</t>
        </is>
      </c>
      <c r="D516" s="29" t="inlineStr">
        <is>
          <t>hanmi</t>
        </is>
      </c>
      <c r="E516" s="29" t="inlineStr">
        <is>
          <t>042700</t>
        </is>
      </c>
      <c r="F516" s="29" t="inlineStr">
        <is>
          <t>2023</t>
        </is>
      </c>
      <c r="G516" s="29" t="inlineStr">
        <is>
          <t>CFS</t>
        </is>
      </c>
      <c r="H516" s="29" t="inlineStr">
        <is>
          <t>CIS</t>
        </is>
      </c>
      <c r="I516" s="29" t="inlineStr">
        <is>
          <t>포괄손익계산서</t>
        </is>
      </c>
      <c r="J516" s="29" t="inlineStr">
        <is>
          <t>ifrs-full_Revenue</t>
        </is>
      </c>
      <c r="K516" s="29" t="inlineStr">
        <is>
          <t>매출액</t>
        </is>
      </c>
      <c r="L516" s="29" t="inlineStr">
        <is>
          <t>-</t>
        </is>
      </c>
      <c r="M516" s="29" t="inlineStr">
        <is>
          <t>제 44 기</t>
        </is>
      </c>
      <c r="N516" s="29" t="inlineStr">
        <is>
          <t>159008528366.0</t>
        </is>
      </c>
      <c r="O516" s="29" t="inlineStr">
        <is>
          <t>327592058714.0</t>
        </is>
      </c>
      <c r="P516" s="29" t="inlineStr">
        <is>
          <t>KRW</t>
        </is>
      </c>
      <c r="Q516" s="29" t="inlineStr">
        <is>
          <t>36</t>
        </is>
      </c>
    </row>
    <row r="517" ht="24" customHeight="1">
      <c r="A517" s="24" t="inlineStr">
        <is>
          <t>OpenDART_fnlttSinglAcntAll</t>
        </is>
      </c>
      <c r="B517" s="24" t="inlineStr">
        <is>
          <t>00161383</t>
        </is>
      </c>
      <c r="C517" s="24" t="inlineStr">
        <is>
          <t>한미반도체</t>
        </is>
      </c>
      <c r="D517" s="24" t="inlineStr">
        <is>
          <t>hanmi</t>
        </is>
      </c>
      <c r="E517" s="24" t="inlineStr">
        <is>
          <t>042700</t>
        </is>
      </c>
      <c r="F517" s="24" t="inlineStr">
        <is>
          <t>2023</t>
        </is>
      </c>
      <c r="G517" s="24" t="inlineStr">
        <is>
          <t>CFS</t>
        </is>
      </c>
      <c r="H517" s="24" t="inlineStr">
        <is>
          <t>CF</t>
        </is>
      </c>
      <c r="I517" s="24" t="inlineStr">
        <is>
          <t>현금흐름표</t>
        </is>
      </c>
      <c r="J517" s="24" t="inlineStr">
        <is>
          <t>dart_CashAndCashEquivalentsAtBeginningOfPeriodCf</t>
        </is>
      </c>
      <c r="K517" s="24" t="inlineStr">
        <is>
          <t>기초현금및현금성자산</t>
        </is>
      </c>
      <c r="L517" s="24" t="inlineStr">
        <is>
          <t>-</t>
        </is>
      </c>
      <c r="M517" s="24" t="inlineStr">
        <is>
          <t>제 44 기</t>
        </is>
      </c>
      <c r="N517" s="24" t="inlineStr">
        <is>
          <t>90895691895.0</t>
        </is>
      </c>
      <c r="O517" s="24" t="inlineStr">
        <is>
          <t>49608464797.0</t>
        </is>
      </c>
      <c r="P517" s="24" t="inlineStr">
        <is>
          <t>KRW</t>
        </is>
      </c>
      <c r="Q517" s="24" t="inlineStr">
        <is>
          <t>2</t>
        </is>
      </c>
    </row>
    <row r="518" ht="24" customHeight="1">
      <c r="A518" s="29" t="inlineStr">
        <is>
          <t>OpenDART_fnlttSinglAcntAll</t>
        </is>
      </c>
      <c r="B518" s="29" t="inlineStr">
        <is>
          <t>00161383</t>
        </is>
      </c>
      <c r="C518" s="29" t="inlineStr">
        <is>
          <t>한미반도체</t>
        </is>
      </c>
      <c r="D518" s="29" t="inlineStr">
        <is>
          <t>hanmi</t>
        </is>
      </c>
      <c r="E518" s="29" t="inlineStr">
        <is>
          <t>042700</t>
        </is>
      </c>
      <c r="F518" s="29" t="inlineStr">
        <is>
          <t>2023</t>
        </is>
      </c>
      <c r="G518" s="29" t="inlineStr">
        <is>
          <t>CFS</t>
        </is>
      </c>
      <c r="H518" s="29" t="inlineStr">
        <is>
          <t>CF</t>
        </is>
      </c>
      <c r="I518" s="29" t="inlineStr">
        <is>
          <t>현금흐름표</t>
        </is>
      </c>
      <c r="J518" s="29" t="inlineStr">
        <is>
          <t>dart_CashAndCashEquivalentsAtEndOfPeriodCf</t>
        </is>
      </c>
      <c r="K518" s="29" t="inlineStr">
        <is>
          <t>기말현금및현금성자산</t>
        </is>
      </c>
      <c r="L518" s="29" t="inlineStr">
        <is>
          <t>-</t>
        </is>
      </c>
      <c r="M518" s="29" t="inlineStr">
        <is>
          <t>제 44 기</t>
        </is>
      </c>
      <c r="N518" s="29" t="inlineStr">
        <is>
          <t>179732421459.0</t>
        </is>
      </c>
      <c r="O518" s="29" t="inlineStr">
        <is>
          <t>90895691895.0</t>
        </is>
      </c>
      <c r="P518" s="29" t="inlineStr">
        <is>
          <t>KRW</t>
        </is>
      </c>
      <c r="Q518" s="29" t="inlineStr">
        <is>
          <t>3</t>
        </is>
      </c>
    </row>
    <row r="519" ht="24" customHeight="1">
      <c r="A519" s="24" t="inlineStr">
        <is>
          <t>OpenDART_fnlttSinglAcntAll</t>
        </is>
      </c>
      <c r="B519" s="24" t="inlineStr">
        <is>
          <t>00161383</t>
        </is>
      </c>
      <c r="C519" s="24" t="inlineStr">
        <is>
          <t>한미반도체</t>
        </is>
      </c>
      <c r="D519" s="24" t="inlineStr">
        <is>
          <t>hanmi</t>
        </is>
      </c>
      <c r="E519" s="24" t="inlineStr">
        <is>
          <t>042700</t>
        </is>
      </c>
      <c r="F519" s="24" t="inlineStr">
        <is>
          <t>2023</t>
        </is>
      </c>
      <c r="G519" s="24" t="inlineStr">
        <is>
          <t>CFS</t>
        </is>
      </c>
      <c r="H519" s="24" t="inlineStr">
        <is>
          <t>CF</t>
        </is>
      </c>
      <c r="I519" s="24" t="inlineStr">
        <is>
          <t>현금흐름표</t>
        </is>
      </c>
      <c r="J519" s="24" t="inlineStr">
        <is>
          <t>-표준계정코드 미사용-</t>
        </is>
      </c>
      <c r="K519" s="24" t="inlineStr">
        <is>
          <t>외화표시현금및현금성자산의환율변동효과</t>
        </is>
      </c>
      <c r="L519" s="24" t="inlineStr">
        <is>
          <t>-</t>
        </is>
      </c>
      <c r="M519" s="24" t="inlineStr">
        <is>
          <t>제 44 기</t>
        </is>
      </c>
      <c r="N519" s="24" t="inlineStr">
        <is>
          <t>2831861208.0</t>
        </is>
      </c>
      <c r="O519" s="24" t="inlineStr">
        <is>
          <t>706887450.0</t>
        </is>
      </c>
      <c r="P519" s="24" t="inlineStr">
        <is>
          <t>KRW</t>
        </is>
      </c>
      <c r="Q519" s="24" t="inlineStr">
        <is>
          <t>8</t>
        </is>
      </c>
    </row>
    <row r="520" ht="24" customHeight="1">
      <c r="A520" s="29" t="inlineStr">
        <is>
          <t>OpenDART_fnlttSinglAcntAll</t>
        </is>
      </c>
      <c r="B520" s="29" t="inlineStr">
        <is>
          <t>00161383</t>
        </is>
      </c>
      <c r="C520" s="29" t="inlineStr">
        <is>
          <t>한미반도체</t>
        </is>
      </c>
      <c r="D520" s="29" t="inlineStr">
        <is>
          <t>hanmi</t>
        </is>
      </c>
      <c r="E520" s="29" t="inlineStr">
        <is>
          <t>042700</t>
        </is>
      </c>
      <c r="F520" s="29" t="inlineStr">
        <is>
          <t>2023</t>
        </is>
      </c>
      <c r="G520" s="29" t="inlineStr">
        <is>
          <t>CFS</t>
        </is>
      </c>
      <c r="H520" s="29" t="inlineStr">
        <is>
          <t>CF</t>
        </is>
      </c>
      <c r="I520" s="29" t="inlineStr">
        <is>
          <t>현금흐름표</t>
        </is>
      </c>
      <c r="J520" s="29" t="inlineStr">
        <is>
          <t>ifrs-full_CashFlowsFromUsedInFinancingActivities</t>
        </is>
      </c>
      <c r="K520" s="29" t="inlineStr">
        <is>
          <t>재무활동현금흐름</t>
        </is>
      </c>
      <c r="L520" s="29" t="inlineStr">
        <is>
          <t>-</t>
        </is>
      </c>
      <c r="M520" s="29" t="inlineStr">
        <is>
          <t>제 44 기</t>
        </is>
      </c>
      <c r="N520" s="29" t="inlineStr">
        <is>
          <t>-43622103656.0</t>
        </is>
      </c>
      <c r="O520" s="29" t="inlineStr">
        <is>
          <t>-50841790287.0</t>
        </is>
      </c>
      <c r="P520" s="29" t="inlineStr">
        <is>
          <t>KRW</t>
        </is>
      </c>
      <c r="Q520" s="29" t="inlineStr">
        <is>
          <t>9</t>
        </is>
      </c>
    </row>
    <row r="521" ht="24" customHeight="1">
      <c r="A521" s="24" t="inlineStr">
        <is>
          <t>OpenDART_fnlttSinglAcntAll</t>
        </is>
      </c>
      <c r="B521" s="24" t="inlineStr">
        <is>
          <t>00161383</t>
        </is>
      </c>
      <c r="C521" s="24" t="inlineStr">
        <is>
          <t>한미반도체</t>
        </is>
      </c>
      <c r="D521" s="24" t="inlineStr">
        <is>
          <t>hanmi</t>
        </is>
      </c>
      <c r="E521" s="24" t="inlineStr">
        <is>
          <t>042700</t>
        </is>
      </c>
      <c r="F521" s="24" t="inlineStr">
        <is>
          <t>2023</t>
        </is>
      </c>
      <c r="G521" s="24" t="inlineStr">
        <is>
          <t>CFS</t>
        </is>
      </c>
      <c r="H521" s="24" t="inlineStr">
        <is>
          <t>CF</t>
        </is>
      </c>
      <c r="I521" s="24" t="inlineStr">
        <is>
          <t>현금흐름표</t>
        </is>
      </c>
      <c r="J521" s="24" t="inlineStr">
        <is>
          <t>dart_AcquisitionOfTreasuryShares</t>
        </is>
      </c>
      <c r="K521" s="24" t="inlineStr">
        <is>
          <t>자기주식의 취득</t>
        </is>
      </c>
      <c r="L521" s="24" t="inlineStr">
        <is>
          <t>-</t>
        </is>
      </c>
      <c r="M521" s="24" t="inlineStr">
        <is>
          <t>제 44 기</t>
        </is>
      </c>
      <c r="N521" s="24" t="inlineStr">
        <is>
          <t>50503615450.0</t>
        </is>
      </c>
      <c r="O521" s="24" t="inlineStr">
        <is>
          <t>19995806500.0</t>
        </is>
      </c>
      <c r="P521" s="24" t="inlineStr">
        <is>
          <t>KRW</t>
        </is>
      </c>
      <c r="Q521" s="24" t="inlineStr">
        <is>
          <t>10</t>
        </is>
      </c>
    </row>
    <row r="522" ht="24" customHeight="1">
      <c r="A522" s="29" t="inlineStr">
        <is>
          <t>OpenDART_fnlttSinglAcntAll</t>
        </is>
      </c>
      <c r="B522" s="29" t="inlineStr">
        <is>
          <t>00161383</t>
        </is>
      </c>
      <c r="C522" s="29" t="inlineStr">
        <is>
          <t>한미반도체</t>
        </is>
      </c>
      <c r="D522" s="29" t="inlineStr">
        <is>
          <t>hanmi</t>
        </is>
      </c>
      <c r="E522" s="29" t="inlineStr">
        <is>
          <t>042700</t>
        </is>
      </c>
      <c r="F522" s="29" t="inlineStr">
        <is>
          <t>2023</t>
        </is>
      </c>
      <c r="G522" s="29" t="inlineStr">
        <is>
          <t>CFS</t>
        </is>
      </c>
      <c r="H522" s="29" t="inlineStr">
        <is>
          <t>CF</t>
        </is>
      </c>
      <c r="I522" s="29" t="inlineStr">
        <is>
          <t>현금흐름표</t>
        </is>
      </c>
      <c r="J522" s="29" t="inlineStr">
        <is>
          <t>dart_PaymentsOfFinanceLeaseLiabilitiesClassifiedAsFinancingActivities</t>
        </is>
      </c>
      <c r="K522" s="29" t="inlineStr">
        <is>
          <t>리스부채상환</t>
        </is>
      </c>
      <c r="L522" s="29" t="inlineStr">
        <is>
          <t>-</t>
        </is>
      </c>
      <c r="M522" s="29" t="inlineStr">
        <is>
          <t>제 44 기</t>
        </is>
      </c>
      <c r="N522" s="29" t="inlineStr">
        <is>
          <t>1288834389.0</t>
        </is>
      </c>
      <c r="O522" s="29" t="inlineStr">
        <is>
          <t>1170057587.0</t>
        </is>
      </c>
      <c r="P522" s="29" t="inlineStr">
        <is>
          <t>KRW</t>
        </is>
      </c>
      <c r="Q522" s="29" t="inlineStr">
        <is>
          <t>11</t>
        </is>
      </c>
    </row>
    <row r="523" ht="24" customHeight="1">
      <c r="A523" s="24" t="inlineStr">
        <is>
          <t>OpenDART_fnlttSinglAcntAll</t>
        </is>
      </c>
      <c r="B523" s="24" t="inlineStr">
        <is>
          <t>00161383</t>
        </is>
      </c>
      <c r="C523" s="24" t="inlineStr">
        <is>
          <t>한미반도체</t>
        </is>
      </c>
      <c r="D523" s="24" t="inlineStr">
        <is>
          <t>hanmi</t>
        </is>
      </c>
      <c r="E523" s="24" t="inlineStr">
        <is>
          <t>042700</t>
        </is>
      </c>
      <c r="F523" s="24" t="inlineStr">
        <is>
          <t>2023</t>
        </is>
      </c>
      <c r="G523" s="24" t="inlineStr">
        <is>
          <t>CFS</t>
        </is>
      </c>
      <c r="H523" s="24" t="inlineStr">
        <is>
          <t>CF</t>
        </is>
      </c>
      <c r="I523" s="24" t="inlineStr">
        <is>
          <t>현금흐름표</t>
        </is>
      </c>
      <c r="J523" s="24" t="inlineStr">
        <is>
          <t>dart_ProceedsFromShortTermBorrowings</t>
        </is>
      </c>
      <c r="K523" s="24" t="inlineStr">
        <is>
          <t>단기차입금의 증가</t>
        </is>
      </c>
      <c r="L523" s="24" t="inlineStr">
        <is>
          <t>-</t>
        </is>
      </c>
      <c r="M523" s="24" t="inlineStr">
        <is>
          <t>제 44 기</t>
        </is>
      </c>
      <c r="N523" s="24" t="inlineStr">
        <is>
          <t>0.0</t>
        </is>
      </c>
      <c r="O523" s="24" t="inlineStr">
        <is>
          <t>11166991039.0</t>
        </is>
      </c>
      <c r="P523" s="24" t="inlineStr">
        <is>
          <t>KRW</t>
        </is>
      </c>
      <c r="Q523" s="24" t="inlineStr">
        <is>
          <t>12</t>
        </is>
      </c>
    </row>
    <row r="524" ht="24" customHeight="1">
      <c r="A524" s="29" t="inlineStr">
        <is>
          <t>OpenDART_fnlttSinglAcntAll</t>
        </is>
      </c>
      <c r="B524" s="29" t="inlineStr">
        <is>
          <t>00161383</t>
        </is>
      </c>
      <c r="C524" s="29" t="inlineStr">
        <is>
          <t>한미반도체</t>
        </is>
      </c>
      <c r="D524" s="29" t="inlineStr">
        <is>
          <t>hanmi</t>
        </is>
      </c>
      <c r="E524" s="29" t="inlineStr">
        <is>
          <t>042700</t>
        </is>
      </c>
      <c r="F524" s="29" t="inlineStr">
        <is>
          <t>2023</t>
        </is>
      </c>
      <c r="G524" s="29" t="inlineStr">
        <is>
          <t>CFS</t>
        </is>
      </c>
      <c r="H524" s="29" t="inlineStr">
        <is>
          <t>CF</t>
        </is>
      </c>
      <c r="I524" s="29" t="inlineStr">
        <is>
          <t>현금흐름표</t>
        </is>
      </c>
      <c r="J524" s="29" t="inlineStr">
        <is>
          <t>dart_RepaymentsOfShortTermBorrowings</t>
        </is>
      </c>
      <c r="K524" s="29" t="inlineStr">
        <is>
          <t>단기차입금의 상환</t>
        </is>
      </c>
      <c r="L524" s="29" t="inlineStr">
        <is>
          <t>-</t>
        </is>
      </c>
      <c r="M524" s="29" t="inlineStr">
        <is>
          <t>제 44 기</t>
        </is>
      </c>
      <c r="N524" s="29" t="inlineStr">
        <is>
          <t>0.0</t>
        </is>
      </c>
      <c r="O524" s="29" t="inlineStr">
        <is>
          <t>11166991039.0</t>
        </is>
      </c>
      <c r="P524" s="29" t="inlineStr">
        <is>
          <t>KRW</t>
        </is>
      </c>
      <c r="Q524" s="29" t="inlineStr">
        <is>
          <t>13</t>
        </is>
      </c>
    </row>
    <row r="525" ht="24" customHeight="1">
      <c r="A525" s="24" t="inlineStr">
        <is>
          <t>OpenDART_fnlttSinglAcntAll</t>
        </is>
      </c>
      <c r="B525" s="24" t="inlineStr">
        <is>
          <t>00161383</t>
        </is>
      </c>
      <c r="C525" s="24" t="inlineStr">
        <is>
          <t>한미반도체</t>
        </is>
      </c>
      <c r="D525" s="24" t="inlineStr">
        <is>
          <t>hanmi</t>
        </is>
      </c>
      <c r="E525" s="24" t="inlineStr">
        <is>
          <t>042700</t>
        </is>
      </c>
      <c r="F525" s="24" t="inlineStr">
        <is>
          <t>2023</t>
        </is>
      </c>
      <c r="G525" s="24" t="inlineStr">
        <is>
          <t>CFS</t>
        </is>
      </c>
      <c r="H525" s="24" t="inlineStr">
        <is>
          <t>CF</t>
        </is>
      </c>
      <c r="I525" s="24" t="inlineStr">
        <is>
          <t>현금흐름표</t>
        </is>
      </c>
      <c r="J525" s="24" t="inlineStr">
        <is>
          <t>-표준계정코드 미사용-</t>
        </is>
      </c>
      <c r="K525" s="24" t="inlineStr">
        <is>
          <t>자기주식 처분</t>
        </is>
      </c>
      <c r="L525" s="24" t="inlineStr">
        <is>
          <t>-</t>
        </is>
      </c>
      <c r="M525" s="24" t="inlineStr">
        <is>
          <t>제 44 기</t>
        </is>
      </c>
      <c r="N525" s="24" t="inlineStr">
        <is>
          <t>27638206583.0</t>
        </is>
      </c>
      <c r="O525" s="24" t="inlineStr">
        <is>
          <t>0.0</t>
        </is>
      </c>
      <c r="P525" s="24" t="inlineStr">
        <is>
          <t>KRW</t>
        </is>
      </c>
      <c r="Q525" s="24" t="inlineStr">
        <is>
          <t>14</t>
        </is>
      </c>
    </row>
    <row r="526" ht="24" customHeight="1">
      <c r="A526" s="29" t="inlineStr">
        <is>
          <t>OpenDART_fnlttSinglAcntAll</t>
        </is>
      </c>
      <c r="B526" s="29" t="inlineStr">
        <is>
          <t>00161383</t>
        </is>
      </c>
      <c r="C526" s="29" t="inlineStr">
        <is>
          <t>한미반도체</t>
        </is>
      </c>
      <c r="D526" s="29" t="inlineStr">
        <is>
          <t>hanmi</t>
        </is>
      </c>
      <c r="E526" s="29" t="inlineStr">
        <is>
          <t>042700</t>
        </is>
      </c>
      <c r="F526" s="29" t="inlineStr">
        <is>
          <t>2023</t>
        </is>
      </c>
      <c r="G526" s="29" t="inlineStr">
        <is>
          <t>CFS</t>
        </is>
      </c>
      <c r="H526" s="29" t="inlineStr">
        <is>
          <t>CF</t>
        </is>
      </c>
      <c r="I526" s="29" t="inlineStr">
        <is>
          <t>현금흐름표</t>
        </is>
      </c>
      <c r="J526" s="29" t="inlineStr">
        <is>
          <t>ifrs-full_DividendsPaidClassifiedAsFinancingActivities</t>
        </is>
      </c>
      <c r="K526" s="29" t="inlineStr">
        <is>
          <t>배당금지급</t>
        </is>
      </c>
      <c r="L526" s="29" t="inlineStr">
        <is>
          <t>-</t>
        </is>
      </c>
      <c r="M526" s="29" t="inlineStr">
        <is>
          <t>제 44 기</t>
        </is>
      </c>
      <c r="N526" s="29" t="inlineStr">
        <is>
          <t>19467860400.0</t>
        </is>
      </c>
      <c r="O526" s="29" t="inlineStr">
        <is>
          <t>29675926200.0</t>
        </is>
      </c>
      <c r="P526" s="29" t="inlineStr">
        <is>
          <t>KRW</t>
        </is>
      </c>
      <c r="Q526" s="29" t="inlineStr">
        <is>
          <t>15</t>
        </is>
      </c>
    </row>
    <row r="527" ht="24" customHeight="1">
      <c r="A527" s="24" t="inlineStr">
        <is>
          <t>OpenDART_fnlttSinglAcntAll</t>
        </is>
      </c>
      <c r="B527" s="24" t="inlineStr">
        <is>
          <t>00161383</t>
        </is>
      </c>
      <c r="C527" s="24" t="inlineStr">
        <is>
          <t>한미반도체</t>
        </is>
      </c>
      <c r="D527" s="24" t="inlineStr">
        <is>
          <t>hanmi</t>
        </is>
      </c>
      <c r="E527" s="24" t="inlineStr">
        <is>
          <t>042700</t>
        </is>
      </c>
      <c r="F527" s="24" t="inlineStr">
        <is>
          <t>2023</t>
        </is>
      </c>
      <c r="G527" s="24" t="inlineStr">
        <is>
          <t>CFS</t>
        </is>
      </c>
      <c r="H527" s="24" t="inlineStr">
        <is>
          <t>CF</t>
        </is>
      </c>
      <c r="I527" s="24" t="inlineStr">
        <is>
          <t>현금흐름표</t>
        </is>
      </c>
      <c r="J527" s="24" t="inlineStr">
        <is>
          <t>ifrs-full_CashFlowsFromUsedInInvestingActivities</t>
        </is>
      </c>
      <c r="K527" s="24" t="inlineStr">
        <is>
          <t>투자활동현금흐름</t>
        </is>
      </c>
      <c r="L527" s="24" t="inlineStr">
        <is>
          <t>-</t>
        </is>
      </c>
      <c r="M527" s="24" t="inlineStr">
        <is>
          <t>제 44 기</t>
        </is>
      </c>
      <c r="N527" s="24" t="inlineStr">
        <is>
          <t>84636164574.0</t>
        </is>
      </c>
      <c r="O527" s="24" t="inlineStr">
        <is>
          <t>-18079678286.0</t>
        </is>
      </c>
      <c r="P527" s="24" t="inlineStr">
        <is>
          <t>KRW</t>
        </is>
      </c>
      <c r="Q527" s="24" t="inlineStr">
        <is>
          <t>16</t>
        </is>
      </c>
    </row>
    <row r="528" ht="24" customHeight="1">
      <c r="A528" s="29" t="inlineStr">
        <is>
          <t>OpenDART_fnlttSinglAcntAll</t>
        </is>
      </c>
      <c r="B528" s="29" t="inlineStr">
        <is>
          <t>00161383</t>
        </is>
      </c>
      <c r="C528" s="29" t="inlineStr">
        <is>
          <t>한미반도체</t>
        </is>
      </c>
      <c r="D528" s="29" t="inlineStr">
        <is>
          <t>hanmi</t>
        </is>
      </c>
      <c r="E528" s="29" t="inlineStr">
        <is>
          <t>042700</t>
        </is>
      </c>
      <c r="F528" s="29" t="inlineStr">
        <is>
          <t>2023</t>
        </is>
      </c>
      <c r="G528" s="29" t="inlineStr">
        <is>
          <t>CFS</t>
        </is>
      </c>
      <c r="H528" s="29" t="inlineStr">
        <is>
          <t>CF</t>
        </is>
      </c>
      <c r="I528" s="29" t="inlineStr">
        <is>
          <t>현금흐름표</t>
        </is>
      </c>
      <c r="J528" s="29" t="inlineStr">
        <is>
          <t>dart_DecreaseInGuaranteeDeposits</t>
        </is>
      </c>
      <c r="K528" s="29" t="inlineStr">
        <is>
          <t>보증금의 감소</t>
        </is>
      </c>
      <c r="L528" s="29" t="inlineStr">
        <is>
          <t>-</t>
        </is>
      </c>
      <c r="M528" s="29" t="inlineStr">
        <is>
          <t>제 44 기</t>
        </is>
      </c>
      <c r="N528" s="29" t="inlineStr">
        <is>
          <t>1322197783.0</t>
        </is>
      </c>
      <c r="O528" s="29" t="inlineStr">
        <is>
          <t>4843316.0</t>
        </is>
      </c>
      <c r="P528" s="29" t="inlineStr">
        <is>
          <t>KRW</t>
        </is>
      </c>
      <c r="Q528" s="29" t="inlineStr">
        <is>
          <t>17</t>
        </is>
      </c>
    </row>
    <row r="529" ht="24" customHeight="1">
      <c r="A529" s="24" t="inlineStr">
        <is>
          <t>OpenDART_fnlttSinglAcntAll</t>
        </is>
      </c>
      <c r="B529" s="24" t="inlineStr">
        <is>
          <t>00161383</t>
        </is>
      </c>
      <c r="C529" s="24" t="inlineStr">
        <is>
          <t>한미반도체</t>
        </is>
      </c>
      <c r="D529" s="24" t="inlineStr">
        <is>
          <t>hanmi</t>
        </is>
      </c>
      <c r="E529" s="24" t="inlineStr">
        <is>
          <t>042700</t>
        </is>
      </c>
      <c r="F529" s="24" t="inlineStr">
        <is>
          <t>2023</t>
        </is>
      </c>
      <c r="G529" s="24" t="inlineStr">
        <is>
          <t>CFS</t>
        </is>
      </c>
      <c r="H529" s="24" t="inlineStr">
        <is>
          <t>CF</t>
        </is>
      </c>
      <c r="I529" s="24" t="inlineStr">
        <is>
          <t>현금흐름표</t>
        </is>
      </c>
      <c r="J529" s="24" t="inlineStr">
        <is>
          <t>dart_IncreaseInGuaranteeDeposits</t>
        </is>
      </c>
      <c r="K529" s="24" t="inlineStr">
        <is>
          <t>보증금의 증가</t>
        </is>
      </c>
      <c r="L529" s="24" t="inlineStr">
        <is>
          <t>-</t>
        </is>
      </c>
      <c r="M529" s="24" t="inlineStr">
        <is>
          <t>제 44 기</t>
        </is>
      </c>
      <c r="N529" s="24" t="inlineStr">
        <is>
          <t>294341739.0</t>
        </is>
      </c>
      <c r="O529" s="24" t="inlineStr">
        <is>
          <t>1025923629.0</t>
        </is>
      </c>
      <c r="P529" s="24" t="inlineStr">
        <is>
          <t>KRW</t>
        </is>
      </c>
      <c r="Q529" s="24" t="inlineStr">
        <is>
          <t>18</t>
        </is>
      </c>
    </row>
    <row r="530" ht="24" customHeight="1">
      <c r="A530" s="29" t="inlineStr">
        <is>
          <t>OpenDART_fnlttSinglAcntAll</t>
        </is>
      </c>
      <c r="B530" s="29" t="inlineStr">
        <is>
          <t>00161383</t>
        </is>
      </c>
      <c r="C530" s="29" t="inlineStr">
        <is>
          <t>한미반도체</t>
        </is>
      </c>
      <c r="D530" s="29" t="inlineStr">
        <is>
          <t>hanmi</t>
        </is>
      </c>
      <c r="E530" s="29" t="inlineStr">
        <is>
          <t>042700</t>
        </is>
      </c>
      <c r="F530" s="29" t="inlineStr">
        <is>
          <t>2023</t>
        </is>
      </c>
      <c r="G530" s="29" t="inlineStr">
        <is>
          <t>CFS</t>
        </is>
      </c>
      <c r="H530" s="29" t="inlineStr">
        <is>
          <t>CF</t>
        </is>
      </c>
      <c r="I530" s="29" t="inlineStr">
        <is>
          <t>현금흐름표</t>
        </is>
      </c>
      <c r="J530" s="29" t="inlineStr">
        <is>
          <t>dart_ProceedsFromSalesOfFairValueFinancialAsset</t>
        </is>
      </c>
      <c r="K530" s="29" t="inlineStr">
        <is>
          <t>당기손익-공정가치측정금융자산의 처분</t>
        </is>
      </c>
      <c r="L530" s="29" t="inlineStr">
        <is>
          <t>-</t>
        </is>
      </c>
      <c r="M530" s="29" t="inlineStr">
        <is>
          <t>제 44 기</t>
        </is>
      </c>
      <c r="N530" s="29" t="inlineStr">
        <is>
          <t>92877484355.0</t>
        </is>
      </c>
      <c r="O530" s="29" t="inlineStr">
        <is>
          <t>0.0</t>
        </is>
      </c>
      <c r="P530" s="29" t="inlineStr">
        <is>
          <t>KRW</t>
        </is>
      </c>
      <c r="Q530" s="29" t="inlineStr">
        <is>
          <t>19</t>
        </is>
      </c>
    </row>
    <row r="531" ht="24" customHeight="1">
      <c r="A531" s="24" t="inlineStr">
        <is>
          <t>OpenDART_fnlttSinglAcntAll</t>
        </is>
      </c>
      <c r="B531" s="24" t="inlineStr">
        <is>
          <t>00161383</t>
        </is>
      </c>
      <c r="C531" s="24" t="inlineStr">
        <is>
          <t>한미반도체</t>
        </is>
      </c>
      <c r="D531" s="24" t="inlineStr">
        <is>
          <t>hanmi</t>
        </is>
      </c>
      <c r="E531" s="24" t="inlineStr">
        <is>
          <t>042700</t>
        </is>
      </c>
      <c r="F531" s="24" t="inlineStr">
        <is>
          <t>2023</t>
        </is>
      </c>
      <c r="G531" s="24" t="inlineStr">
        <is>
          <t>CFS</t>
        </is>
      </c>
      <c r="H531" s="24" t="inlineStr">
        <is>
          <t>CF</t>
        </is>
      </c>
      <c r="I531" s="24" t="inlineStr">
        <is>
          <t>현금흐름표</t>
        </is>
      </c>
      <c r="J531" s="24" t="inlineStr">
        <is>
          <t>dart_ProceedsFromSalesOfNonCurrentAssetsOrDisposalGroupsClassifiedAsHeldForSale</t>
        </is>
      </c>
      <c r="K531" s="24" t="inlineStr">
        <is>
          <t>매각예정비유동자산의 처분</t>
        </is>
      </c>
      <c r="L531" s="24" t="inlineStr">
        <is>
          <t>-</t>
        </is>
      </c>
      <c r="M531" s="24" t="inlineStr">
        <is>
          <t>제 44 기</t>
        </is>
      </c>
      <c r="N531" s="24" t="inlineStr">
        <is>
          <t>3387767680.0</t>
        </is>
      </c>
      <c r="O531" s="24" t="inlineStr">
        <is>
          <t>4616399920.0</t>
        </is>
      </c>
      <c r="P531" s="24" t="inlineStr">
        <is>
          <t>KRW</t>
        </is>
      </c>
      <c r="Q531" s="24" t="inlineStr">
        <is>
          <t>20</t>
        </is>
      </c>
    </row>
    <row r="532" ht="24" customHeight="1">
      <c r="A532" s="29" t="inlineStr">
        <is>
          <t>OpenDART_fnlttSinglAcntAll</t>
        </is>
      </c>
      <c r="B532" s="29" t="inlineStr">
        <is>
          <t>00161383</t>
        </is>
      </c>
      <c r="C532" s="29" t="inlineStr">
        <is>
          <t>한미반도체</t>
        </is>
      </c>
      <c r="D532" s="29" t="inlineStr">
        <is>
          <t>hanmi</t>
        </is>
      </c>
      <c r="E532" s="29" t="inlineStr">
        <is>
          <t>042700</t>
        </is>
      </c>
      <c r="F532" s="29" t="inlineStr">
        <is>
          <t>2023</t>
        </is>
      </c>
      <c r="G532" s="29" t="inlineStr">
        <is>
          <t>CFS</t>
        </is>
      </c>
      <c r="H532" s="29" t="inlineStr">
        <is>
          <t>CF</t>
        </is>
      </c>
      <c r="I532" s="29" t="inlineStr">
        <is>
          <t>현금흐름표</t>
        </is>
      </c>
      <c r="J532" s="29" t="inlineStr">
        <is>
          <t>dart_ProceedsFromSalesOfShortTermFinancialInstruments</t>
        </is>
      </c>
      <c r="K532" s="29" t="inlineStr">
        <is>
          <t>단기금융상품의 감소</t>
        </is>
      </c>
      <c r="L532" s="29" t="inlineStr">
        <is>
          <t>-</t>
        </is>
      </c>
      <c r="M532" s="29" t="inlineStr">
        <is>
          <t>제 44 기</t>
        </is>
      </c>
      <c r="N532" s="29" t="inlineStr">
        <is>
          <t>13399000000.0</t>
        </is>
      </c>
      <c r="O532" s="29" t="inlineStr">
        <is>
          <t>0.0</t>
        </is>
      </c>
      <c r="P532" s="29" t="inlineStr">
        <is>
          <t>KRW</t>
        </is>
      </c>
      <c r="Q532" s="29" t="inlineStr">
        <is>
          <t>21</t>
        </is>
      </c>
    </row>
    <row r="533" ht="24" customHeight="1">
      <c r="A533" s="24" t="inlineStr">
        <is>
          <t>OpenDART_fnlttSinglAcntAll</t>
        </is>
      </c>
      <c r="B533" s="24" t="inlineStr">
        <is>
          <t>00161383</t>
        </is>
      </c>
      <c r="C533" s="24" t="inlineStr">
        <is>
          <t>한미반도체</t>
        </is>
      </c>
      <c r="D533" s="24" t="inlineStr">
        <is>
          <t>hanmi</t>
        </is>
      </c>
      <c r="E533" s="24" t="inlineStr">
        <is>
          <t>042700</t>
        </is>
      </c>
      <c r="F533" s="24" t="inlineStr">
        <is>
          <t>2023</t>
        </is>
      </c>
      <c r="G533" s="24" t="inlineStr">
        <is>
          <t>CFS</t>
        </is>
      </c>
      <c r="H533" s="24" t="inlineStr">
        <is>
          <t>CF</t>
        </is>
      </c>
      <c r="I533" s="24" t="inlineStr">
        <is>
          <t>현금흐름표</t>
        </is>
      </c>
      <c r="J533" s="24" t="inlineStr">
        <is>
          <t>dart_PurchaseOfLongTermFinancialInstruments</t>
        </is>
      </c>
      <c r="K533" s="24" t="inlineStr">
        <is>
          <t>장기금융상품의 취득</t>
        </is>
      </c>
      <c r="L533" s="24" t="inlineStr">
        <is>
          <t>-</t>
        </is>
      </c>
      <c r="M533" s="24" t="inlineStr">
        <is>
          <t>제 44 기</t>
        </is>
      </c>
      <c r="N533" s="24" t="inlineStr">
        <is>
          <t>0.0</t>
        </is>
      </c>
      <c r="O533" s="24" t="inlineStr">
        <is>
          <t>1436880.0</t>
        </is>
      </c>
      <c r="P533" s="24" t="inlineStr">
        <is>
          <t>KRW</t>
        </is>
      </c>
      <c r="Q533" s="24" t="inlineStr">
        <is>
          <t>22</t>
        </is>
      </c>
    </row>
    <row r="534" ht="24" customHeight="1">
      <c r="A534" s="29" t="inlineStr">
        <is>
          <t>OpenDART_fnlttSinglAcntAll</t>
        </is>
      </c>
      <c r="B534" s="29" t="inlineStr">
        <is>
          <t>00161383</t>
        </is>
      </c>
      <c r="C534" s="29" t="inlineStr">
        <is>
          <t>한미반도체</t>
        </is>
      </c>
      <c r="D534" s="29" t="inlineStr">
        <is>
          <t>hanmi</t>
        </is>
      </c>
      <c r="E534" s="29" t="inlineStr">
        <is>
          <t>042700</t>
        </is>
      </c>
      <c r="F534" s="29" t="inlineStr">
        <is>
          <t>2023</t>
        </is>
      </c>
      <c r="G534" s="29" t="inlineStr">
        <is>
          <t>CFS</t>
        </is>
      </c>
      <c r="H534" s="29" t="inlineStr">
        <is>
          <t>CF</t>
        </is>
      </c>
      <c r="I534" s="29" t="inlineStr">
        <is>
          <t>현금흐름표</t>
        </is>
      </c>
      <c r="J534" s="29" t="inlineStr">
        <is>
          <t>dart_PurchaseOfShortTermFinancialInstruments</t>
        </is>
      </c>
      <c r="K534" s="29" t="inlineStr">
        <is>
          <t>단기금융상품의 증가</t>
        </is>
      </c>
      <c r="L534" s="29" t="inlineStr">
        <is>
          <t>-</t>
        </is>
      </c>
      <c r="M534" s="29" t="inlineStr">
        <is>
          <t>제 44 기</t>
        </is>
      </c>
      <c r="N534" s="29" t="inlineStr">
        <is>
          <t>0.0</t>
        </is>
      </c>
      <c r="O534" s="29" t="inlineStr">
        <is>
          <t>13380000000.0</t>
        </is>
      </c>
      <c r="P534" s="29" t="inlineStr">
        <is>
          <t>KRW</t>
        </is>
      </c>
      <c r="Q534" s="29" t="inlineStr">
        <is>
          <t>23</t>
        </is>
      </c>
    </row>
    <row r="535" ht="24" customHeight="1">
      <c r="A535" s="24" t="inlineStr">
        <is>
          <t>OpenDART_fnlttSinglAcntAll</t>
        </is>
      </c>
      <c r="B535" s="24" t="inlineStr">
        <is>
          <t>00161383</t>
        </is>
      </c>
      <c r="C535" s="24" t="inlineStr">
        <is>
          <t>한미반도체</t>
        </is>
      </c>
      <c r="D535" s="24" t="inlineStr">
        <is>
          <t>hanmi</t>
        </is>
      </c>
      <c r="E535" s="24" t="inlineStr">
        <is>
          <t>042700</t>
        </is>
      </c>
      <c r="F535" s="24" t="inlineStr">
        <is>
          <t>2023</t>
        </is>
      </c>
      <c r="G535" s="24" t="inlineStr">
        <is>
          <t>CFS</t>
        </is>
      </c>
      <c r="H535" s="24" t="inlineStr">
        <is>
          <t>CF</t>
        </is>
      </c>
      <c r="I535" s="24" t="inlineStr">
        <is>
          <t>현금흐름표</t>
        </is>
      </c>
      <c r="J535" s="24" t="inlineStr">
        <is>
          <t>ifrs-full_ProceedsFromSalesOfPropertyPlantAndEquipmentClassifiedAsInvestingActivities</t>
        </is>
      </c>
      <c r="K535" s="24" t="inlineStr">
        <is>
          <t>유형자산의 처분</t>
        </is>
      </c>
      <c r="L535" s="24" t="inlineStr">
        <is>
          <t>-</t>
        </is>
      </c>
      <c r="M535" s="24" t="inlineStr">
        <is>
          <t>제 44 기</t>
        </is>
      </c>
      <c r="N535" s="24" t="inlineStr">
        <is>
          <t>1559401457.0</t>
        </is>
      </c>
      <c r="O535" s="24" t="inlineStr">
        <is>
          <t>999727272.0</t>
        </is>
      </c>
      <c r="P535" s="24" t="inlineStr">
        <is>
          <t>KRW</t>
        </is>
      </c>
      <c r="Q535" s="24" t="inlineStr">
        <is>
          <t>24</t>
        </is>
      </c>
    </row>
    <row r="536" ht="24" customHeight="1">
      <c r="A536" s="29" t="inlineStr">
        <is>
          <t>OpenDART_fnlttSinglAcntAll</t>
        </is>
      </c>
      <c r="B536" s="29" t="inlineStr">
        <is>
          <t>00161383</t>
        </is>
      </c>
      <c r="C536" s="29" t="inlineStr">
        <is>
          <t>한미반도체</t>
        </is>
      </c>
      <c r="D536" s="29" t="inlineStr">
        <is>
          <t>hanmi</t>
        </is>
      </c>
      <c r="E536" s="29" t="inlineStr">
        <is>
          <t>042700</t>
        </is>
      </c>
      <c r="F536" s="29" t="inlineStr">
        <is>
          <t>2023</t>
        </is>
      </c>
      <c r="G536" s="29" t="inlineStr">
        <is>
          <t>CFS</t>
        </is>
      </c>
      <c r="H536" s="29" t="inlineStr">
        <is>
          <t>CF</t>
        </is>
      </c>
      <c r="I536" s="29" t="inlineStr">
        <is>
          <t>현금흐름표</t>
        </is>
      </c>
      <c r="J536" s="29" t="inlineStr">
        <is>
          <t>ifrs-full_PurchaseOfIntangibleAssetsClassifiedAsInvestingActivities</t>
        </is>
      </c>
      <c r="K536" s="29" t="inlineStr">
        <is>
          <t>무형자산의 취득</t>
        </is>
      </c>
      <c r="L536" s="29" t="inlineStr">
        <is>
          <t>-</t>
        </is>
      </c>
      <c r="M536" s="29" t="inlineStr">
        <is>
          <t>제 44 기</t>
        </is>
      </c>
      <c r="N536" s="29" t="inlineStr">
        <is>
          <t>83934608.0</t>
        </is>
      </c>
      <c r="O536" s="29" t="inlineStr">
        <is>
          <t>202361365.0</t>
        </is>
      </c>
      <c r="P536" s="29" t="inlineStr">
        <is>
          <t>KRW</t>
        </is>
      </c>
      <c r="Q536" s="29" t="inlineStr">
        <is>
          <t>25</t>
        </is>
      </c>
    </row>
    <row r="537" ht="24" customHeight="1">
      <c r="A537" s="24" t="inlineStr">
        <is>
          <t>OpenDART_fnlttSinglAcntAll</t>
        </is>
      </c>
      <c r="B537" s="24" t="inlineStr">
        <is>
          <t>00161383</t>
        </is>
      </c>
      <c r="C537" s="24" t="inlineStr">
        <is>
          <t>한미반도체</t>
        </is>
      </c>
      <c r="D537" s="24" t="inlineStr">
        <is>
          <t>hanmi</t>
        </is>
      </c>
      <c r="E537" s="24" t="inlineStr">
        <is>
          <t>042700</t>
        </is>
      </c>
      <c r="F537" s="24" t="inlineStr">
        <is>
          <t>2023</t>
        </is>
      </c>
      <c r="G537" s="24" t="inlineStr">
        <is>
          <t>CFS</t>
        </is>
      </c>
      <c r="H537" s="24" t="inlineStr">
        <is>
          <t>CF</t>
        </is>
      </c>
      <c r="I537" s="24" t="inlineStr">
        <is>
          <t>현금흐름표</t>
        </is>
      </c>
      <c r="J537" s="24" t="inlineStr">
        <is>
          <t>ifrs-full_PurchaseOfInterestsInAssociates</t>
        </is>
      </c>
      <c r="K537" s="24" t="inlineStr">
        <is>
          <t>관계기업투자주식의 취득</t>
        </is>
      </c>
      <c r="L537" s="24" t="inlineStr">
        <is>
          <t>-</t>
        </is>
      </c>
      <c r="M537" s="24" t="inlineStr">
        <is>
          <t>제 44 기</t>
        </is>
      </c>
      <c r="N537" s="24" t="inlineStr">
        <is>
          <t>0.0</t>
        </is>
      </c>
      <c r="O537" s="24" t="inlineStr">
        <is>
          <t>0.0</t>
        </is>
      </c>
      <c r="P537" s="24" t="inlineStr">
        <is>
          <t>KRW</t>
        </is>
      </c>
      <c r="Q537" s="24" t="inlineStr">
        <is>
          <t>26</t>
        </is>
      </c>
    </row>
    <row r="538" ht="24" customHeight="1">
      <c r="A538" s="29" t="inlineStr">
        <is>
          <t>OpenDART_fnlttSinglAcntAll</t>
        </is>
      </c>
      <c r="B538" s="29" t="inlineStr">
        <is>
          <t>00161383</t>
        </is>
      </c>
      <c r="C538" s="29" t="inlineStr">
        <is>
          <t>한미반도체</t>
        </is>
      </c>
      <c r="D538" s="29" t="inlineStr">
        <is>
          <t>hanmi</t>
        </is>
      </c>
      <c r="E538" s="29" t="inlineStr">
        <is>
          <t>042700</t>
        </is>
      </c>
      <c r="F538" s="29" t="inlineStr">
        <is>
          <t>2023</t>
        </is>
      </c>
      <c r="G538" s="29" t="inlineStr">
        <is>
          <t>CFS</t>
        </is>
      </c>
      <c r="H538" s="29" t="inlineStr">
        <is>
          <t>CF</t>
        </is>
      </c>
      <c r="I538" s="29" t="inlineStr">
        <is>
          <t>현금흐름표</t>
        </is>
      </c>
      <c r="J538" s="29" t="inlineStr">
        <is>
          <t>ifrs-full_PurchaseOfPropertyPlantAndEquipmentClassifiedAsInvestingActivities</t>
        </is>
      </c>
      <c r="K538" s="29" t="inlineStr">
        <is>
          <t>유형자산의 취득</t>
        </is>
      </c>
      <c r="L538" s="29" t="inlineStr">
        <is>
          <t>-</t>
        </is>
      </c>
      <c r="M538" s="29" t="inlineStr">
        <is>
          <t>제 44 기</t>
        </is>
      </c>
      <c r="N538" s="29" t="inlineStr">
        <is>
          <t>27531410354.0</t>
        </is>
      </c>
      <c r="O538" s="29" t="inlineStr">
        <is>
          <t>9090926920.0</t>
        </is>
      </c>
      <c r="P538" s="29" t="inlineStr">
        <is>
          <t>KRW</t>
        </is>
      </c>
      <c r="Q538" s="29" t="inlineStr">
        <is>
          <t>27</t>
        </is>
      </c>
    </row>
    <row r="539" ht="24" customHeight="1">
      <c r="A539" s="24" t="inlineStr">
        <is>
          <t>OpenDART_fnlttSinglAcntAll</t>
        </is>
      </c>
      <c r="B539" s="24" t="inlineStr">
        <is>
          <t>00161383</t>
        </is>
      </c>
      <c r="C539" s="24" t="inlineStr">
        <is>
          <t>한미반도체</t>
        </is>
      </c>
      <c r="D539" s="24" t="inlineStr">
        <is>
          <t>hanmi</t>
        </is>
      </c>
      <c r="E539" s="24" t="inlineStr">
        <is>
          <t>042700</t>
        </is>
      </c>
      <c r="F539" s="24" t="inlineStr">
        <is>
          <t>2023</t>
        </is>
      </c>
      <c r="G539" s="24" t="inlineStr">
        <is>
          <t>CFS</t>
        </is>
      </c>
      <c r="H539" s="24" t="inlineStr">
        <is>
          <t>CF</t>
        </is>
      </c>
      <c r="I539" s="24" t="inlineStr">
        <is>
          <t>현금흐름표</t>
        </is>
      </c>
      <c r="J539" s="24" t="inlineStr">
        <is>
          <t>ifrs-full_CashFlowsFromUsedInOperatingActivities</t>
        </is>
      </c>
      <c r="K539" s="24" t="inlineStr">
        <is>
          <t>영업활동현금흐름</t>
        </is>
      </c>
      <c r="L539" s="24" t="inlineStr">
        <is>
          <t>-</t>
        </is>
      </c>
      <c r="M539" s="24" t="inlineStr">
        <is>
          <t>제 44 기</t>
        </is>
      </c>
      <c r="N539" s="24" t="inlineStr">
        <is>
          <t>44990807438.0</t>
        </is>
      </c>
      <c r="O539" s="24" t="inlineStr">
        <is>
          <t>109501808221.0</t>
        </is>
      </c>
      <c r="P539" s="24" t="inlineStr">
        <is>
          <t>KRW</t>
        </is>
      </c>
      <c r="Q539" s="24" t="inlineStr">
        <is>
          <t>28</t>
        </is>
      </c>
    </row>
    <row r="540" ht="24" customHeight="1">
      <c r="A540" s="29" t="inlineStr">
        <is>
          <t>OpenDART_fnlttSinglAcntAll</t>
        </is>
      </c>
      <c r="B540" s="29" t="inlineStr">
        <is>
          <t>00161383</t>
        </is>
      </c>
      <c r="C540" s="29" t="inlineStr">
        <is>
          <t>한미반도체</t>
        </is>
      </c>
      <c r="D540" s="29" t="inlineStr">
        <is>
          <t>hanmi</t>
        </is>
      </c>
      <c r="E540" s="29" t="inlineStr">
        <is>
          <t>042700</t>
        </is>
      </c>
      <c r="F540" s="29" t="inlineStr">
        <is>
          <t>2023</t>
        </is>
      </c>
      <c r="G540" s="29" t="inlineStr">
        <is>
          <t>CFS</t>
        </is>
      </c>
      <c r="H540" s="29" t="inlineStr">
        <is>
          <t>CF</t>
        </is>
      </c>
      <c r="I540" s="29" t="inlineStr">
        <is>
          <t>현금흐름표</t>
        </is>
      </c>
      <c r="J540" s="29" t="inlineStr">
        <is>
          <t>dart_AdjustmentsForAssetsLiabilitiesOfOperatingActivities</t>
        </is>
      </c>
      <c r="K540" s="29" t="inlineStr">
        <is>
          <t>자산ㆍ부채의증감</t>
        </is>
      </c>
      <c r="L540" s="29" t="inlineStr">
        <is>
          <t>-</t>
        </is>
      </c>
      <c r="M540" s="29" t="inlineStr">
        <is>
          <t>제 44 기</t>
        </is>
      </c>
      <c r="N540" s="29" t="inlineStr">
        <is>
          <t>26833228280.0</t>
        </is>
      </c>
      <c r="O540" s="29" t="inlineStr">
        <is>
          <t>-7241047028.0</t>
        </is>
      </c>
      <c r="P540" s="29" t="inlineStr">
        <is>
          <t>KRW</t>
        </is>
      </c>
      <c r="Q540" s="29" t="inlineStr">
        <is>
          <t>29</t>
        </is>
      </c>
    </row>
    <row r="541" ht="24" customHeight="1">
      <c r="A541" s="24" t="inlineStr">
        <is>
          <t>OpenDART_fnlttSinglAcntAll</t>
        </is>
      </c>
      <c r="B541" s="24" t="inlineStr">
        <is>
          <t>00161383</t>
        </is>
      </c>
      <c r="C541" s="24" t="inlineStr">
        <is>
          <t>한미반도체</t>
        </is>
      </c>
      <c r="D541" s="24" t="inlineStr">
        <is>
          <t>hanmi</t>
        </is>
      </c>
      <c r="E541" s="24" t="inlineStr">
        <is>
          <t>042700</t>
        </is>
      </c>
      <c r="F541" s="24" t="inlineStr">
        <is>
          <t>2023</t>
        </is>
      </c>
      <c r="G541" s="24" t="inlineStr">
        <is>
          <t>CFS</t>
        </is>
      </c>
      <c r="H541" s="24" t="inlineStr">
        <is>
          <t>CF</t>
        </is>
      </c>
      <c r="I541" s="24" t="inlineStr">
        <is>
          <t>현금흐름표</t>
        </is>
      </c>
      <c r="J541" s="24" t="inlineStr">
        <is>
          <t>dart_AdjustmentsForDecreaseincreaseInFairValueOfPlanAssets</t>
        </is>
      </c>
      <c r="K541" s="24" t="inlineStr">
        <is>
          <t>사외적립자산의공정가치의감소(증가)</t>
        </is>
      </c>
      <c r="L541" s="24" t="inlineStr">
        <is>
          <t>-</t>
        </is>
      </c>
      <c r="M541" s="24" t="inlineStr">
        <is>
          <t>제 44 기</t>
        </is>
      </c>
      <c r="N541" s="24" t="inlineStr">
        <is>
          <t>0.0</t>
        </is>
      </c>
      <c r="O541" s="24" t="inlineStr">
        <is>
          <t>0.0</t>
        </is>
      </c>
      <c r="P541" s="24" t="inlineStr">
        <is>
          <t>KRW</t>
        </is>
      </c>
      <c r="Q541" s="24" t="inlineStr">
        <is>
          <t>30</t>
        </is>
      </c>
    </row>
    <row r="542" ht="24" customHeight="1">
      <c r="A542" s="29" t="inlineStr">
        <is>
          <t>OpenDART_fnlttSinglAcntAll</t>
        </is>
      </c>
      <c r="B542" s="29" t="inlineStr">
        <is>
          <t>00161383</t>
        </is>
      </c>
      <c r="C542" s="29" t="inlineStr">
        <is>
          <t>한미반도체</t>
        </is>
      </c>
      <c r="D542" s="29" t="inlineStr">
        <is>
          <t>hanmi</t>
        </is>
      </c>
      <c r="E542" s="29" t="inlineStr">
        <is>
          <t>042700</t>
        </is>
      </c>
      <c r="F542" s="29" t="inlineStr">
        <is>
          <t>2023</t>
        </is>
      </c>
      <c r="G542" s="29" t="inlineStr">
        <is>
          <t>CFS</t>
        </is>
      </c>
      <c r="H542" s="29" t="inlineStr">
        <is>
          <t>CF</t>
        </is>
      </c>
      <c r="I542" s="29" t="inlineStr">
        <is>
          <t>현금흐름표</t>
        </is>
      </c>
      <c r="J542" s="29" t="inlineStr">
        <is>
          <t>dart_AdjustmentsForDecreaseincreaseInOtherCurrentFinancialAssets</t>
        </is>
      </c>
      <c r="K542" s="29" t="inlineStr">
        <is>
          <t>기타유동금융자산의 감소(증가)</t>
        </is>
      </c>
      <c r="L542" s="29" t="inlineStr">
        <is>
          <t>-</t>
        </is>
      </c>
      <c r="M542" s="29" t="inlineStr">
        <is>
          <t>제 44 기</t>
        </is>
      </c>
      <c r="N542" s="29" t="inlineStr">
        <is>
          <t>-124374871.0</t>
        </is>
      </c>
      <c r="O542" s="29" t="inlineStr">
        <is>
          <t>4844730598.0</t>
        </is>
      </c>
      <c r="P542" s="29" t="inlineStr">
        <is>
          <t>KRW</t>
        </is>
      </c>
      <c r="Q542" s="29" t="inlineStr">
        <is>
          <t>31</t>
        </is>
      </c>
    </row>
    <row r="543" ht="24" customHeight="1">
      <c r="A543" s="24" t="inlineStr">
        <is>
          <t>OpenDART_fnlttSinglAcntAll</t>
        </is>
      </c>
      <c r="B543" s="24" t="inlineStr">
        <is>
          <t>00161383</t>
        </is>
      </c>
      <c r="C543" s="24" t="inlineStr">
        <is>
          <t>한미반도체</t>
        </is>
      </c>
      <c r="D543" s="24" t="inlineStr">
        <is>
          <t>hanmi</t>
        </is>
      </c>
      <c r="E543" s="24" t="inlineStr">
        <is>
          <t>042700</t>
        </is>
      </c>
      <c r="F543" s="24" t="inlineStr">
        <is>
          <t>2023</t>
        </is>
      </c>
      <c r="G543" s="24" t="inlineStr">
        <is>
          <t>CFS</t>
        </is>
      </c>
      <c r="H543" s="24" t="inlineStr">
        <is>
          <t>CF</t>
        </is>
      </c>
      <c r="I543" s="24" t="inlineStr">
        <is>
          <t>현금흐름표</t>
        </is>
      </c>
      <c r="J543" s="24" t="inlineStr">
        <is>
          <t>dart_AdjustmentsForIncreaseDecreaseInOtherNonCurrentLiabilities</t>
        </is>
      </c>
      <c r="K543" s="24" t="inlineStr">
        <is>
          <t>기타비유동부채의 증가(감소)</t>
        </is>
      </c>
      <c r="L543" s="24" t="inlineStr">
        <is>
          <t>-</t>
        </is>
      </c>
      <c r="M543" s="24" t="inlineStr">
        <is>
          <t>제 44 기</t>
        </is>
      </c>
      <c r="N543" s="24" t="inlineStr">
        <is>
          <t>-95812750.0</t>
        </is>
      </c>
      <c r="O543" s="24" t="inlineStr">
        <is>
          <t>-44561000.0</t>
        </is>
      </c>
      <c r="P543" s="24" t="inlineStr">
        <is>
          <t>KRW</t>
        </is>
      </c>
      <c r="Q543" s="24" t="inlineStr">
        <is>
          <t>32</t>
        </is>
      </c>
    </row>
    <row r="544" ht="24" customHeight="1">
      <c r="A544" s="29" t="inlineStr">
        <is>
          <t>OpenDART_fnlttSinglAcntAll</t>
        </is>
      </c>
      <c r="B544" s="29" t="inlineStr">
        <is>
          <t>00161383</t>
        </is>
      </c>
      <c r="C544" s="29" t="inlineStr">
        <is>
          <t>한미반도체</t>
        </is>
      </c>
      <c r="D544" s="29" t="inlineStr">
        <is>
          <t>hanmi</t>
        </is>
      </c>
      <c r="E544" s="29" t="inlineStr">
        <is>
          <t>042700</t>
        </is>
      </c>
      <c r="F544" s="29" t="inlineStr">
        <is>
          <t>2023</t>
        </is>
      </c>
      <c r="G544" s="29" t="inlineStr">
        <is>
          <t>CFS</t>
        </is>
      </c>
      <c r="H544" s="29" t="inlineStr">
        <is>
          <t>CF</t>
        </is>
      </c>
      <c r="I544" s="29" t="inlineStr">
        <is>
          <t>현금흐름표</t>
        </is>
      </c>
      <c r="J544" s="29" t="inlineStr">
        <is>
          <t>dart_AdjustmentsForIncreasedecreaseInOtherCurrentFinancialLiabilities</t>
        </is>
      </c>
      <c r="K544" s="29" t="inlineStr">
        <is>
          <t>기타유동금융부채의 증가(감소)</t>
        </is>
      </c>
      <c r="L544" s="29" t="inlineStr">
        <is>
          <t>-</t>
        </is>
      </c>
      <c r="M544" s="29" t="inlineStr">
        <is>
          <t>제 44 기</t>
        </is>
      </c>
      <c r="N544" s="29" t="inlineStr">
        <is>
          <t>-3411427555.0</t>
        </is>
      </c>
      <c r="O544" s="29" t="inlineStr">
        <is>
          <t>1054191394.0</t>
        </is>
      </c>
      <c r="P544" s="29" t="inlineStr">
        <is>
          <t>KRW</t>
        </is>
      </c>
      <c r="Q544" s="29" t="inlineStr">
        <is>
          <t>33</t>
        </is>
      </c>
    </row>
    <row r="545" ht="24" customHeight="1">
      <c r="A545" s="24" t="inlineStr">
        <is>
          <t>OpenDART_fnlttSinglAcntAll</t>
        </is>
      </c>
      <c r="B545" s="24" t="inlineStr">
        <is>
          <t>00161383</t>
        </is>
      </c>
      <c r="C545" s="24" t="inlineStr">
        <is>
          <t>한미반도체</t>
        </is>
      </c>
      <c r="D545" s="24" t="inlineStr">
        <is>
          <t>hanmi</t>
        </is>
      </c>
      <c r="E545" s="24" t="inlineStr">
        <is>
          <t>042700</t>
        </is>
      </c>
      <c r="F545" s="24" t="inlineStr">
        <is>
          <t>2023</t>
        </is>
      </c>
      <c r="G545" s="24" t="inlineStr">
        <is>
          <t>CFS</t>
        </is>
      </c>
      <c r="H545" s="24" t="inlineStr">
        <is>
          <t>CF</t>
        </is>
      </c>
      <c r="I545" s="24" t="inlineStr">
        <is>
          <t>현금흐름표</t>
        </is>
      </c>
      <c r="J545" s="24" t="inlineStr">
        <is>
          <t>dart_AdjustmentsForIncreasedecreaseInOtherNonCurrentFinancialLiabilities</t>
        </is>
      </c>
      <c r="K545" s="24" t="inlineStr">
        <is>
          <t>기타비유동금융부채의 증가(감소)</t>
        </is>
      </c>
      <c r="L545" s="24" t="inlineStr">
        <is>
          <t>-</t>
        </is>
      </c>
      <c r="M545" s="24" t="inlineStr">
        <is>
          <t>제 44 기</t>
        </is>
      </c>
      <c r="N545" s="24" t="inlineStr">
        <is>
          <t>5000000.0</t>
        </is>
      </c>
      <c r="O545" s="24" t="inlineStr">
        <is>
          <t>1000000.0</t>
        </is>
      </c>
      <c r="P545" s="24" t="inlineStr">
        <is>
          <t>KRW</t>
        </is>
      </c>
      <c r="Q545" s="24" t="inlineStr">
        <is>
          <t>34</t>
        </is>
      </c>
    </row>
    <row r="546" ht="24" customHeight="1">
      <c r="A546" s="29" t="inlineStr">
        <is>
          <t>OpenDART_fnlttSinglAcntAll</t>
        </is>
      </c>
      <c r="B546" s="29" t="inlineStr">
        <is>
          <t>00161383</t>
        </is>
      </c>
      <c r="C546" s="29" t="inlineStr">
        <is>
          <t>한미반도체</t>
        </is>
      </c>
      <c r="D546" s="29" t="inlineStr">
        <is>
          <t>hanmi</t>
        </is>
      </c>
      <c r="E546" s="29" t="inlineStr">
        <is>
          <t>042700</t>
        </is>
      </c>
      <c r="F546" s="29" t="inlineStr">
        <is>
          <t>2023</t>
        </is>
      </c>
      <c r="G546" s="29" t="inlineStr">
        <is>
          <t>CFS</t>
        </is>
      </c>
      <c r="H546" s="29" t="inlineStr">
        <is>
          <t>CF</t>
        </is>
      </c>
      <c r="I546" s="29" t="inlineStr">
        <is>
          <t>현금흐름표</t>
        </is>
      </c>
      <c r="J546" s="29" t="inlineStr">
        <is>
          <t>dart_AdjustmentsForIncreasedecreaseInPostemploymentBenefitObligations</t>
        </is>
      </c>
      <c r="K546" s="29" t="inlineStr">
        <is>
          <t>퇴직급여충당부채의 증가(감소)</t>
        </is>
      </c>
      <c r="L546" s="29" t="inlineStr">
        <is>
          <t>-</t>
        </is>
      </c>
      <c r="M546" s="29" t="inlineStr">
        <is>
          <t>제 44 기</t>
        </is>
      </c>
      <c r="N546" s="29" t="inlineStr">
        <is>
          <t>0.0</t>
        </is>
      </c>
      <c r="O546" s="29" t="inlineStr">
        <is>
          <t>0.0</t>
        </is>
      </c>
      <c r="P546" s="29" t="inlineStr">
        <is>
          <t>KRW</t>
        </is>
      </c>
      <c r="Q546" s="29" t="inlineStr">
        <is>
          <t>35</t>
        </is>
      </c>
    </row>
    <row r="547" ht="24" customHeight="1">
      <c r="A547" s="24" t="inlineStr">
        <is>
          <t>OpenDART_fnlttSinglAcntAll</t>
        </is>
      </c>
      <c r="B547" s="24" t="inlineStr">
        <is>
          <t>00161383</t>
        </is>
      </c>
      <c r="C547" s="24" t="inlineStr">
        <is>
          <t>한미반도체</t>
        </is>
      </c>
      <c r="D547" s="24" t="inlineStr">
        <is>
          <t>hanmi</t>
        </is>
      </c>
      <c r="E547" s="24" t="inlineStr">
        <is>
          <t>042700</t>
        </is>
      </c>
      <c r="F547" s="24" t="inlineStr">
        <is>
          <t>2023</t>
        </is>
      </c>
      <c r="G547" s="24" t="inlineStr">
        <is>
          <t>CFS</t>
        </is>
      </c>
      <c r="H547" s="24" t="inlineStr">
        <is>
          <t>CF</t>
        </is>
      </c>
      <c r="I547" s="24" t="inlineStr">
        <is>
          <t>현금흐름표</t>
        </is>
      </c>
      <c r="J547" s="24" t="inlineStr">
        <is>
          <t>dart_AdjustmentsForIncreasedecreaseInProvisions</t>
        </is>
      </c>
      <c r="K547" s="24" t="inlineStr">
        <is>
          <t>충당부채의 증가(감소)</t>
        </is>
      </c>
      <c r="L547" s="24" t="inlineStr">
        <is>
          <t>-</t>
        </is>
      </c>
      <c r="M547" s="24" t="inlineStr">
        <is>
          <t>제 44 기</t>
        </is>
      </c>
      <c r="N547" s="24" t="inlineStr">
        <is>
          <t>-1875931621.0</t>
        </is>
      </c>
      <c r="O547" s="24" t="inlineStr">
        <is>
          <t>388722598.0</t>
        </is>
      </c>
      <c r="P547" s="24" t="inlineStr">
        <is>
          <t>KRW</t>
        </is>
      </c>
      <c r="Q547" s="24" t="inlineStr">
        <is>
          <t>36</t>
        </is>
      </c>
    </row>
    <row r="548" ht="24" customHeight="1">
      <c r="A548" s="29" t="inlineStr">
        <is>
          <t>OpenDART_fnlttSinglAcntAll</t>
        </is>
      </c>
      <c r="B548" s="29" t="inlineStr">
        <is>
          <t>00161383</t>
        </is>
      </c>
      <c r="C548" s="29" t="inlineStr">
        <is>
          <t>한미반도체</t>
        </is>
      </c>
      <c r="D548" s="29" t="inlineStr">
        <is>
          <t>hanmi</t>
        </is>
      </c>
      <c r="E548" s="29" t="inlineStr">
        <is>
          <t>042700</t>
        </is>
      </c>
      <c r="F548" s="29" t="inlineStr">
        <is>
          <t>2023</t>
        </is>
      </c>
      <c r="G548" s="29" t="inlineStr">
        <is>
          <t>CFS</t>
        </is>
      </c>
      <c r="H548" s="29" t="inlineStr">
        <is>
          <t>CF</t>
        </is>
      </c>
      <c r="I548" s="29" t="inlineStr">
        <is>
          <t>현금흐름표</t>
        </is>
      </c>
      <c r="J548" s="29" t="inlineStr">
        <is>
          <t>-표준계정코드 미사용-</t>
        </is>
      </c>
      <c r="K548" s="29" t="inlineStr">
        <is>
          <t>퇴직급여자산의 감소(증가)</t>
        </is>
      </c>
      <c r="L548" s="29" t="inlineStr">
        <is>
          <t>-</t>
        </is>
      </c>
      <c r="M548" s="29" t="inlineStr">
        <is>
          <t>제 44 기</t>
        </is>
      </c>
      <c r="N548" s="29" t="inlineStr">
        <is>
          <t>-1167891910.0</t>
        </is>
      </c>
      <c r="O548" s="29" t="inlineStr">
        <is>
          <t>-4155164670.0</t>
        </is>
      </c>
      <c r="P548" s="29" t="inlineStr">
        <is>
          <t>KRW</t>
        </is>
      </c>
      <c r="Q548" s="29" t="inlineStr">
        <is>
          <t>37</t>
        </is>
      </c>
    </row>
    <row r="549" ht="24" customHeight="1">
      <c r="A549" s="24" t="inlineStr">
        <is>
          <t>OpenDART_fnlttSinglAcntAll</t>
        </is>
      </c>
      <c r="B549" s="24" t="inlineStr">
        <is>
          <t>00161383</t>
        </is>
      </c>
      <c r="C549" s="24" t="inlineStr">
        <is>
          <t>한미반도체</t>
        </is>
      </c>
      <c r="D549" s="24" t="inlineStr">
        <is>
          <t>hanmi</t>
        </is>
      </c>
      <c r="E549" s="24" t="inlineStr">
        <is>
          <t>042700</t>
        </is>
      </c>
      <c r="F549" s="24" t="inlineStr">
        <is>
          <t>2023</t>
        </is>
      </c>
      <c r="G549" s="24" t="inlineStr">
        <is>
          <t>CFS</t>
        </is>
      </c>
      <c r="H549" s="24" t="inlineStr">
        <is>
          <t>CF</t>
        </is>
      </c>
      <c r="I549" s="24" t="inlineStr">
        <is>
          <t>현금흐름표</t>
        </is>
      </c>
      <c r="J549" s="24" t="inlineStr">
        <is>
          <t>ifrs-full_AdjustmentsForDecreaseIncreaseInInventories</t>
        </is>
      </c>
      <c r="K549" s="24" t="inlineStr">
        <is>
          <t>재고자산의 감소(증가)</t>
        </is>
      </c>
      <c r="L549" s="24" t="inlineStr">
        <is>
          <t>-</t>
        </is>
      </c>
      <c r="M549" s="24" t="inlineStr">
        <is>
          <t>제 44 기</t>
        </is>
      </c>
      <c r="N549" s="24" t="inlineStr">
        <is>
          <t>-18912788641.0</t>
        </is>
      </c>
      <c r="O549" s="24" t="inlineStr">
        <is>
          <t>638511624.0</t>
        </is>
      </c>
      <c r="P549" s="24" t="inlineStr">
        <is>
          <t>KRW</t>
        </is>
      </c>
      <c r="Q549" s="24" t="inlineStr">
        <is>
          <t>38</t>
        </is>
      </c>
    </row>
    <row r="550" ht="24" customHeight="1">
      <c r="A550" s="29" t="inlineStr">
        <is>
          <t>OpenDART_fnlttSinglAcntAll</t>
        </is>
      </c>
      <c r="B550" s="29" t="inlineStr">
        <is>
          <t>00161383</t>
        </is>
      </c>
      <c r="C550" s="29" t="inlineStr">
        <is>
          <t>한미반도체</t>
        </is>
      </c>
      <c r="D550" s="29" t="inlineStr">
        <is>
          <t>hanmi</t>
        </is>
      </c>
      <c r="E550" s="29" t="inlineStr">
        <is>
          <t>042700</t>
        </is>
      </c>
      <c r="F550" s="29" t="inlineStr">
        <is>
          <t>2023</t>
        </is>
      </c>
      <c r="G550" s="29" t="inlineStr">
        <is>
          <t>CFS</t>
        </is>
      </c>
      <c r="H550" s="29" t="inlineStr">
        <is>
          <t>CF</t>
        </is>
      </c>
      <c r="I550" s="29" t="inlineStr">
        <is>
          <t>현금흐름표</t>
        </is>
      </c>
      <c r="J550" s="29" t="inlineStr">
        <is>
          <t>ifrs-full_AdjustmentsForDecreaseIncreaseInOtherCurrentAssets</t>
        </is>
      </c>
      <c r="K550" s="29" t="inlineStr">
        <is>
          <t>기타유동자산의 감소(증가)</t>
        </is>
      </c>
      <c r="L550" s="29" t="inlineStr">
        <is>
          <t>-</t>
        </is>
      </c>
      <c r="M550" s="29" t="inlineStr">
        <is>
          <t>제 44 기</t>
        </is>
      </c>
      <c r="N550" s="29" t="inlineStr">
        <is>
          <t>-705198050.0</t>
        </is>
      </c>
      <c r="O550" s="29" t="inlineStr">
        <is>
          <t>-856375701.0</t>
        </is>
      </c>
      <c r="P550" s="29" t="inlineStr">
        <is>
          <t>KRW</t>
        </is>
      </c>
      <c r="Q550" s="29" t="inlineStr">
        <is>
          <t>39</t>
        </is>
      </c>
    </row>
    <row r="551" ht="24" customHeight="1">
      <c r="A551" s="24" t="inlineStr">
        <is>
          <t>OpenDART_fnlttSinglAcntAll</t>
        </is>
      </c>
      <c r="B551" s="24" t="inlineStr">
        <is>
          <t>00161383</t>
        </is>
      </c>
      <c r="C551" s="24" t="inlineStr">
        <is>
          <t>한미반도체</t>
        </is>
      </c>
      <c r="D551" s="24" t="inlineStr">
        <is>
          <t>hanmi</t>
        </is>
      </c>
      <c r="E551" s="24" t="inlineStr">
        <is>
          <t>042700</t>
        </is>
      </c>
      <c r="F551" s="24" t="inlineStr">
        <is>
          <t>2023</t>
        </is>
      </c>
      <c r="G551" s="24" t="inlineStr">
        <is>
          <t>CFS</t>
        </is>
      </c>
      <c r="H551" s="24" t="inlineStr">
        <is>
          <t>CF</t>
        </is>
      </c>
      <c r="I551" s="24" t="inlineStr">
        <is>
          <t>현금흐름표</t>
        </is>
      </c>
      <c r="J551" s="24" t="inlineStr">
        <is>
          <t>ifrs-full_AdjustmentsForDecreaseIncreaseInTradeAccountReceivable</t>
        </is>
      </c>
      <c r="K551" s="24" t="inlineStr">
        <is>
          <t>매출채권의 감소(증가)</t>
        </is>
      </c>
      <c r="L551" s="24" t="inlineStr">
        <is>
          <t>-</t>
        </is>
      </c>
      <c r="M551" s="24" t="inlineStr">
        <is>
          <t>제 44 기</t>
        </is>
      </c>
      <c r="N551" s="24" t="inlineStr">
        <is>
          <t>48008005268.0</t>
        </is>
      </c>
      <c r="O551" s="24" t="inlineStr">
        <is>
          <t>10867638357.0</t>
        </is>
      </c>
      <c r="P551" s="24" t="inlineStr">
        <is>
          <t>KRW</t>
        </is>
      </c>
      <c r="Q551" s="24" t="inlineStr">
        <is>
          <t>40</t>
        </is>
      </c>
    </row>
    <row r="552" ht="24" customHeight="1">
      <c r="A552" s="29" t="inlineStr">
        <is>
          <t>OpenDART_fnlttSinglAcntAll</t>
        </is>
      </c>
      <c r="B552" s="29" t="inlineStr">
        <is>
          <t>00161383</t>
        </is>
      </c>
      <c r="C552" s="29" t="inlineStr">
        <is>
          <t>한미반도체</t>
        </is>
      </c>
      <c r="D552" s="29" t="inlineStr">
        <is>
          <t>hanmi</t>
        </is>
      </c>
      <c r="E552" s="29" t="inlineStr">
        <is>
          <t>042700</t>
        </is>
      </c>
      <c r="F552" s="29" t="inlineStr">
        <is>
          <t>2023</t>
        </is>
      </c>
      <c r="G552" s="29" t="inlineStr">
        <is>
          <t>CFS</t>
        </is>
      </c>
      <c r="H552" s="29" t="inlineStr">
        <is>
          <t>CF</t>
        </is>
      </c>
      <c r="I552" s="29" t="inlineStr">
        <is>
          <t>현금흐름표</t>
        </is>
      </c>
      <c r="J552" s="29" t="inlineStr">
        <is>
          <t>ifrs-full_AdjustmentsForIncreaseDecreaseInOtherCurrentLiabilities</t>
        </is>
      </c>
      <c r="K552" s="29" t="inlineStr">
        <is>
          <t>기타유동부채의 증가(감소)</t>
        </is>
      </c>
      <c r="L552" s="29" t="inlineStr">
        <is>
          <t>-</t>
        </is>
      </c>
      <c r="M552" s="29" t="inlineStr">
        <is>
          <t>제 44 기</t>
        </is>
      </c>
      <c r="N552" s="29" t="inlineStr">
        <is>
          <t>-696094868.0</t>
        </is>
      </c>
      <c r="O552" s="29" t="inlineStr">
        <is>
          <t>438708666.0</t>
        </is>
      </c>
      <c r="P552" s="29" t="inlineStr">
        <is>
          <t>KRW</t>
        </is>
      </c>
      <c r="Q552" s="29" t="inlineStr">
        <is>
          <t>41</t>
        </is>
      </c>
    </row>
    <row r="553" ht="24" customHeight="1">
      <c r="A553" s="24" t="inlineStr">
        <is>
          <t>OpenDART_fnlttSinglAcntAll</t>
        </is>
      </c>
      <c r="B553" s="24" t="inlineStr">
        <is>
          <t>00161383</t>
        </is>
      </c>
      <c r="C553" s="24" t="inlineStr">
        <is>
          <t>한미반도체</t>
        </is>
      </c>
      <c r="D553" s="24" t="inlineStr">
        <is>
          <t>hanmi</t>
        </is>
      </c>
      <c r="E553" s="24" t="inlineStr">
        <is>
          <t>042700</t>
        </is>
      </c>
      <c r="F553" s="24" t="inlineStr">
        <is>
          <t>2023</t>
        </is>
      </c>
      <c r="G553" s="24" t="inlineStr">
        <is>
          <t>CFS</t>
        </is>
      </c>
      <c r="H553" s="24" t="inlineStr">
        <is>
          <t>CF</t>
        </is>
      </c>
      <c r="I553" s="24" t="inlineStr">
        <is>
          <t>현금흐름표</t>
        </is>
      </c>
      <c r="J553" s="24" t="inlineStr">
        <is>
          <t>ifrs-full_AdjustmentsForIncreaseDecreaseInTradeAccountPayable</t>
        </is>
      </c>
      <c r="K553" s="24" t="inlineStr">
        <is>
          <t>매입채무의 증가(감소)</t>
        </is>
      </c>
      <c r="L553" s="24" t="inlineStr">
        <is>
          <t>-</t>
        </is>
      </c>
      <c r="M553" s="24" t="inlineStr">
        <is>
          <t>제 44 기</t>
        </is>
      </c>
      <c r="N553" s="24" t="inlineStr">
        <is>
          <t>5809743278.0</t>
        </is>
      </c>
      <c r="O553" s="24" t="inlineStr">
        <is>
          <t>-20418448894.0</t>
        </is>
      </c>
      <c r="P553" s="24" t="inlineStr">
        <is>
          <t>KRW</t>
        </is>
      </c>
      <c r="Q553" s="24" t="inlineStr">
        <is>
          <t>42</t>
        </is>
      </c>
    </row>
    <row r="554" ht="24" customHeight="1">
      <c r="A554" s="29" t="inlineStr">
        <is>
          <t>OpenDART_fnlttSinglAcntAll</t>
        </is>
      </c>
      <c r="B554" s="29" t="inlineStr">
        <is>
          <t>00161383</t>
        </is>
      </c>
      <c r="C554" s="29" t="inlineStr">
        <is>
          <t>한미반도체</t>
        </is>
      </c>
      <c r="D554" s="29" t="inlineStr">
        <is>
          <t>hanmi</t>
        </is>
      </c>
      <c r="E554" s="29" t="inlineStr">
        <is>
          <t>042700</t>
        </is>
      </c>
      <c r="F554" s="29" t="inlineStr">
        <is>
          <t>2023</t>
        </is>
      </c>
      <c r="G554" s="29" t="inlineStr">
        <is>
          <t>CFS</t>
        </is>
      </c>
      <c r="H554" s="29" t="inlineStr">
        <is>
          <t>CF</t>
        </is>
      </c>
      <c r="I554" s="29" t="inlineStr">
        <is>
          <t>현금흐름표</t>
        </is>
      </c>
      <c r="J554" s="29" t="inlineStr">
        <is>
          <t>ifrs-full_AdjustmentsForReconcileProfitLoss</t>
        </is>
      </c>
      <c r="K554" s="29" t="inlineStr">
        <is>
          <t>조정</t>
        </is>
      </c>
      <c r="L554" s="29" t="inlineStr">
        <is>
          <t>-</t>
        </is>
      </c>
      <c r="M554" s="29" t="inlineStr">
        <is>
          <t>제 44 기</t>
        </is>
      </c>
      <c r="N554" s="29" t="inlineStr">
        <is>
          <t>-226402659471.0</t>
        </is>
      </c>
      <c r="O554" s="29" t="inlineStr">
        <is>
          <t>63123198882.0</t>
        </is>
      </c>
      <c r="P554" s="29" t="inlineStr">
        <is>
          <t>KRW</t>
        </is>
      </c>
      <c r="Q554" s="29" t="inlineStr">
        <is>
          <t>43</t>
        </is>
      </c>
    </row>
    <row r="555" ht="24" customHeight="1">
      <c r="A555" s="24" t="inlineStr">
        <is>
          <t>OpenDART_fnlttSinglAcntAll</t>
        </is>
      </c>
      <c r="B555" s="24" t="inlineStr">
        <is>
          <t>00161383</t>
        </is>
      </c>
      <c r="C555" s="24" t="inlineStr">
        <is>
          <t>한미반도체</t>
        </is>
      </c>
      <c r="D555" s="24" t="inlineStr">
        <is>
          <t>hanmi</t>
        </is>
      </c>
      <c r="E555" s="24" t="inlineStr">
        <is>
          <t>042700</t>
        </is>
      </c>
      <c r="F555" s="24" t="inlineStr">
        <is>
          <t>2023</t>
        </is>
      </c>
      <c r="G555" s="24" t="inlineStr">
        <is>
          <t>CFS</t>
        </is>
      </c>
      <c r="H555" s="24" t="inlineStr">
        <is>
          <t>CF</t>
        </is>
      </c>
      <c r="I555" s="24" t="inlineStr">
        <is>
          <t>현금흐름표</t>
        </is>
      </c>
      <c r="J555" s="24" t="inlineStr">
        <is>
          <t>dart_AdjustmentsForBadDebtExpenses</t>
        </is>
      </c>
      <c r="K555" s="24" t="inlineStr">
        <is>
          <t>대손상각비(환입)</t>
        </is>
      </c>
      <c r="L555" s="24" t="inlineStr">
        <is>
          <t>-</t>
        </is>
      </c>
      <c r="M555" s="24" t="inlineStr">
        <is>
          <t>제 44 기</t>
        </is>
      </c>
      <c r="N555" s="24" t="inlineStr">
        <is>
          <t>-7565505197.0</t>
        </is>
      </c>
      <c r="O555" s="24" t="inlineStr">
        <is>
          <t>14286657306.0</t>
        </is>
      </c>
      <c r="P555" s="24" t="inlineStr">
        <is>
          <t>KRW</t>
        </is>
      </c>
      <c r="Q555" s="24" t="inlineStr">
        <is>
          <t>44</t>
        </is>
      </c>
    </row>
    <row r="556" ht="24" customHeight="1">
      <c r="A556" s="29" t="inlineStr">
        <is>
          <t>OpenDART_fnlttSinglAcntAll</t>
        </is>
      </c>
      <c r="B556" s="29" t="inlineStr">
        <is>
          <t>00161383</t>
        </is>
      </c>
      <c r="C556" s="29" t="inlineStr">
        <is>
          <t>한미반도체</t>
        </is>
      </c>
      <c r="D556" s="29" t="inlineStr">
        <is>
          <t>hanmi</t>
        </is>
      </c>
      <c r="E556" s="29" t="inlineStr">
        <is>
          <t>042700</t>
        </is>
      </c>
      <c r="F556" s="29" t="inlineStr">
        <is>
          <t>2023</t>
        </is>
      </c>
      <c r="G556" s="29" t="inlineStr">
        <is>
          <t>CFS</t>
        </is>
      </c>
      <c r="H556" s="29" t="inlineStr">
        <is>
          <t>CF</t>
        </is>
      </c>
      <c r="I556" s="29" t="inlineStr">
        <is>
          <t>현금흐름표</t>
        </is>
      </c>
      <c r="J556" s="29" t="inlineStr">
        <is>
          <t>dart_AdjustmentsForGainOnDispositionOfTangibleAssets</t>
        </is>
      </c>
      <c r="K556" s="29" t="inlineStr">
        <is>
          <t>유형자산처분이익</t>
        </is>
      </c>
      <c r="L556" s="29" t="inlineStr">
        <is>
          <t>-</t>
        </is>
      </c>
      <c r="M556" s="29" t="inlineStr">
        <is>
          <t>제 44 기</t>
        </is>
      </c>
      <c r="N556" s="29" t="inlineStr">
        <is>
          <t>88235708.0</t>
        </is>
      </c>
      <c r="O556" s="29" t="inlineStr">
        <is>
          <t>84740491.0</t>
        </is>
      </c>
      <c r="P556" s="29" t="inlineStr">
        <is>
          <t>KRW</t>
        </is>
      </c>
      <c r="Q556" s="29" t="inlineStr">
        <is>
          <t>45</t>
        </is>
      </c>
    </row>
    <row r="557" ht="24" customHeight="1">
      <c r="A557" s="24" t="inlineStr">
        <is>
          <t>OpenDART_fnlttSinglAcntAll</t>
        </is>
      </c>
      <c r="B557" s="24" t="inlineStr">
        <is>
          <t>00161383</t>
        </is>
      </c>
      <c r="C557" s="24" t="inlineStr">
        <is>
          <t>한미반도체</t>
        </is>
      </c>
      <c r="D557" s="24" t="inlineStr">
        <is>
          <t>hanmi</t>
        </is>
      </c>
      <c r="E557" s="24" t="inlineStr">
        <is>
          <t>042700</t>
        </is>
      </c>
      <c r="F557" s="24" t="inlineStr">
        <is>
          <t>2023</t>
        </is>
      </c>
      <c r="G557" s="24" t="inlineStr">
        <is>
          <t>CFS</t>
        </is>
      </c>
      <c r="H557" s="24" t="inlineStr">
        <is>
          <t>CF</t>
        </is>
      </c>
      <c r="I557" s="24" t="inlineStr">
        <is>
          <t>현금흐름표</t>
        </is>
      </c>
      <c r="J557" s="24" t="inlineStr">
        <is>
          <t>dart_AdjustmentsForGainsOnDisposalsOfNoncurrentAssetsOrDisposalGroupsClassifiedAsHeldForSale</t>
        </is>
      </c>
      <c r="K557" s="24" t="inlineStr">
        <is>
          <t>매각예정비유동자산처분이익</t>
        </is>
      </c>
      <c r="L557" s="24" t="inlineStr">
        <is>
          <t>-</t>
        </is>
      </c>
      <c r="M557" s="24" t="inlineStr">
        <is>
          <t>제 44 기</t>
        </is>
      </c>
      <c r="N557" s="24" t="inlineStr">
        <is>
          <t>0.0</t>
        </is>
      </c>
      <c r="O557" s="24" t="inlineStr">
        <is>
          <t>4664047681.0</t>
        </is>
      </c>
      <c r="P557" s="24" t="inlineStr">
        <is>
          <t>KRW</t>
        </is>
      </c>
      <c r="Q557" s="24" t="inlineStr">
        <is>
          <t>46</t>
        </is>
      </c>
    </row>
    <row r="558" ht="24" customHeight="1">
      <c r="A558" s="29" t="inlineStr">
        <is>
          <t>OpenDART_fnlttSinglAcntAll</t>
        </is>
      </c>
      <c r="B558" s="29" t="inlineStr">
        <is>
          <t>00161383</t>
        </is>
      </c>
      <c r="C558" s="29" t="inlineStr">
        <is>
          <t>한미반도체</t>
        </is>
      </c>
      <c r="D558" s="29" t="inlineStr">
        <is>
          <t>hanmi</t>
        </is>
      </c>
      <c r="E558" s="29" t="inlineStr">
        <is>
          <t>042700</t>
        </is>
      </c>
      <c r="F558" s="29" t="inlineStr">
        <is>
          <t>2023</t>
        </is>
      </c>
      <c r="G558" s="29" t="inlineStr">
        <is>
          <t>CFS</t>
        </is>
      </c>
      <c r="H558" s="29" t="inlineStr">
        <is>
          <t>CF</t>
        </is>
      </c>
      <c r="I558" s="29" t="inlineStr">
        <is>
          <t>현금흐름표</t>
        </is>
      </c>
      <c r="J558" s="29" t="inlineStr">
        <is>
          <t>dart_AdjustmentsForGainsOnEvaluationOfFairValueFinancialAssets</t>
        </is>
      </c>
      <c r="K558" s="29" t="inlineStr">
        <is>
          <t>당기손익-공정가치측정금융자산 평가이익</t>
        </is>
      </c>
      <c r="L558" s="29" t="inlineStr">
        <is>
          <t>-</t>
        </is>
      </c>
      <c r="M558" s="29" t="inlineStr">
        <is>
          <t>제 44 기</t>
        </is>
      </c>
      <c r="N558" s="29" t="inlineStr">
        <is>
          <t>207081242600.0</t>
        </is>
      </c>
      <c r="O558" s="29" t="inlineStr">
        <is>
          <t>0.0</t>
        </is>
      </c>
      <c r="P558" s="29" t="inlineStr">
        <is>
          <t>KRW</t>
        </is>
      </c>
      <c r="Q558" s="29" t="inlineStr">
        <is>
          <t>47</t>
        </is>
      </c>
    </row>
    <row r="559" ht="24" customHeight="1">
      <c r="A559" s="24" t="inlineStr">
        <is>
          <t>OpenDART_fnlttSinglAcntAll</t>
        </is>
      </c>
      <c r="B559" s="24" t="inlineStr">
        <is>
          <t>00161383</t>
        </is>
      </c>
      <c r="C559" s="24" t="inlineStr">
        <is>
          <t>한미반도체</t>
        </is>
      </c>
      <c r="D559" s="24" t="inlineStr">
        <is>
          <t>hanmi</t>
        </is>
      </c>
      <c r="E559" s="24" t="inlineStr">
        <is>
          <t>042700</t>
        </is>
      </c>
      <c r="F559" s="24" t="inlineStr">
        <is>
          <t>2023</t>
        </is>
      </c>
      <c r="G559" s="24" t="inlineStr">
        <is>
          <t>CFS</t>
        </is>
      </c>
      <c r="H559" s="24" t="inlineStr">
        <is>
          <t>CF</t>
        </is>
      </c>
      <c r="I559" s="24" t="inlineStr">
        <is>
          <t>현금흐름표</t>
        </is>
      </c>
      <c r="J559" s="24" t="inlineStr">
        <is>
          <t>dart_AdjustmentsForImpairmentLossesOfIntangibleAssets</t>
        </is>
      </c>
      <c r="K559" s="24" t="inlineStr">
        <is>
          <t>무형자산손상차손</t>
        </is>
      </c>
      <c r="L559" s="24" t="inlineStr">
        <is>
          <t>-</t>
        </is>
      </c>
      <c r="M559" s="24" t="inlineStr">
        <is>
          <t>제 44 기</t>
        </is>
      </c>
      <c r="N559" s="24" t="inlineStr">
        <is>
          <t>0.0</t>
        </is>
      </c>
      <c r="O559" s="24" t="inlineStr">
        <is>
          <t>130456524.0</t>
        </is>
      </c>
      <c r="P559" s="24" t="inlineStr">
        <is>
          <t>KRW</t>
        </is>
      </c>
      <c r="Q559" s="24" t="inlineStr">
        <is>
          <t>48</t>
        </is>
      </c>
    </row>
    <row r="560" ht="24" customHeight="1">
      <c r="A560" s="29" t="inlineStr">
        <is>
          <t>OpenDART_fnlttSinglAcntAll</t>
        </is>
      </c>
      <c r="B560" s="29" t="inlineStr">
        <is>
          <t>00161383</t>
        </is>
      </c>
      <c r="C560" s="29" t="inlineStr">
        <is>
          <t>한미반도체</t>
        </is>
      </c>
      <c r="D560" s="29" t="inlineStr">
        <is>
          <t>hanmi</t>
        </is>
      </c>
      <c r="E560" s="29" t="inlineStr">
        <is>
          <t>042700</t>
        </is>
      </c>
      <c r="F560" s="29" t="inlineStr">
        <is>
          <t>2023</t>
        </is>
      </c>
      <c r="G560" s="29" t="inlineStr">
        <is>
          <t>CFS</t>
        </is>
      </c>
      <c r="H560" s="29" t="inlineStr">
        <is>
          <t>CF</t>
        </is>
      </c>
      <c r="I560" s="29" t="inlineStr">
        <is>
          <t>현금흐름표</t>
        </is>
      </c>
      <c r="J560" s="29" t="inlineStr">
        <is>
          <t>dart_AdjustmentsForInterestExpenses</t>
        </is>
      </c>
      <c r="K560" s="29" t="inlineStr">
        <is>
          <t>이자비용</t>
        </is>
      </c>
      <c r="L560" s="29" t="inlineStr">
        <is>
          <t>-</t>
        </is>
      </c>
      <c r="M560" s="29" t="inlineStr">
        <is>
          <t>제 44 기</t>
        </is>
      </c>
      <c r="N560" s="29" t="inlineStr">
        <is>
          <t>11669747.0</t>
        </is>
      </c>
      <c r="O560" s="29" t="inlineStr">
        <is>
          <t>55790405.0</t>
        </is>
      </c>
      <c r="P560" s="29" t="inlineStr">
        <is>
          <t>KRW</t>
        </is>
      </c>
      <c r="Q560" s="29" t="inlineStr">
        <is>
          <t>49</t>
        </is>
      </c>
    </row>
    <row r="561" ht="24" customHeight="1">
      <c r="A561" s="24" t="inlineStr">
        <is>
          <t>OpenDART_fnlttSinglAcntAll</t>
        </is>
      </c>
      <c r="B561" s="24" t="inlineStr">
        <is>
          <t>00161383</t>
        </is>
      </c>
      <c r="C561" s="24" t="inlineStr">
        <is>
          <t>한미반도체</t>
        </is>
      </c>
      <c r="D561" s="24" t="inlineStr">
        <is>
          <t>hanmi</t>
        </is>
      </c>
      <c r="E561" s="24" t="inlineStr">
        <is>
          <t>042700</t>
        </is>
      </c>
      <c r="F561" s="24" t="inlineStr">
        <is>
          <t>2023</t>
        </is>
      </c>
      <c r="G561" s="24" t="inlineStr">
        <is>
          <t>CFS</t>
        </is>
      </c>
      <c r="H561" s="24" t="inlineStr">
        <is>
          <t>CF</t>
        </is>
      </c>
      <c r="I561" s="24" t="inlineStr">
        <is>
          <t>현금흐름표</t>
        </is>
      </c>
      <c r="J561" s="24" t="inlineStr">
        <is>
          <t>dart_AdjustmentsForLossesOnDisposalsOfIntangibleAssets</t>
        </is>
      </c>
      <c r="K561" s="24" t="inlineStr">
        <is>
          <t>무형자산처분손실</t>
        </is>
      </c>
      <c r="L561" s="24" t="inlineStr">
        <is>
          <t>-</t>
        </is>
      </c>
      <c r="M561" s="24" t="inlineStr">
        <is>
          <t>제 44 기</t>
        </is>
      </c>
      <c r="N561" s="24" t="inlineStr">
        <is>
          <t>3269930.0</t>
        </is>
      </c>
      <c r="O561" s="24" t="inlineStr">
        <is>
          <t>1661500.0</t>
        </is>
      </c>
      <c r="P561" s="24" t="inlineStr">
        <is>
          <t>KRW</t>
        </is>
      </c>
      <c r="Q561" s="24" t="inlineStr">
        <is>
          <t>50</t>
        </is>
      </c>
    </row>
    <row r="562" ht="24" customHeight="1">
      <c r="A562" s="29" t="inlineStr">
        <is>
          <t>OpenDART_fnlttSinglAcntAll</t>
        </is>
      </c>
      <c r="B562" s="29" t="inlineStr">
        <is>
          <t>00161383</t>
        </is>
      </c>
      <c r="C562" s="29" t="inlineStr">
        <is>
          <t>한미반도체</t>
        </is>
      </c>
      <c r="D562" s="29" t="inlineStr">
        <is>
          <t>hanmi</t>
        </is>
      </c>
      <c r="E562" s="29" t="inlineStr">
        <is>
          <t>042700</t>
        </is>
      </c>
      <c r="F562" s="29" t="inlineStr">
        <is>
          <t>2023</t>
        </is>
      </c>
      <c r="G562" s="29" t="inlineStr">
        <is>
          <t>CFS</t>
        </is>
      </c>
      <c r="H562" s="29" t="inlineStr">
        <is>
          <t>CF</t>
        </is>
      </c>
      <c r="I562" s="29" t="inlineStr">
        <is>
          <t>현금흐름표</t>
        </is>
      </c>
      <c r="J562" s="29" t="inlineStr">
        <is>
          <t>dart_AdjustmentsForLossesOnDispositionOfPropertyPlantAndEquipment</t>
        </is>
      </c>
      <c r="K562" s="29" t="inlineStr">
        <is>
          <t>유형자산처분손실</t>
        </is>
      </c>
      <c r="L562" s="29" t="inlineStr">
        <is>
          <t>-</t>
        </is>
      </c>
      <c r="M562" s="29" t="inlineStr">
        <is>
          <t>제 44 기</t>
        </is>
      </c>
      <c r="N562" s="29" t="inlineStr">
        <is>
          <t>1057831039.0</t>
        </is>
      </c>
      <c r="O562" s="29" t="inlineStr">
        <is>
          <t>147782085.0</t>
        </is>
      </c>
      <c r="P562" s="29" t="inlineStr">
        <is>
          <t>KRW</t>
        </is>
      </c>
      <c r="Q562" s="29" t="inlineStr">
        <is>
          <t>51</t>
        </is>
      </c>
    </row>
    <row r="563" ht="24" customHeight="1">
      <c r="A563" s="24" t="inlineStr">
        <is>
          <t>OpenDART_fnlttSinglAcntAll</t>
        </is>
      </c>
      <c r="B563" s="24" t="inlineStr">
        <is>
          <t>00161383</t>
        </is>
      </c>
      <c r="C563" s="24" t="inlineStr">
        <is>
          <t>한미반도체</t>
        </is>
      </c>
      <c r="D563" s="24" t="inlineStr">
        <is>
          <t>hanmi</t>
        </is>
      </c>
      <c r="E563" s="24" t="inlineStr">
        <is>
          <t>042700</t>
        </is>
      </c>
      <c r="F563" s="24" t="inlineStr">
        <is>
          <t>2023</t>
        </is>
      </c>
      <c r="G563" s="24" t="inlineStr">
        <is>
          <t>CFS</t>
        </is>
      </c>
      <c r="H563" s="24" t="inlineStr">
        <is>
          <t>CF</t>
        </is>
      </c>
      <c r="I563" s="24" t="inlineStr">
        <is>
          <t>현금흐름표</t>
        </is>
      </c>
      <c r="J563" s="24" t="inlineStr">
        <is>
          <t>dart_AdjustmentsForLossesOnForeignExchangeTranslations</t>
        </is>
      </c>
      <c r="K563" s="24" t="inlineStr">
        <is>
          <t>외화환산손실</t>
        </is>
      </c>
      <c r="L563" s="24" t="inlineStr">
        <is>
          <t>-</t>
        </is>
      </c>
      <c r="M563" s="24" t="inlineStr">
        <is>
          <t>제 44 기</t>
        </is>
      </c>
      <c r="N563" s="24" t="inlineStr">
        <is>
          <t>479004134.0</t>
        </is>
      </c>
      <c r="O563" s="24" t="inlineStr">
        <is>
          <t>4293406188.0</t>
        </is>
      </c>
      <c r="P563" s="24" t="inlineStr">
        <is>
          <t>KRW</t>
        </is>
      </c>
      <c r="Q563" s="24" t="inlineStr">
        <is>
          <t>52</t>
        </is>
      </c>
    </row>
    <row r="564" ht="24" customHeight="1">
      <c r="A564" s="29" t="inlineStr">
        <is>
          <t>OpenDART_fnlttSinglAcntAll</t>
        </is>
      </c>
      <c r="B564" s="29" t="inlineStr">
        <is>
          <t>00161383</t>
        </is>
      </c>
      <c r="C564" s="29" t="inlineStr">
        <is>
          <t>한미반도체</t>
        </is>
      </c>
      <c r="D564" s="29" t="inlineStr">
        <is>
          <t>hanmi</t>
        </is>
      </c>
      <c r="E564" s="29" t="inlineStr">
        <is>
          <t>042700</t>
        </is>
      </c>
      <c r="F564" s="29" t="inlineStr">
        <is>
          <t>2023</t>
        </is>
      </c>
      <c r="G564" s="29" t="inlineStr">
        <is>
          <t>CFS</t>
        </is>
      </c>
      <c r="H564" s="29" t="inlineStr">
        <is>
          <t>CF</t>
        </is>
      </c>
      <c r="I564" s="29" t="inlineStr">
        <is>
          <t>현금흐름표</t>
        </is>
      </c>
      <c r="J564" s="29" t="inlineStr">
        <is>
          <t>dart_AdjustmentsForOtherGainsWithoutCashFlowIn</t>
        </is>
      </c>
      <c r="K564" s="29" t="inlineStr">
        <is>
          <t>기타현금유출입이없는비용(수익)</t>
        </is>
      </c>
      <c r="L564" s="29" t="inlineStr">
        <is>
          <t>-</t>
        </is>
      </c>
      <c r="M564" s="29" t="inlineStr">
        <is>
          <t>제 44 기</t>
        </is>
      </c>
      <c r="N564" s="29" t="inlineStr">
        <is>
          <t>-721537447.0</t>
        </is>
      </c>
      <c r="O564" s="29" t="inlineStr">
        <is>
          <t>-5444945.0</t>
        </is>
      </c>
      <c r="P564" s="29" t="inlineStr">
        <is>
          <t>KRW</t>
        </is>
      </c>
      <c r="Q564" s="29" t="inlineStr">
        <is>
          <t>53</t>
        </is>
      </c>
    </row>
    <row r="565" ht="24" customHeight="1">
      <c r="A565" s="24" t="inlineStr">
        <is>
          <t>OpenDART_fnlttSinglAcntAll</t>
        </is>
      </c>
      <c r="B565" s="24" t="inlineStr">
        <is>
          <t>00161383</t>
        </is>
      </c>
      <c r="C565" s="24" t="inlineStr">
        <is>
          <t>한미반도체</t>
        </is>
      </c>
      <c r="D565" s="24" t="inlineStr">
        <is>
          <t>hanmi</t>
        </is>
      </c>
      <c r="E565" s="24" t="inlineStr">
        <is>
          <t>042700</t>
        </is>
      </c>
      <c r="F565" s="24" t="inlineStr">
        <is>
          <t>2023</t>
        </is>
      </c>
      <c r="G565" s="24" t="inlineStr">
        <is>
          <t>CFS</t>
        </is>
      </c>
      <c r="H565" s="24" t="inlineStr">
        <is>
          <t>CF</t>
        </is>
      </c>
      <c r="I565" s="24" t="inlineStr">
        <is>
          <t>현금흐름표</t>
        </is>
      </c>
      <c r="J565" s="24" t="inlineStr">
        <is>
          <t>dart_AdjustmentsForProfitsOfAssociatesAndJointVenturesAccountedForUsingEquityMethod</t>
        </is>
      </c>
      <c r="K565" s="24" t="inlineStr">
        <is>
          <t>지분법손익</t>
        </is>
      </c>
      <c r="L565" s="24" t="inlineStr">
        <is>
          <t>-</t>
        </is>
      </c>
      <c r="M565" s="24" t="inlineStr">
        <is>
          <t>제 44 기</t>
        </is>
      </c>
      <c r="N565" s="24" t="inlineStr">
        <is>
          <t>4374357077.0</t>
        </is>
      </c>
      <c r="O565" s="24" t="inlineStr">
        <is>
          <t>1180984703.0</t>
        </is>
      </c>
      <c r="P565" s="24" t="inlineStr">
        <is>
          <t>KRW</t>
        </is>
      </c>
      <c r="Q565" s="24" t="inlineStr">
        <is>
          <t>54</t>
        </is>
      </c>
    </row>
    <row r="566" ht="24" customHeight="1">
      <c r="A566" s="29" t="inlineStr">
        <is>
          <t>OpenDART_fnlttSinglAcntAll</t>
        </is>
      </c>
      <c r="B566" s="29" t="inlineStr">
        <is>
          <t>00161383</t>
        </is>
      </c>
      <c r="C566" s="29" t="inlineStr">
        <is>
          <t>한미반도체</t>
        </is>
      </c>
      <c r="D566" s="29" t="inlineStr">
        <is>
          <t>hanmi</t>
        </is>
      </c>
      <c r="E566" s="29" t="inlineStr">
        <is>
          <t>042700</t>
        </is>
      </c>
      <c r="F566" s="29" t="inlineStr">
        <is>
          <t>2023</t>
        </is>
      </c>
      <c r="G566" s="29" t="inlineStr">
        <is>
          <t>CFS</t>
        </is>
      </c>
      <c r="H566" s="29" t="inlineStr">
        <is>
          <t>CF</t>
        </is>
      </c>
      <c r="I566" s="29" t="inlineStr">
        <is>
          <t>현금흐름표</t>
        </is>
      </c>
      <c r="J566" s="29" t="inlineStr">
        <is>
          <t>dart_AdjustmentsForProvisionForSeveranceIndemnities</t>
        </is>
      </c>
      <c r="K566" s="29" t="inlineStr">
        <is>
          <t>퇴직급여</t>
        </is>
      </c>
      <c r="L566" s="29" t="inlineStr">
        <is>
          <t>-</t>
        </is>
      </c>
      <c r="M566" s="29" t="inlineStr">
        <is>
          <t>제 44 기</t>
        </is>
      </c>
      <c r="N566" s="29" t="inlineStr">
        <is>
          <t>2063859852.0</t>
        </is>
      </c>
      <c r="O566" s="29" t="inlineStr">
        <is>
          <t>2219766960.0</t>
        </is>
      </c>
      <c r="P566" s="29" t="inlineStr">
        <is>
          <t>KRW</t>
        </is>
      </c>
      <c r="Q566" s="29" t="inlineStr">
        <is>
          <t>55</t>
        </is>
      </c>
    </row>
    <row r="567" ht="24" customHeight="1">
      <c r="A567" s="24" t="inlineStr">
        <is>
          <t>OpenDART_fnlttSinglAcntAll</t>
        </is>
      </c>
      <c r="B567" s="24" t="inlineStr">
        <is>
          <t>00161383</t>
        </is>
      </c>
      <c r="C567" s="24" t="inlineStr">
        <is>
          <t>한미반도체</t>
        </is>
      </c>
      <c r="D567" s="24" t="inlineStr">
        <is>
          <t>hanmi</t>
        </is>
      </c>
      <c r="E567" s="24" t="inlineStr">
        <is>
          <t>042700</t>
        </is>
      </c>
      <c r="F567" s="24" t="inlineStr">
        <is>
          <t>2023</t>
        </is>
      </c>
      <c r="G567" s="24" t="inlineStr">
        <is>
          <t>CFS</t>
        </is>
      </c>
      <c r="H567" s="24" t="inlineStr">
        <is>
          <t>CF</t>
        </is>
      </c>
      <c r="I567" s="24" t="inlineStr">
        <is>
          <t>현금흐름표</t>
        </is>
      </c>
      <c r="J567" s="24" t="inlineStr">
        <is>
          <t>dart_AdjustmentsForShareBasedPayment</t>
        </is>
      </c>
      <c r="K567" s="24" t="inlineStr">
        <is>
          <t>주식보상비용</t>
        </is>
      </c>
      <c r="L567" s="24" t="inlineStr">
        <is>
          <t>-</t>
        </is>
      </c>
      <c r="M567" s="24" t="inlineStr">
        <is>
          <t>제 44 기</t>
        </is>
      </c>
      <c r="N567" s="24" t="inlineStr">
        <is>
          <t>25253454.0</t>
        </is>
      </c>
      <c r="O567" s="24" t="inlineStr">
        <is>
          <t>0.0</t>
        </is>
      </c>
      <c r="P567" s="24" t="inlineStr">
        <is>
          <t>KRW</t>
        </is>
      </c>
      <c r="Q567" s="24" t="inlineStr">
        <is>
          <t>56</t>
        </is>
      </c>
    </row>
    <row r="568" ht="24" customHeight="1">
      <c r="A568" s="29" t="inlineStr">
        <is>
          <t>OpenDART_fnlttSinglAcntAll</t>
        </is>
      </c>
      <c r="B568" s="29" t="inlineStr">
        <is>
          <t>00161383</t>
        </is>
      </c>
      <c r="C568" s="29" t="inlineStr">
        <is>
          <t>한미반도체</t>
        </is>
      </c>
      <c r="D568" s="29" t="inlineStr">
        <is>
          <t>hanmi</t>
        </is>
      </c>
      <c r="E568" s="29" t="inlineStr">
        <is>
          <t>042700</t>
        </is>
      </c>
      <c r="F568" s="29" t="inlineStr">
        <is>
          <t>2023</t>
        </is>
      </c>
      <c r="G568" s="29" t="inlineStr">
        <is>
          <t>CFS</t>
        </is>
      </c>
      <c r="H568" s="29" t="inlineStr">
        <is>
          <t>CF</t>
        </is>
      </c>
      <c r="I568" s="29" t="inlineStr">
        <is>
          <t>현금흐름표</t>
        </is>
      </c>
      <c r="J568" s="29" t="inlineStr">
        <is>
          <t>dart_AdjustmentsForWritedownsOfInventories</t>
        </is>
      </c>
      <c r="K568" s="29" t="inlineStr">
        <is>
          <t>재고자산평가손실</t>
        </is>
      </c>
      <c r="L568" s="29" t="inlineStr">
        <is>
          <t>-</t>
        </is>
      </c>
      <c r="M568" s="29" t="inlineStr">
        <is>
          <t>제 44 기</t>
        </is>
      </c>
      <c r="N568" s="29" t="inlineStr">
        <is>
          <t>2706748342.0</t>
        </is>
      </c>
      <c r="O568" s="29" t="inlineStr">
        <is>
          <t>5085220261.0</t>
        </is>
      </c>
      <c r="P568" s="29" t="inlineStr">
        <is>
          <t>KRW</t>
        </is>
      </c>
      <c r="Q568" s="29" t="inlineStr">
        <is>
          <t>57</t>
        </is>
      </c>
    </row>
    <row r="569" ht="24" customHeight="1">
      <c r="A569" s="24" t="inlineStr">
        <is>
          <t>OpenDART_fnlttSinglAcntAll</t>
        </is>
      </c>
      <c r="B569" s="24" t="inlineStr">
        <is>
          <t>00161383</t>
        </is>
      </c>
      <c r="C569" s="24" t="inlineStr">
        <is>
          <t>한미반도체</t>
        </is>
      </c>
      <c r="D569" s="24" t="inlineStr">
        <is>
          <t>hanmi</t>
        </is>
      </c>
      <c r="E569" s="24" t="inlineStr">
        <is>
          <t>042700</t>
        </is>
      </c>
      <c r="F569" s="24" t="inlineStr">
        <is>
          <t>2023</t>
        </is>
      </c>
      <c r="G569" s="24" t="inlineStr">
        <is>
          <t>CFS</t>
        </is>
      </c>
      <c r="H569" s="24" t="inlineStr">
        <is>
          <t>CF</t>
        </is>
      </c>
      <c r="I569" s="24" t="inlineStr">
        <is>
          <t>현금흐름표</t>
        </is>
      </c>
      <c r="J569" s="24" t="inlineStr">
        <is>
          <t>dart_LossesOnSaleOfInvestmentAccountedForUsingEquityMethod</t>
        </is>
      </c>
      <c r="K569" s="24" t="inlineStr">
        <is>
          <t>지분법적용투자주식처분손실</t>
        </is>
      </c>
      <c r="L569" s="24" t="inlineStr">
        <is>
          <t>-</t>
        </is>
      </c>
      <c r="M569" s="24" t="inlineStr">
        <is>
          <t>제 44 기</t>
        </is>
      </c>
      <c r="N569" s="24" t="inlineStr">
        <is>
          <t>0.0</t>
        </is>
      </c>
      <c r="O569" s="24" t="inlineStr">
        <is>
          <t>1129059749.0</t>
        </is>
      </c>
      <c r="P569" s="24" t="inlineStr">
        <is>
          <t>KRW</t>
        </is>
      </c>
      <c r="Q569" s="24" t="inlineStr">
        <is>
          <t>58</t>
        </is>
      </c>
    </row>
    <row r="570" ht="24" customHeight="1">
      <c r="A570" s="29" t="inlineStr">
        <is>
          <t>OpenDART_fnlttSinglAcntAll</t>
        </is>
      </c>
      <c r="B570" s="29" t="inlineStr">
        <is>
          <t>00161383</t>
        </is>
      </c>
      <c r="C570" s="29" t="inlineStr">
        <is>
          <t>한미반도체</t>
        </is>
      </c>
      <c r="D570" s="29" t="inlineStr">
        <is>
          <t>hanmi</t>
        </is>
      </c>
      <c r="E570" s="29" t="inlineStr">
        <is>
          <t>042700</t>
        </is>
      </c>
      <c r="F570" s="29" t="inlineStr">
        <is>
          <t>2023</t>
        </is>
      </c>
      <c r="G570" s="29" t="inlineStr">
        <is>
          <t>CFS</t>
        </is>
      </c>
      <c r="H570" s="29" t="inlineStr">
        <is>
          <t>CF</t>
        </is>
      </c>
      <c r="I570" s="29" t="inlineStr">
        <is>
          <t>현금흐름표</t>
        </is>
      </c>
      <c r="J570" s="29" t="inlineStr">
        <is>
          <t>dart_LossesOnValuationOfFairValueFinancialAsset</t>
        </is>
      </c>
      <c r="K570" s="29" t="inlineStr">
        <is>
          <t>당기손익-공정가치측정금융자산 평가손실</t>
        </is>
      </c>
      <c r="L570" s="29" t="inlineStr">
        <is>
          <t>-</t>
        </is>
      </c>
      <c r="M570" s="29" t="inlineStr">
        <is>
          <t>제 44 기</t>
        </is>
      </c>
      <c r="N570" s="29" t="inlineStr">
        <is>
          <t>0.0</t>
        </is>
      </c>
      <c r="O570" s="29" t="inlineStr">
        <is>
          <t>0.0</t>
        </is>
      </c>
      <c r="P570" s="29" t="inlineStr">
        <is>
          <t>KRW</t>
        </is>
      </c>
      <c r="Q570" s="29" t="inlineStr">
        <is>
          <t>59</t>
        </is>
      </c>
    </row>
    <row r="571" ht="24" customHeight="1">
      <c r="A571" s="24" t="inlineStr">
        <is>
          <t>OpenDART_fnlttSinglAcntAll</t>
        </is>
      </c>
      <c r="B571" s="24" t="inlineStr">
        <is>
          <t>00161383</t>
        </is>
      </c>
      <c r="C571" s="24" t="inlineStr">
        <is>
          <t>한미반도체</t>
        </is>
      </c>
      <c r="D571" s="24" t="inlineStr">
        <is>
          <t>hanmi</t>
        </is>
      </c>
      <c r="E571" s="24" t="inlineStr">
        <is>
          <t>042700</t>
        </is>
      </c>
      <c r="F571" s="24" t="inlineStr">
        <is>
          <t>2023</t>
        </is>
      </c>
      <c r="G571" s="24" t="inlineStr">
        <is>
          <t>CFS</t>
        </is>
      </c>
      <c r="H571" s="24" t="inlineStr">
        <is>
          <t>CF</t>
        </is>
      </c>
      <c r="I571" s="24" t="inlineStr">
        <is>
          <t>현금흐름표</t>
        </is>
      </c>
      <c r="J571" s="24" t="inlineStr">
        <is>
          <t>dart_NetLeaseProfitLoss</t>
        </is>
      </c>
      <c r="K571" s="24" t="inlineStr">
        <is>
          <t>리스상환이익</t>
        </is>
      </c>
      <c r="L571" s="24" t="inlineStr">
        <is>
          <t>-</t>
        </is>
      </c>
      <c r="M571" s="24" t="inlineStr">
        <is>
          <t>제 44 기</t>
        </is>
      </c>
      <c r="N571" s="24" t="inlineStr">
        <is>
          <t>0.0</t>
        </is>
      </c>
      <c r="O571" s="24" t="inlineStr">
        <is>
          <t>0.0</t>
        </is>
      </c>
      <c r="P571" s="24" t="inlineStr">
        <is>
          <t>KRW</t>
        </is>
      </c>
      <c r="Q571" s="24" t="inlineStr">
        <is>
          <t>60</t>
        </is>
      </c>
    </row>
    <row r="572" ht="24" customHeight="1">
      <c r="A572" s="29" t="inlineStr">
        <is>
          <t>OpenDART_fnlttSinglAcntAll</t>
        </is>
      </c>
      <c r="B572" s="29" t="inlineStr">
        <is>
          <t>00161383</t>
        </is>
      </c>
      <c r="C572" s="29" t="inlineStr">
        <is>
          <t>한미반도체</t>
        </is>
      </c>
      <c r="D572" s="29" t="inlineStr">
        <is>
          <t>hanmi</t>
        </is>
      </c>
      <c r="E572" s="29" t="inlineStr">
        <is>
          <t>042700</t>
        </is>
      </c>
      <c r="F572" s="29" t="inlineStr">
        <is>
          <t>2023</t>
        </is>
      </c>
      <c r="G572" s="29" t="inlineStr">
        <is>
          <t>CFS</t>
        </is>
      </c>
      <c r="H572" s="29" t="inlineStr">
        <is>
          <t>CF</t>
        </is>
      </c>
      <c r="I572" s="29" t="inlineStr">
        <is>
          <t>현금흐름표</t>
        </is>
      </c>
      <c r="J572" s="29" t="inlineStr">
        <is>
          <t>-표준계정코드 미사용-</t>
        </is>
      </c>
      <c r="K572" s="29" t="inlineStr">
        <is>
          <t>리스이자비용</t>
        </is>
      </c>
      <c r="L572" s="29" t="inlineStr">
        <is>
          <t>-</t>
        </is>
      </c>
      <c r="M572" s="29" t="inlineStr">
        <is>
          <t>제 44 기</t>
        </is>
      </c>
      <c r="N572" s="29" t="inlineStr">
        <is>
          <t>67401855.0</t>
        </is>
      </c>
      <c r="O572" s="29" t="inlineStr">
        <is>
          <t>65276503.0</t>
        </is>
      </c>
      <c r="P572" s="29" t="inlineStr">
        <is>
          <t>KRW</t>
        </is>
      </c>
      <c r="Q572" s="29" t="inlineStr">
        <is>
          <t>61</t>
        </is>
      </c>
    </row>
    <row r="573" ht="24" customHeight="1">
      <c r="A573" s="24" t="inlineStr">
        <is>
          <t>OpenDART_fnlttSinglAcntAll</t>
        </is>
      </c>
      <c r="B573" s="24" t="inlineStr">
        <is>
          <t>00161383</t>
        </is>
      </c>
      <c r="C573" s="24" t="inlineStr">
        <is>
          <t>한미반도체</t>
        </is>
      </c>
      <c r="D573" s="24" t="inlineStr">
        <is>
          <t>hanmi</t>
        </is>
      </c>
      <c r="E573" s="24" t="inlineStr">
        <is>
          <t>042700</t>
        </is>
      </c>
      <c r="F573" s="24" t="inlineStr">
        <is>
          <t>2023</t>
        </is>
      </c>
      <c r="G573" s="24" t="inlineStr">
        <is>
          <t>CFS</t>
        </is>
      </c>
      <c r="H573" s="24" t="inlineStr">
        <is>
          <t>CF</t>
        </is>
      </c>
      <c r="I573" s="24" t="inlineStr">
        <is>
          <t>현금흐름표</t>
        </is>
      </c>
      <c r="J573" s="24" t="inlineStr">
        <is>
          <t>-표준계정코드 미사용-</t>
        </is>
      </c>
      <c r="K573" s="24" t="inlineStr">
        <is>
          <t>사용권자산처분이익</t>
        </is>
      </c>
      <c r="L573" s="24" t="inlineStr">
        <is>
          <t>-</t>
        </is>
      </c>
      <c r="M573" s="24" t="inlineStr">
        <is>
          <t>제 44 기</t>
        </is>
      </c>
      <c r="N573" s="24" t="inlineStr">
        <is>
          <t>-1109850.0</t>
        </is>
      </c>
      <c r="O573" s="24" t="inlineStr">
        <is>
          <t>0.0</t>
        </is>
      </c>
      <c r="P573" s="24" t="inlineStr">
        <is>
          <t>KRW</t>
        </is>
      </c>
      <c r="Q573" s="24" t="inlineStr">
        <is>
          <t>62</t>
        </is>
      </c>
    </row>
    <row r="574" ht="24" customHeight="1">
      <c r="A574" s="29" t="inlineStr">
        <is>
          <t>OpenDART_fnlttSinglAcntAll</t>
        </is>
      </c>
      <c r="B574" s="29" t="inlineStr">
        <is>
          <t>00161383</t>
        </is>
      </c>
      <c r="C574" s="29" t="inlineStr">
        <is>
          <t>한미반도체</t>
        </is>
      </c>
      <c r="D574" s="29" t="inlineStr">
        <is>
          <t>hanmi</t>
        </is>
      </c>
      <c r="E574" s="29" t="inlineStr">
        <is>
          <t>042700</t>
        </is>
      </c>
      <c r="F574" s="29" t="inlineStr">
        <is>
          <t>2023</t>
        </is>
      </c>
      <c r="G574" s="29" t="inlineStr">
        <is>
          <t>CFS</t>
        </is>
      </c>
      <c r="H574" s="29" t="inlineStr">
        <is>
          <t>CF</t>
        </is>
      </c>
      <c r="I574" s="29" t="inlineStr">
        <is>
          <t>현금흐름표</t>
        </is>
      </c>
      <c r="J574" s="29" t="inlineStr">
        <is>
          <t>-표준계정코드 미사용-</t>
        </is>
      </c>
      <c r="K574" s="29" t="inlineStr">
        <is>
          <t>지분법적용투자주식처분이익</t>
        </is>
      </c>
      <c r="L574" s="29" t="inlineStr">
        <is>
          <t>-</t>
        </is>
      </c>
      <c r="M574" s="29" t="inlineStr">
        <is>
          <t>제 44 기</t>
        </is>
      </c>
      <c r="N574" s="29" t="inlineStr">
        <is>
          <t>-71411764027.0</t>
        </is>
      </c>
      <c r="O574" s="29" t="inlineStr">
        <is>
          <t>0.0</t>
        </is>
      </c>
      <c r="P574" s="29" t="inlineStr">
        <is>
          <t>KRW</t>
        </is>
      </c>
      <c r="Q574" s="29" t="inlineStr">
        <is>
          <t>63</t>
        </is>
      </c>
    </row>
    <row r="575" ht="24" customHeight="1">
      <c r="A575" s="24" t="inlineStr">
        <is>
          <t>OpenDART_fnlttSinglAcntAll</t>
        </is>
      </c>
      <c r="B575" s="24" t="inlineStr">
        <is>
          <t>00161383</t>
        </is>
      </c>
      <c r="C575" s="24" t="inlineStr">
        <is>
          <t>한미반도체</t>
        </is>
      </c>
      <c r="D575" s="24" t="inlineStr">
        <is>
          <t>hanmi</t>
        </is>
      </c>
      <c r="E575" s="24" t="inlineStr">
        <is>
          <t>042700</t>
        </is>
      </c>
      <c r="F575" s="24" t="inlineStr">
        <is>
          <t>2023</t>
        </is>
      </c>
      <c r="G575" s="24" t="inlineStr">
        <is>
          <t>CFS</t>
        </is>
      </c>
      <c r="H575" s="24" t="inlineStr">
        <is>
          <t>CF</t>
        </is>
      </c>
      <c r="I575" s="24" t="inlineStr">
        <is>
          <t>현금흐름표</t>
        </is>
      </c>
      <c r="J575" s="24" t="inlineStr">
        <is>
          <t>-표준계정코드 미사용-</t>
        </is>
      </c>
      <c r="K575" s="24" t="inlineStr">
        <is>
          <t>당기손익-공정가치측정금융자산 처분이익</t>
        </is>
      </c>
      <c r="L575" s="24" t="inlineStr">
        <is>
          <t>-</t>
        </is>
      </c>
      <c r="M575" s="24" t="inlineStr">
        <is>
          <t>제 44 기</t>
        </is>
      </c>
      <c r="N575" s="24" t="inlineStr">
        <is>
          <t>-20775313555.0</t>
        </is>
      </c>
      <c r="O575" s="24" t="inlineStr">
        <is>
          <t>0.0</t>
        </is>
      </c>
      <c r="P575" s="24" t="inlineStr">
        <is>
          <t>KRW</t>
        </is>
      </c>
      <c r="Q575" s="24" t="inlineStr">
        <is>
          <t>64</t>
        </is>
      </c>
    </row>
    <row r="576" ht="24" customHeight="1">
      <c r="A576" s="29" t="inlineStr">
        <is>
          <t>OpenDART_fnlttSinglAcntAll</t>
        </is>
      </c>
      <c r="B576" s="29" t="inlineStr">
        <is>
          <t>00161383</t>
        </is>
      </c>
      <c r="C576" s="29" t="inlineStr">
        <is>
          <t>한미반도체</t>
        </is>
      </c>
      <c r="D576" s="29" t="inlineStr">
        <is>
          <t>hanmi</t>
        </is>
      </c>
      <c r="E576" s="29" t="inlineStr">
        <is>
          <t>042700</t>
        </is>
      </c>
      <c r="F576" s="29" t="inlineStr">
        <is>
          <t>2023</t>
        </is>
      </c>
      <c r="G576" s="29" t="inlineStr">
        <is>
          <t>CFS</t>
        </is>
      </c>
      <c r="H576" s="29" t="inlineStr">
        <is>
          <t>CF</t>
        </is>
      </c>
      <c r="I576" s="29" t="inlineStr">
        <is>
          <t>현금흐름표</t>
        </is>
      </c>
      <c r="J576" s="29" t="inlineStr">
        <is>
          <t>-표준계정코드 미사용-</t>
        </is>
      </c>
      <c r="K576" s="29" t="inlineStr">
        <is>
          <t>사용권자산처분손실</t>
        </is>
      </c>
      <c r="L576" s="29" t="inlineStr">
        <is>
          <t>-</t>
        </is>
      </c>
      <c r="M576" s="29" t="inlineStr">
        <is>
          <t>제 44 기</t>
        </is>
      </c>
      <c r="N576" s="29" t="inlineStr">
        <is>
          <t>131589945.0</t>
        </is>
      </c>
      <c r="O576" s="29" t="inlineStr">
        <is>
          <t>0.0</t>
        </is>
      </c>
      <c r="P576" s="29" t="inlineStr">
        <is>
          <t>KRW</t>
        </is>
      </c>
      <c r="Q576" s="29" t="inlineStr">
        <is>
          <t>65</t>
        </is>
      </c>
    </row>
    <row r="577" ht="24" customHeight="1">
      <c r="A577" s="24" t="inlineStr">
        <is>
          <t>OpenDART_fnlttSinglAcntAll</t>
        </is>
      </c>
      <c r="B577" s="24" t="inlineStr">
        <is>
          <t>00161383</t>
        </is>
      </c>
      <c r="C577" s="24" t="inlineStr">
        <is>
          <t>한미반도체</t>
        </is>
      </c>
      <c r="D577" s="24" t="inlineStr">
        <is>
          <t>hanmi</t>
        </is>
      </c>
      <c r="E577" s="24" t="inlineStr">
        <is>
          <t>042700</t>
        </is>
      </c>
      <c r="F577" s="24" t="inlineStr">
        <is>
          <t>2023</t>
        </is>
      </c>
      <c r="G577" s="24" t="inlineStr">
        <is>
          <t>CFS</t>
        </is>
      </c>
      <c r="H577" s="24" t="inlineStr">
        <is>
          <t>CF</t>
        </is>
      </c>
      <c r="I577" s="24" t="inlineStr">
        <is>
          <t>현금흐름표</t>
        </is>
      </c>
      <c r="J577" s="24" t="inlineStr">
        <is>
          <t>-표준계정코드 미사용-</t>
        </is>
      </c>
      <c r="K577" s="24" t="inlineStr">
        <is>
          <t>외화환산이익</t>
        </is>
      </c>
      <c r="L577" s="24" t="inlineStr">
        <is>
          <t>-</t>
        </is>
      </c>
      <c r="M577" s="24" t="inlineStr">
        <is>
          <t>제 44 기</t>
        </is>
      </c>
      <c r="N577" s="24" t="inlineStr">
        <is>
          <t>-4511330578.0</t>
        </is>
      </c>
      <c r="O577" s="24" t="inlineStr">
        <is>
          <t>-1945855537.0</t>
        </is>
      </c>
      <c r="P577" s="24" t="inlineStr">
        <is>
          <t>KRW</t>
        </is>
      </c>
      <c r="Q577" s="24" t="inlineStr">
        <is>
          <t>66</t>
        </is>
      </c>
    </row>
    <row r="578" ht="24" customHeight="1">
      <c r="A578" s="29" t="inlineStr">
        <is>
          <t>OpenDART_fnlttSinglAcntAll</t>
        </is>
      </c>
      <c r="B578" s="29" t="inlineStr">
        <is>
          <t>00161383</t>
        </is>
      </c>
      <c r="C578" s="29" t="inlineStr">
        <is>
          <t>한미반도체</t>
        </is>
      </c>
      <c r="D578" s="29" t="inlineStr">
        <is>
          <t>hanmi</t>
        </is>
      </c>
      <c r="E578" s="29" t="inlineStr">
        <is>
          <t>042700</t>
        </is>
      </c>
      <c r="F578" s="29" t="inlineStr">
        <is>
          <t>2023</t>
        </is>
      </c>
      <c r="G578" s="29" t="inlineStr">
        <is>
          <t>CFS</t>
        </is>
      </c>
      <c r="H578" s="29" t="inlineStr">
        <is>
          <t>CF</t>
        </is>
      </c>
      <c r="I578" s="29" t="inlineStr">
        <is>
          <t>현금흐름표</t>
        </is>
      </c>
      <c r="J578" s="29" t="inlineStr">
        <is>
          <t>ifrs-full_AdjustmentsForAmortisationExpense</t>
        </is>
      </c>
      <c r="K578" s="29" t="inlineStr">
        <is>
          <t>무형자산상각비</t>
        </is>
      </c>
      <c r="L578" s="29" t="inlineStr">
        <is>
          <t>-</t>
        </is>
      </c>
      <c r="M578" s="29" t="inlineStr">
        <is>
          <t>제 44 기</t>
        </is>
      </c>
      <c r="N578" s="29" t="inlineStr">
        <is>
          <t>314304809.0</t>
        </is>
      </c>
      <c r="O578" s="29" t="inlineStr">
        <is>
          <t>361252471.0</t>
        </is>
      </c>
      <c r="P578" s="29" t="inlineStr">
        <is>
          <t>KRW</t>
        </is>
      </c>
      <c r="Q578" s="29" t="inlineStr">
        <is>
          <t>67</t>
        </is>
      </c>
    </row>
    <row r="579" ht="24" customHeight="1">
      <c r="A579" s="24" t="inlineStr">
        <is>
          <t>OpenDART_fnlttSinglAcntAll</t>
        </is>
      </c>
      <c r="B579" s="24" t="inlineStr">
        <is>
          <t>00161383</t>
        </is>
      </c>
      <c r="C579" s="24" t="inlineStr">
        <is>
          <t>한미반도체</t>
        </is>
      </c>
      <c r="D579" s="24" t="inlineStr">
        <is>
          <t>hanmi</t>
        </is>
      </c>
      <c r="E579" s="24" t="inlineStr">
        <is>
          <t>042700</t>
        </is>
      </c>
      <c r="F579" s="24" t="inlineStr">
        <is>
          <t>2023</t>
        </is>
      </c>
      <c r="G579" s="24" t="inlineStr">
        <is>
          <t>CFS</t>
        </is>
      </c>
      <c r="H579" s="24" t="inlineStr">
        <is>
          <t>CF</t>
        </is>
      </c>
      <c r="I579" s="24" t="inlineStr">
        <is>
          <t>현금흐름표</t>
        </is>
      </c>
      <c r="J579" s="24" t="inlineStr">
        <is>
          <t>ifrs-full_AdjustmentsForDepreciationExpense</t>
        </is>
      </c>
      <c r="K579" s="24" t="inlineStr">
        <is>
          <t>감가상각비</t>
        </is>
      </c>
      <c r="L579" s="24" t="inlineStr">
        <is>
          <t>-</t>
        </is>
      </c>
      <c r="M579" s="24" t="inlineStr">
        <is>
          <t>제 44 기</t>
        </is>
      </c>
      <c r="N579" s="24" t="inlineStr">
        <is>
          <t>8334344265.0</t>
        </is>
      </c>
      <c r="O579" s="24" t="inlineStr">
        <is>
          <t>8391371700.0</t>
        </is>
      </c>
      <c r="P579" s="24" t="inlineStr">
        <is>
          <t>KRW</t>
        </is>
      </c>
      <c r="Q579" s="24" t="inlineStr">
        <is>
          <t>68</t>
        </is>
      </c>
    </row>
    <row r="580" ht="24" customHeight="1">
      <c r="A580" s="29" t="inlineStr">
        <is>
          <t>OpenDART_fnlttSinglAcntAll</t>
        </is>
      </c>
      <c r="B580" s="29" t="inlineStr">
        <is>
          <t>00161383</t>
        </is>
      </c>
      <c r="C580" s="29" t="inlineStr">
        <is>
          <t>한미반도체</t>
        </is>
      </c>
      <c r="D580" s="29" t="inlineStr">
        <is>
          <t>hanmi</t>
        </is>
      </c>
      <c r="E580" s="29" t="inlineStr">
        <is>
          <t>042700</t>
        </is>
      </c>
      <c r="F580" s="29" t="inlineStr">
        <is>
          <t>2023</t>
        </is>
      </c>
      <c r="G580" s="29" t="inlineStr">
        <is>
          <t>CFS</t>
        </is>
      </c>
      <c r="H580" s="29" t="inlineStr">
        <is>
          <t>CF</t>
        </is>
      </c>
      <c r="I580" s="29" t="inlineStr">
        <is>
          <t>현금흐름표</t>
        </is>
      </c>
      <c r="J580" s="29" t="inlineStr">
        <is>
          <t>ifrs-full_AdjustmentsForIncomeTaxExpense</t>
        </is>
      </c>
      <c r="K580" s="29" t="inlineStr">
        <is>
          <t>법인세비용</t>
        </is>
      </c>
      <c r="L580" s="29" t="inlineStr">
        <is>
          <t>-</t>
        </is>
      </c>
      <c r="M580" s="29" t="inlineStr">
        <is>
          <t>제 44 기</t>
        </is>
      </c>
      <c r="N580" s="29" t="inlineStr">
        <is>
          <t>78112045929.0</t>
        </is>
      </c>
      <c r="O580" s="29" t="inlineStr">
        <is>
          <t>35584763606.0</t>
        </is>
      </c>
      <c r="P580" s="29" t="inlineStr">
        <is>
          <t>KRW</t>
        </is>
      </c>
      <c r="Q580" s="29" t="inlineStr">
        <is>
          <t>69</t>
        </is>
      </c>
    </row>
    <row r="581" ht="24" customHeight="1">
      <c r="A581" s="24" t="inlineStr">
        <is>
          <t>OpenDART_fnlttSinglAcntAll</t>
        </is>
      </c>
      <c r="B581" s="24" t="inlineStr">
        <is>
          <t>00161383</t>
        </is>
      </c>
      <c r="C581" s="24" t="inlineStr">
        <is>
          <t>한미반도체</t>
        </is>
      </c>
      <c r="D581" s="24" t="inlineStr">
        <is>
          <t>hanmi</t>
        </is>
      </c>
      <c r="E581" s="24" t="inlineStr">
        <is>
          <t>042700</t>
        </is>
      </c>
      <c r="F581" s="24" t="inlineStr">
        <is>
          <t>2023</t>
        </is>
      </c>
      <c r="G581" s="24" t="inlineStr">
        <is>
          <t>CFS</t>
        </is>
      </c>
      <c r="H581" s="24" t="inlineStr">
        <is>
          <t>CF</t>
        </is>
      </c>
      <c r="I581" s="24" t="inlineStr">
        <is>
          <t>현금흐름표</t>
        </is>
      </c>
      <c r="J581" s="24" t="inlineStr">
        <is>
          <t>ifrs-full_AdjustmentsForInterestIncome</t>
        </is>
      </c>
      <c r="K581" s="24" t="inlineStr">
        <is>
          <t>이자수익</t>
        </is>
      </c>
      <c r="L581" s="24" t="inlineStr">
        <is>
          <t>-</t>
        </is>
      </c>
      <c r="M581" s="24" t="inlineStr">
        <is>
          <t>제 44 기</t>
        </is>
      </c>
      <c r="N581" s="24" t="inlineStr">
        <is>
          <t>4622661627.0</t>
        </is>
      </c>
      <c r="O581" s="24" t="inlineStr">
        <is>
          <t>759082909.0</t>
        </is>
      </c>
      <c r="P581" s="24" t="inlineStr">
        <is>
          <t>KRW</t>
        </is>
      </c>
      <c r="Q581" s="24" t="inlineStr">
        <is>
          <t>70</t>
        </is>
      </c>
    </row>
    <row r="582" ht="24" customHeight="1">
      <c r="A582" s="29" t="inlineStr">
        <is>
          <t>OpenDART_fnlttSinglAcntAll</t>
        </is>
      </c>
      <c r="B582" s="29" t="inlineStr">
        <is>
          <t>00161383</t>
        </is>
      </c>
      <c r="C582" s="29" t="inlineStr">
        <is>
          <t>한미반도체</t>
        </is>
      </c>
      <c r="D582" s="29" t="inlineStr">
        <is>
          <t>hanmi</t>
        </is>
      </c>
      <c r="E582" s="29" t="inlineStr">
        <is>
          <t>042700</t>
        </is>
      </c>
      <c r="F582" s="29" t="inlineStr">
        <is>
          <t>2023</t>
        </is>
      </c>
      <c r="G582" s="29" t="inlineStr">
        <is>
          <t>CFS</t>
        </is>
      </c>
      <c r="H582" s="29" t="inlineStr">
        <is>
          <t>CF</t>
        </is>
      </c>
      <c r="I582" s="29" t="inlineStr">
        <is>
          <t>현금흐름표</t>
        </is>
      </c>
      <c r="J582" s="29" t="inlineStr">
        <is>
          <t>ifrs-full_IncomeTaxesPaidRefundClassifiedAsOperatingActivities</t>
        </is>
      </c>
      <c r="K582" s="29" t="inlineStr">
        <is>
          <t>법인세의 납부</t>
        </is>
      </c>
      <c r="L582" s="29" t="inlineStr">
        <is>
          <t>-</t>
        </is>
      </c>
      <c r="M582" s="29" t="inlineStr">
        <is>
          <t>제 44 기</t>
        </is>
      </c>
      <c r="N582" s="29" t="inlineStr">
        <is>
          <t>26911435481.0</t>
        </is>
      </c>
      <c r="O582" s="29" t="inlineStr">
        <is>
          <t>39120673425.0</t>
        </is>
      </c>
      <c r="P582" s="29" t="inlineStr">
        <is>
          <t>KRW</t>
        </is>
      </c>
      <c r="Q582" s="29" t="inlineStr">
        <is>
          <t>71</t>
        </is>
      </c>
    </row>
    <row r="583" ht="24" customHeight="1">
      <c r="A583" s="24" t="inlineStr">
        <is>
          <t>OpenDART_fnlttSinglAcntAll</t>
        </is>
      </c>
      <c r="B583" s="24" t="inlineStr">
        <is>
          <t>00161383</t>
        </is>
      </c>
      <c r="C583" s="24" t="inlineStr">
        <is>
          <t>한미반도체</t>
        </is>
      </c>
      <c r="D583" s="24" t="inlineStr">
        <is>
          <t>hanmi</t>
        </is>
      </c>
      <c r="E583" s="24" t="inlineStr">
        <is>
          <t>042700</t>
        </is>
      </c>
      <c r="F583" s="24" t="inlineStr">
        <is>
          <t>2023</t>
        </is>
      </c>
      <c r="G583" s="24" t="inlineStr">
        <is>
          <t>CFS</t>
        </is>
      </c>
      <c r="H583" s="24" t="inlineStr">
        <is>
          <t>CF</t>
        </is>
      </c>
      <c r="I583" s="24" t="inlineStr">
        <is>
          <t>현금흐름표</t>
        </is>
      </c>
      <c r="J583" s="24" t="inlineStr">
        <is>
          <t>ifrs-full_InterestPaidClassifiedAsOperatingActivities</t>
        </is>
      </c>
      <c r="K583" s="24" t="inlineStr">
        <is>
          <t>이자지급</t>
        </is>
      </c>
      <c r="L583" s="24" t="inlineStr">
        <is>
          <t>-</t>
        </is>
      </c>
      <c r="M583" s="24" t="inlineStr">
        <is>
          <t>제 44 기</t>
        </is>
      </c>
      <c r="N583" s="24" t="inlineStr">
        <is>
          <t>61387827.0</t>
        </is>
      </c>
      <c r="O583" s="24" t="inlineStr">
        <is>
          <t>110485464.0</t>
        </is>
      </c>
      <c r="P583" s="24" t="inlineStr">
        <is>
          <t>KRW</t>
        </is>
      </c>
      <c r="Q583" s="24" t="inlineStr">
        <is>
          <t>72</t>
        </is>
      </c>
    </row>
    <row r="584" ht="24" customHeight="1">
      <c r="A584" s="29" t="inlineStr">
        <is>
          <t>OpenDART_fnlttSinglAcntAll</t>
        </is>
      </c>
      <c r="B584" s="29" t="inlineStr">
        <is>
          <t>00161383</t>
        </is>
      </c>
      <c r="C584" s="29" t="inlineStr">
        <is>
          <t>한미반도체</t>
        </is>
      </c>
      <c r="D584" s="29" t="inlineStr">
        <is>
          <t>hanmi</t>
        </is>
      </c>
      <c r="E584" s="29" t="inlineStr">
        <is>
          <t>042700</t>
        </is>
      </c>
      <c r="F584" s="29" t="inlineStr">
        <is>
          <t>2023</t>
        </is>
      </c>
      <c r="G584" s="29" t="inlineStr">
        <is>
          <t>CFS</t>
        </is>
      </c>
      <c r="H584" s="29" t="inlineStr">
        <is>
          <t>CF</t>
        </is>
      </c>
      <c r="I584" s="29" t="inlineStr">
        <is>
          <t>현금흐름표</t>
        </is>
      </c>
      <c r="J584" s="29" t="inlineStr">
        <is>
          <t>ifrs-full_InterestReceivedClassifiedAsOperatingActivities</t>
        </is>
      </c>
      <c r="K584" s="29" t="inlineStr">
        <is>
          <t>이자수취</t>
        </is>
      </c>
      <c r="L584" s="29" t="inlineStr">
        <is>
          <t>-</t>
        </is>
      </c>
      <c r="M584" s="29" t="inlineStr">
        <is>
          <t>제 44 기</t>
        </is>
      </c>
      <c r="N584" s="29" t="inlineStr">
        <is>
          <t>4365546079.0</t>
        </is>
      </c>
      <c r="O584" s="29" t="inlineStr">
        <is>
          <t>591557845.0</t>
        </is>
      </c>
      <c r="P584" s="29" t="inlineStr">
        <is>
          <t>KRW</t>
        </is>
      </c>
      <c r="Q584" s="29" t="inlineStr">
        <is>
          <t>73</t>
        </is>
      </c>
    </row>
    <row r="585" ht="24" customHeight="1">
      <c r="A585" s="24" t="inlineStr">
        <is>
          <t>OpenDART_fnlttSinglAcntAll</t>
        </is>
      </c>
      <c r="B585" s="24" t="inlineStr">
        <is>
          <t>00161383</t>
        </is>
      </c>
      <c r="C585" s="24" t="inlineStr">
        <is>
          <t>한미반도체</t>
        </is>
      </c>
      <c r="D585" s="24" t="inlineStr">
        <is>
          <t>hanmi</t>
        </is>
      </c>
      <c r="E585" s="24" t="inlineStr">
        <is>
          <t>042700</t>
        </is>
      </c>
      <c r="F585" s="24" t="inlineStr">
        <is>
          <t>2023</t>
        </is>
      </c>
      <c r="G585" s="24" t="inlineStr">
        <is>
          <t>CFS</t>
        </is>
      </c>
      <c r="H585" s="24" t="inlineStr">
        <is>
          <t>CF</t>
        </is>
      </c>
      <c r="I585" s="24" t="inlineStr">
        <is>
          <t>현금흐름표</t>
        </is>
      </c>
      <c r="J585" s="24" t="inlineStr">
        <is>
          <t>ifrs-full_ProfitLoss</t>
        </is>
      </c>
      <c r="K585" s="24" t="inlineStr">
        <is>
          <t>당기순이익</t>
        </is>
      </c>
      <c r="L585" s="24" t="inlineStr">
        <is>
          <t>-</t>
        </is>
      </c>
      <c r="M585" s="24" t="inlineStr">
        <is>
          <t>제 44 기</t>
        </is>
      </c>
      <c r="N585" s="24" t="inlineStr">
        <is>
          <t>267167515858.0</t>
        </is>
      </c>
      <c r="O585" s="24" t="inlineStr">
        <is>
          <t>92259257411.0</t>
        </is>
      </c>
      <c r="P585" s="24" t="inlineStr">
        <is>
          <t>KRW</t>
        </is>
      </c>
      <c r="Q585" s="24" t="inlineStr">
        <is>
          <t>74</t>
        </is>
      </c>
    </row>
    <row r="586" ht="24" customHeight="1">
      <c r="A586" s="29" t="inlineStr">
        <is>
          <t>OpenDART_fnlttSinglAcntAll</t>
        </is>
      </c>
      <c r="B586" s="29" t="inlineStr">
        <is>
          <t>00161383</t>
        </is>
      </c>
      <c r="C586" s="29" t="inlineStr">
        <is>
          <t>한미반도체</t>
        </is>
      </c>
      <c r="D586" s="29" t="inlineStr">
        <is>
          <t>hanmi</t>
        </is>
      </c>
      <c r="E586" s="29" t="inlineStr">
        <is>
          <t>042700</t>
        </is>
      </c>
      <c r="F586" s="29" t="inlineStr">
        <is>
          <t>2023</t>
        </is>
      </c>
      <c r="G586" s="29" t="inlineStr">
        <is>
          <t>CFS</t>
        </is>
      </c>
      <c r="H586" s="29" t="inlineStr">
        <is>
          <t>CF</t>
        </is>
      </c>
      <c r="I586" s="29" t="inlineStr">
        <is>
          <t>현금흐름표</t>
        </is>
      </c>
      <c r="J586" s="29" t="inlineStr">
        <is>
          <t>ifrs-full_IncreaseDecreaseInCashAndCashEquivalents</t>
        </is>
      </c>
      <c r="K586" s="29" t="inlineStr">
        <is>
          <t>현금및현금성자산의순증가(감소)</t>
        </is>
      </c>
      <c r="L586" s="29" t="inlineStr">
        <is>
          <t>-</t>
        </is>
      </c>
      <c r="M586" s="29" t="inlineStr">
        <is>
          <t>제 44 기</t>
        </is>
      </c>
      <c r="N586" s="29" t="inlineStr">
        <is>
          <t>86004868356.0</t>
        </is>
      </c>
      <c r="O586" s="29" t="inlineStr">
        <is>
          <t>40580339648.0</t>
        </is>
      </c>
      <c r="P586" s="29" t="inlineStr">
        <is>
          <t>KRW</t>
        </is>
      </c>
      <c r="Q586" s="29" t="inlineStr">
        <is>
          <t>75</t>
        </is>
      </c>
    </row>
    <row r="587" ht="24" customHeight="1">
      <c r="A587" s="24" t="inlineStr">
        <is>
          <t>OpenDART_fnlttSinglAcntAll</t>
        </is>
      </c>
      <c r="B587" s="24" t="inlineStr">
        <is>
          <t>00161383</t>
        </is>
      </c>
      <c r="C587" s="24" t="inlineStr">
        <is>
          <t>한미반도체</t>
        </is>
      </c>
      <c r="D587" s="24" t="inlineStr">
        <is>
          <t>hanmi</t>
        </is>
      </c>
      <c r="E587" s="24" t="inlineStr">
        <is>
          <t>042700</t>
        </is>
      </c>
      <c r="F587" s="24" t="inlineStr">
        <is>
          <t>2023</t>
        </is>
      </c>
      <c r="G587" s="24" t="inlineStr">
        <is>
          <t>CFS</t>
        </is>
      </c>
      <c r="H587" s="24" t="inlineStr">
        <is>
          <t>SCE</t>
        </is>
      </c>
      <c r="I587" s="24" t="inlineStr">
        <is>
          <t>자본변동표</t>
        </is>
      </c>
      <c r="J587" s="24" t="inlineStr">
        <is>
          <t>dart_EquityAtBeginningOfPeriod</t>
        </is>
      </c>
      <c r="K587" s="24" t="inlineStr">
        <is>
          <t>기초자본</t>
        </is>
      </c>
      <c r="L587" s="24" t="inlineStr">
        <is>
          <t>자본 [구성요소]|지배기업의 소유주에게 귀속되는 지분 [구성요소]|자본금 [구성요소]</t>
        </is>
      </c>
      <c r="M587" s="24" t="inlineStr">
        <is>
          <t>제 44 기</t>
        </is>
      </c>
      <c r="N587" s="24" t="inlineStr">
        <is>
          <t>12716420500.0</t>
        </is>
      </c>
      <c r="O587" s="24" t="inlineStr">
        <is>
          <t>12716420500.0</t>
        </is>
      </c>
      <c r="P587" s="24" t="inlineStr">
        <is>
          <t>KRW</t>
        </is>
      </c>
      <c r="Q587" s="24" t="inlineStr">
        <is>
          <t>3</t>
        </is>
      </c>
    </row>
    <row r="588" ht="24" customHeight="1">
      <c r="A588" s="29" t="inlineStr">
        <is>
          <t>OpenDART_fnlttSinglAcntAll</t>
        </is>
      </c>
      <c r="B588" s="29" t="inlineStr">
        <is>
          <t>00161383</t>
        </is>
      </c>
      <c r="C588" s="29" t="inlineStr">
        <is>
          <t>한미반도체</t>
        </is>
      </c>
      <c r="D588" s="29" t="inlineStr">
        <is>
          <t>hanmi</t>
        </is>
      </c>
      <c r="E588" s="29" t="inlineStr">
        <is>
          <t>042700</t>
        </is>
      </c>
      <c r="F588" s="29" t="inlineStr">
        <is>
          <t>2023</t>
        </is>
      </c>
      <c r="G588" s="29" t="inlineStr">
        <is>
          <t>CFS</t>
        </is>
      </c>
      <c r="H588" s="29" t="inlineStr">
        <is>
          <t>SCE</t>
        </is>
      </c>
      <c r="I588" s="29" t="inlineStr">
        <is>
          <t>자본변동표</t>
        </is>
      </c>
      <c r="J588" s="29" t="inlineStr">
        <is>
          <t>dart_EquityAtBeginningOfPeriod</t>
        </is>
      </c>
      <c r="K588" s="29" t="inlineStr">
        <is>
          <t>기초자본</t>
        </is>
      </c>
      <c r="L588" s="29" t="inlineStr">
        <is>
          <t>자본 [구성요소]|지배기업의 소유주에게 귀속되는 지분 [구성요소]|이익잉여금 [구성요소]</t>
        </is>
      </c>
      <c r="M588" s="29" t="inlineStr">
        <is>
          <t>제 44 기</t>
        </is>
      </c>
      <c r="N588" s="29" t="inlineStr">
        <is>
          <t>325269340929.0</t>
        </is>
      </c>
      <c r="O588" s="29" t="inlineStr">
        <is>
          <t>282619540445.0</t>
        </is>
      </c>
      <c r="P588" s="29" t="inlineStr">
        <is>
          <t>KRW</t>
        </is>
      </c>
      <c r="Q588" s="29" t="inlineStr">
        <is>
          <t>3</t>
        </is>
      </c>
    </row>
    <row r="589" ht="24" customHeight="1">
      <c r="A589" s="24" t="inlineStr">
        <is>
          <t>OpenDART_fnlttSinglAcntAll</t>
        </is>
      </c>
      <c r="B589" s="24" t="inlineStr">
        <is>
          <t>00161383</t>
        </is>
      </c>
      <c r="C589" s="24" t="inlineStr">
        <is>
          <t>한미반도체</t>
        </is>
      </c>
      <c r="D589" s="24" t="inlineStr">
        <is>
          <t>hanmi</t>
        </is>
      </c>
      <c r="E589" s="24" t="inlineStr">
        <is>
          <t>042700</t>
        </is>
      </c>
      <c r="F589" s="24" t="inlineStr">
        <is>
          <t>2023</t>
        </is>
      </c>
      <c r="G589" s="24" t="inlineStr">
        <is>
          <t>CFS</t>
        </is>
      </c>
      <c r="H589" s="24" t="inlineStr">
        <is>
          <t>SCE</t>
        </is>
      </c>
      <c r="I589" s="24" t="inlineStr">
        <is>
          <t>자본변동표</t>
        </is>
      </c>
      <c r="J589" s="24" t="inlineStr">
        <is>
          <t>dart_EquityAtBeginningOfPeriod</t>
        </is>
      </c>
      <c r="K589" s="24" t="inlineStr">
        <is>
          <t>기초자본</t>
        </is>
      </c>
      <c r="L589" s="24" t="inlineStr">
        <is>
          <t>자본 [구성요소]|지배기업의 소유주에게 귀속되는 지분 [구성요소]|기타포괄손익누계액 [구성요소]</t>
        </is>
      </c>
      <c r="M589" s="24" t="inlineStr">
        <is>
          <t>제 44 기</t>
        </is>
      </c>
      <c r="N589" s="24" t="inlineStr">
        <is>
          <t>789816976.0</t>
        </is>
      </c>
      <c r="O589" s="24" t="inlineStr">
        <is>
          <t>154903951.0</t>
        </is>
      </c>
      <c r="P589" s="24" t="inlineStr">
        <is>
          <t>KRW</t>
        </is>
      </c>
      <c r="Q589" s="24" t="inlineStr">
        <is>
          <t>3</t>
        </is>
      </c>
    </row>
    <row r="590" ht="24" customHeight="1">
      <c r="A590" s="29" t="inlineStr">
        <is>
          <t>OpenDART_fnlttSinglAcntAll</t>
        </is>
      </c>
      <c r="B590" s="29" t="inlineStr">
        <is>
          <t>00161383</t>
        </is>
      </c>
      <c r="C590" s="29" t="inlineStr">
        <is>
          <t>한미반도체</t>
        </is>
      </c>
      <c r="D590" s="29" t="inlineStr">
        <is>
          <t>hanmi</t>
        </is>
      </c>
      <c r="E590" s="29" t="inlineStr">
        <is>
          <t>042700</t>
        </is>
      </c>
      <c r="F590" s="29" t="inlineStr">
        <is>
          <t>2023</t>
        </is>
      </c>
      <c r="G590" s="29" t="inlineStr">
        <is>
          <t>CFS</t>
        </is>
      </c>
      <c r="H590" s="29" t="inlineStr">
        <is>
          <t>SCE</t>
        </is>
      </c>
      <c r="I590" s="29" t="inlineStr">
        <is>
          <t>자본변동표</t>
        </is>
      </c>
      <c r="J590" s="29" t="inlineStr">
        <is>
          <t>dart_EquityAtBeginningOfPeriod</t>
        </is>
      </c>
      <c r="K590" s="29" t="inlineStr">
        <is>
          <t>기초자본</t>
        </is>
      </c>
      <c r="L590" s="29" t="inlineStr">
        <is>
          <t>연결재무제표 [member]</t>
        </is>
      </c>
      <c r="M590" s="29" t="inlineStr">
        <is>
          <t>제 44 기</t>
        </is>
      </c>
      <c r="N590" s="29" t="inlineStr">
        <is>
          <t>390096755786.0</t>
        </is>
      </c>
      <c r="O590" s="29" t="inlineStr">
        <is>
          <t>346812042277.0</t>
        </is>
      </c>
      <c r="P590" s="29" t="inlineStr">
        <is>
          <t>KRW</t>
        </is>
      </c>
      <c r="Q590" s="29" t="inlineStr">
        <is>
          <t>3</t>
        </is>
      </c>
    </row>
    <row r="591" ht="24" customHeight="1">
      <c r="A591" s="24" t="inlineStr">
        <is>
          <t>OpenDART_fnlttSinglAcntAll</t>
        </is>
      </c>
      <c r="B591" s="24" t="inlineStr">
        <is>
          <t>00161383</t>
        </is>
      </c>
      <c r="C591" s="24" t="inlineStr">
        <is>
          <t>한미반도체</t>
        </is>
      </c>
      <c r="D591" s="24" t="inlineStr">
        <is>
          <t>hanmi</t>
        </is>
      </c>
      <c r="E591" s="24" t="inlineStr">
        <is>
          <t>042700</t>
        </is>
      </c>
      <c r="F591" s="24" t="inlineStr">
        <is>
          <t>2023</t>
        </is>
      </c>
      <c r="G591" s="24" t="inlineStr">
        <is>
          <t>CFS</t>
        </is>
      </c>
      <c r="H591" s="24" t="inlineStr">
        <is>
          <t>SCE</t>
        </is>
      </c>
      <c r="I591" s="24" t="inlineStr">
        <is>
          <t>자본변동표</t>
        </is>
      </c>
      <c r="J591" s="24" t="inlineStr">
        <is>
          <t>dart_EquityAtBeginningOfPeriod</t>
        </is>
      </c>
      <c r="K591" s="24" t="inlineStr">
        <is>
          <t>기초자본</t>
        </is>
      </c>
      <c r="L591" s="24" t="inlineStr">
        <is>
          <t>자본 [구성요소]|지배기업의 소유주에게 귀속되는 지분 [구성요소]</t>
        </is>
      </c>
      <c r="M591" s="24" t="inlineStr">
        <is>
          <t>제 44 기</t>
        </is>
      </c>
      <c r="N591" s="24" t="inlineStr">
        <is>
          <t>390096755786.0</t>
        </is>
      </c>
      <c r="O591" s="24" t="inlineStr">
        <is>
          <t>346812042277.0</t>
        </is>
      </c>
      <c r="P591" s="24" t="inlineStr">
        <is>
          <t>KRW</t>
        </is>
      </c>
      <c r="Q591" s="24" t="inlineStr">
        <is>
          <t>3</t>
        </is>
      </c>
    </row>
    <row r="592" ht="24" customHeight="1">
      <c r="A592" s="29" t="inlineStr">
        <is>
          <t>OpenDART_fnlttSinglAcntAll</t>
        </is>
      </c>
      <c r="B592" s="29" t="inlineStr">
        <is>
          <t>00161383</t>
        </is>
      </c>
      <c r="C592" s="29" t="inlineStr">
        <is>
          <t>한미반도체</t>
        </is>
      </c>
      <c r="D592" s="29" t="inlineStr">
        <is>
          <t>hanmi</t>
        </is>
      </c>
      <c r="E592" s="29" t="inlineStr">
        <is>
          <t>042700</t>
        </is>
      </c>
      <c r="F592" s="29" t="inlineStr">
        <is>
          <t>2023</t>
        </is>
      </c>
      <c r="G592" s="29" t="inlineStr">
        <is>
          <t>CFS</t>
        </is>
      </c>
      <c r="H592" s="29" t="inlineStr">
        <is>
          <t>SCE</t>
        </is>
      </c>
      <c r="I592" s="29" t="inlineStr">
        <is>
          <t>자본변동표</t>
        </is>
      </c>
      <c r="J592" s="29" t="inlineStr">
        <is>
          <t>dart_EquityAtBeginningOfPeriod</t>
        </is>
      </c>
      <c r="K592" s="29" t="inlineStr">
        <is>
          <t>기초자본</t>
        </is>
      </c>
      <c r="L592" s="29" t="inlineStr">
        <is>
          <t>자본 [구성요소]|지배기업의 소유주에게 귀속되는 지분 [구성요소]|기타자본구성요소 [구성요소]</t>
        </is>
      </c>
      <c r="M592" s="29" t="inlineStr">
        <is>
          <t>제 44 기</t>
        </is>
      </c>
      <c r="N592" s="29" t="inlineStr">
        <is>
          <t>403275571.0</t>
        </is>
      </c>
      <c r="O592" s="29" t="inlineStr">
        <is>
          <t>403275571.0</t>
        </is>
      </c>
      <c r="P592" s="29" t="inlineStr">
        <is>
          <t>KRW</t>
        </is>
      </c>
      <c r="Q592" s="29" t="inlineStr">
        <is>
          <t>3</t>
        </is>
      </c>
    </row>
    <row r="593" ht="24" customHeight="1">
      <c r="A593" s="24" t="inlineStr">
        <is>
          <t>OpenDART_fnlttSinglAcntAll</t>
        </is>
      </c>
      <c r="B593" s="24" t="inlineStr">
        <is>
          <t>00161383</t>
        </is>
      </c>
      <c r="C593" s="24" t="inlineStr">
        <is>
          <t>한미반도체</t>
        </is>
      </c>
      <c r="D593" s="24" t="inlineStr">
        <is>
          <t>hanmi</t>
        </is>
      </c>
      <c r="E593" s="24" t="inlineStr">
        <is>
          <t>042700</t>
        </is>
      </c>
      <c r="F593" s="24" t="inlineStr">
        <is>
          <t>2023</t>
        </is>
      </c>
      <c r="G593" s="24" t="inlineStr">
        <is>
          <t>CFS</t>
        </is>
      </c>
      <c r="H593" s="24" t="inlineStr">
        <is>
          <t>SCE</t>
        </is>
      </c>
      <c r="I593" s="24" t="inlineStr">
        <is>
          <t>자본변동표</t>
        </is>
      </c>
      <c r="J593" s="24" t="inlineStr">
        <is>
          <t>dart_EquityAtBeginningOfPeriod</t>
        </is>
      </c>
      <c r="K593" s="24" t="inlineStr">
        <is>
          <t>기초자본</t>
        </is>
      </c>
      <c r="L593" s="24" t="inlineStr">
        <is>
          <t>자본 [구성요소]|지배기업의 소유주에게 귀속되는 지분 [구성요소]|자본잉여금 [구성요소]</t>
        </is>
      </c>
      <c r="M593" s="24" t="inlineStr">
        <is>
          <t>제 44 기</t>
        </is>
      </c>
      <c r="N593" s="24" t="inlineStr">
        <is>
          <t>50917901810.0</t>
        </is>
      </c>
      <c r="O593" s="24" t="inlineStr">
        <is>
          <t>50917901810.0</t>
        </is>
      </c>
      <c r="P593" s="24" t="inlineStr">
        <is>
          <t>KRW</t>
        </is>
      </c>
      <c r="Q593" s="24" t="inlineStr">
        <is>
          <t>3</t>
        </is>
      </c>
    </row>
    <row r="594" ht="24" customHeight="1">
      <c r="A594" s="29" t="inlineStr">
        <is>
          <t>OpenDART_fnlttSinglAcntAll</t>
        </is>
      </c>
      <c r="B594" s="29" t="inlineStr">
        <is>
          <t>00161383</t>
        </is>
      </c>
      <c r="C594" s="29" t="inlineStr">
        <is>
          <t>한미반도체</t>
        </is>
      </c>
      <c r="D594" s="29" t="inlineStr">
        <is>
          <t>hanmi</t>
        </is>
      </c>
      <c r="E594" s="29" t="inlineStr">
        <is>
          <t>042700</t>
        </is>
      </c>
      <c r="F594" s="29" t="inlineStr">
        <is>
          <t>2023</t>
        </is>
      </c>
      <c r="G594" s="29" t="inlineStr">
        <is>
          <t>CFS</t>
        </is>
      </c>
      <c r="H594" s="29" t="inlineStr">
        <is>
          <t>SCE</t>
        </is>
      </c>
      <c r="I594" s="29" t="inlineStr">
        <is>
          <t>자본변동표</t>
        </is>
      </c>
      <c r="J594" s="29" t="inlineStr">
        <is>
          <t>dart_ExpenseFromSharebasedPaymentTransactionsWithEmployeesSellingGeneralAdministrativeExpenses</t>
        </is>
      </c>
      <c r="K594" s="29" t="inlineStr">
        <is>
          <t>주식보상비용</t>
        </is>
      </c>
      <c r="L594" s="29" t="inlineStr">
        <is>
          <t>자본 [구성요소]|지배기업의 소유주에게 귀속되는 지분 [구성요소]|자본금 [구성요소]</t>
        </is>
      </c>
      <c r="M594" s="29" t="inlineStr">
        <is>
          <t>제 44 기</t>
        </is>
      </c>
      <c r="N594" s="29" t="inlineStr">
        <is>
          <t>0.0</t>
        </is>
      </c>
      <c r="O594" s="29" t="inlineStr">
        <is>
          <t>0.0</t>
        </is>
      </c>
      <c r="P594" s="29" t="inlineStr">
        <is>
          <t>KRW</t>
        </is>
      </c>
      <c r="Q594" s="29" t="inlineStr">
        <is>
          <t>4</t>
        </is>
      </c>
    </row>
    <row r="595" ht="24" customHeight="1">
      <c r="A595" s="24" t="inlineStr">
        <is>
          <t>OpenDART_fnlttSinglAcntAll</t>
        </is>
      </c>
      <c r="B595" s="24" t="inlineStr">
        <is>
          <t>00161383</t>
        </is>
      </c>
      <c r="C595" s="24" t="inlineStr">
        <is>
          <t>한미반도체</t>
        </is>
      </c>
      <c r="D595" s="24" t="inlineStr">
        <is>
          <t>hanmi</t>
        </is>
      </c>
      <c r="E595" s="24" t="inlineStr">
        <is>
          <t>042700</t>
        </is>
      </c>
      <c r="F595" s="24" t="inlineStr">
        <is>
          <t>2023</t>
        </is>
      </c>
      <c r="G595" s="24" t="inlineStr">
        <is>
          <t>CFS</t>
        </is>
      </c>
      <c r="H595" s="24" t="inlineStr">
        <is>
          <t>SCE</t>
        </is>
      </c>
      <c r="I595" s="24" t="inlineStr">
        <is>
          <t>자본변동표</t>
        </is>
      </c>
      <c r="J595" s="24" t="inlineStr">
        <is>
          <t>dart_ExpenseFromSharebasedPaymentTransactionsWithEmployeesSellingGeneralAdministrativeExpenses</t>
        </is>
      </c>
      <c r="K595" s="24" t="inlineStr">
        <is>
          <t>주식보상비용</t>
        </is>
      </c>
      <c r="L595" s="24" t="inlineStr">
        <is>
          <t>자본 [구성요소]|지배기업의 소유주에게 귀속되는 지분 [구성요소]|이익잉여금 [구성요소]</t>
        </is>
      </c>
      <c r="M595" s="24" t="inlineStr">
        <is>
          <t>제 44 기</t>
        </is>
      </c>
      <c r="N595" s="24" t="inlineStr">
        <is>
          <t>0.0</t>
        </is>
      </c>
      <c r="O595" s="24" t="inlineStr">
        <is>
          <t>0.0</t>
        </is>
      </c>
      <c r="P595" s="24" t="inlineStr">
        <is>
          <t>KRW</t>
        </is>
      </c>
      <c r="Q595" s="24" t="inlineStr">
        <is>
          <t>4</t>
        </is>
      </c>
    </row>
    <row r="596" ht="24" customHeight="1">
      <c r="A596" s="29" t="inlineStr">
        <is>
          <t>OpenDART_fnlttSinglAcntAll</t>
        </is>
      </c>
      <c r="B596" s="29" t="inlineStr">
        <is>
          <t>00161383</t>
        </is>
      </c>
      <c r="C596" s="29" t="inlineStr">
        <is>
          <t>한미반도체</t>
        </is>
      </c>
      <c r="D596" s="29" t="inlineStr">
        <is>
          <t>hanmi</t>
        </is>
      </c>
      <c r="E596" s="29" t="inlineStr">
        <is>
          <t>042700</t>
        </is>
      </c>
      <c r="F596" s="29" t="inlineStr">
        <is>
          <t>2023</t>
        </is>
      </c>
      <c r="G596" s="29" t="inlineStr">
        <is>
          <t>CFS</t>
        </is>
      </c>
      <c r="H596" s="29" t="inlineStr">
        <is>
          <t>SCE</t>
        </is>
      </c>
      <c r="I596" s="29" t="inlineStr">
        <is>
          <t>자본변동표</t>
        </is>
      </c>
      <c r="J596" s="29" t="inlineStr">
        <is>
          <t>dart_ExpenseFromSharebasedPaymentTransactionsWithEmployeesSellingGeneralAdministrativeExpenses</t>
        </is>
      </c>
      <c r="K596" s="29" t="inlineStr">
        <is>
          <t>주식보상비용</t>
        </is>
      </c>
      <c r="L596" s="29" t="inlineStr">
        <is>
          <t>자본 [구성요소]|지배기업의 소유주에게 귀속되는 지분 [구성요소]|기타포괄손익누계액 [구성요소]</t>
        </is>
      </c>
      <c r="M596" s="29" t="inlineStr">
        <is>
          <t>제 44 기</t>
        </is>
      </c>
      <c r="N596" s="29" t="inlineStr">
        <is>
          <t>0.0</t>
        </is>
      </c>
      <c r="O596" s="29" t="inlineStr">
        <is>
          <t>0.0</t>
        </is>
      </c>
      <c r="P596" s="29" t="inlineStr">
        <is>
          <t>KRW</t>
        </is>
      </c>
      <c r="Q596" s="29" t="inlineStr">
        <is>
          <t>4</t>
        </is>
      </c>
    </row>
    <row r="597" ht="24" customHeight="1">
      <c r="A597" s="24" t="inlineStr">
        <is>
          <t>OpenDART_fnlttSinglAcntAll</t>
        </is>
      </c>
      <c r="B597" s="24" t="inlineStr">
        <is>
          <t>00161383</t>
        </is>
      </c>
      <c r="C597" s="24" t="inlineStr">
        <is>
          <t>한미반도체</t>
        </is>
      </c>
      <c r="D597" s="24" t="inlineStr">
        <is>
          <t>hanmi</t>
        </is>
      </c>
      <c r="E597" s="24" t="inlineStr">
        <is>
          <t>042700</t>
        </is>
      </c>
      <c r="F597" s="24" t="inlineStr">
        <is>
          <t>2023</t>
        </is>
      </c>
      <c r="G597" s="24" t="inlineStr">
        <is>
          <t>CFS</t>
        </is>
      </c>
      <c r="H597" s="24" t="inlineStr">
        <is>
          <t>SCE</t>
        </is>
      </c>
      <c r="I597" s="24" t="inlineStr">
        <is>
          <t>자본변동표</t>
        </is>
      </c>
      <c r="J597" s="24" t="inlineStr">
        <is>
          <t>dart_ExpenseFromSharebasedPaymentTransactionsWithEmployeesSellingGeneralAdministrativeExpenses</t>
        </is>
      </c>
      <c r="K597" s="24" t="inlineStr">
        <is>
          <t>주식보상비용</t>
        </is>
      </c>
      <c r="L597" s="24" t="inlineStr">
        <is>
          <t>자본 [구성요소]|지배기업의 소유주에게 귀속되는 지분 [구성요소]|기타자본구성요소 [구성요소]</t>
        </is>
      </c>
      <c r="M597" s="24" t="inlineStr">
        <is>
          <t>제 44 기</t>
        </is>
      </c>
      <c r="N597" s="24" t="inlineStr">
        <is>
          <t>25253454.0</t>
        </is>
      </c>
      <c r="O597" s="24" t="inlineStr">
        <is>
          <t>0.0</t>
        </is>
      </c>
      <c r="P597" s="24" t="inlineStr">
        <is>
          <t>KRW</t>
        </is>
      </c>
      <c r="Q597" s="24" t="inlineStr">
        <is>
          <t>4</t>
        </is>
      </c>
    </row>
    <row r="598" ht="24" customHeight="1">
      <c r="A598" s="29" t="inlineStr">
        <is>
          <t>OpenDART_fnlttSinglAcntAll</t>
        </is>
      </c>
      <c r="B598" s="29" t="inlineStr">
        <is>
          <t>00161383</t>
        </is>
      </c>
      <c r="C598" s="29" t="inlineStr">
        <is>
          <t>한미반도체</t>
        </is>
      </c>
      <c r="D598" s="29" t="inlineStr">
        <is>
          <t>hanmi</t>
        </is>
      </c>
      <c r="E598" s="29" t="inlineStr">
        <is>
          <t>042700</t>
        </is>
      </c>
      <c r="F598" s="29" t="inlineStr">
        <is>
          <t>2023</t>
        </is>
      </c>
      <c r="G598" s="29" t="inlineStr">
        <is>
          <t>CFS</t>
        </is>
      </c>
      <c r="H598" s="29" t="inlineStr">
        <is>
          <t>SCE</t>
        </is>
      </c>
      <c r="I598" s="29" t="inlineStr">
        <is>
          <t>자본변동표</t>
        </is>
      </c>
      <c r="J598" s="29" t="inlineStr">
        <is>
          <t>dart_ExpenseFromSharebasedPaymentTransactionsWithEmployeesSellingGeneralAdministrativeExpenses</t>
        </is>
      </c>
      <c r="K598" s="29" t="inlineStr">
        <is>
          <t>주식보상비용</t>
        </is>
      </c>
      <c r="L598" s="29" t="inlineStr">
        <is>
          <t>자본 [구성요소]|지배기업의 소유주에게 귀속되는 지분 [구성요소]</t>
        </is>
      </c>
      <c r="M598" s="29" t="inlineStr">
        <is>
          <t>제 44 기</t>
        </is>
      </c>
      <c r="N598" s="29" t="inlineStr">
        <is>
          <t>25253454.0</t>
        </is>
      </c>
      <c r="O598" s="29" t="inlineStr">
        <is>
          <t>0.0</t>
        </is>
      </c>
      <c r="P598" s="29" t="inlineStr">
        <is>
          <t>KRW</t>
        </is>
      </c>
      <c r="Q598" s="29" t="inlineStr">
        <is>
          <t>4</t>
        </is>
      </c>
    </row>
    <row r="599" ht="24" customHeight="1">
      <c r="A599" s="24" t="inlineStr">
        <is>
          <t>OpenDART_fnlttSinglAcntAll</t>
        </is>
      </c>
      <c r="B599" s="24" t="inlineStr">
        <is>
          <t>00161383</t>
        </is>
      </c>
      <c r="C599" s="24" t="inlineStr">
        <is>
          <t>한미반도체</t>
        </is>
      </c>
      <c r="D599" s="24" t="inlineStr">
        <is>
          <t>hanmi</t>
        </is>
      </c>
      <c r="E599" s="24" t="inlineStr">
        <is>
          <t>042700</t>
        </is>
      </c>
      <c r="F599" s="24" t="inlineStr">
        <is>
          <t>2023</t>
        </is>
      </c>
      <c r="G599" s="24" t="inlineStr">
        <is>
          <t>CFS</t>
        </is>
      </c>
      <c r="H599" s="24" t="inlineStr">
        <is>
          <t>SCE</t>
        </is>
      </c>
      <c r="I599" s="24" t="inlineStr">
        <is>
          <t>자본변동표</t>
        </is>
      </c>
      <c r="J599" s="24" t="inlineStr">
        <is>
          <t>dart_ExpenseFromSharebasedPaymentTransactionsWithEmployeesSellingGeneralAdministrativeExpenses</t>
        </is>
      </c>
      <c r="K599" s="24" t="inlineStr">
        <is>
          <t>주식보상비용</t>
        </is>
      </c>
      <c r="L599" s="24" t="inlineStr">
        <is>
          <t>연결재무제표 [member]</t>
        </is>
      </c>
      <c r="M599" s="24" t="inlineStr">
        <is>
          <t>제 44 기</t>
        </is>
      </c>
      <c r="N599" s="24" t="inlineStr">
        <is>
          <t>25253454.0</t>
        </is>
      </c>
      <c r="O599" s="24" t="inlineStr">
        <is>
          <t>0.0</t>
        </is>
      </c>
      <c r="P599" s="24" t="inlineStr">
        <is>
          <t>KRW</t>
        </is>
      </c>
      <c r="Q599" s="24" t="inlineStr">
        <is>
          <t>4</t>
        </is>
      </c>
    </row>
    <row r="600" ht="24" customHeight="1">
      <c r="A600" s="29" t="inlineStr">
        <is>
          <t>OpenDART_fnlttSinglAcntAll</t>
        </is>
      </c>
      <c r="B600" s="29" t="inlineStr">
        <is>
          <t>00161383</t>
        </is>
      </c>
      <c r="C600" s="29" t="inlineStr">
        <is>
          <t>한미반도체</t>
        </is>
      </c>
      <c r="D600" s="29" t="inlineStr">
        <is>
          <t>hanmi</t>
        </is>
      </c>
      <c r="E600" s="29" t="inlineStr">
        <is>
          <t>042700</t>
        </is>
      </c>
      <c r="F600" s="29" t="inlineStr">
        <is>
          <t>2023</t>
        </is>
      </c>
      <c r="G600" s="29" t="inlineStr">
        <is>
          <t>CFS</t>
        </is>
      </c>
      <c r="H600" s="29" t="inlineStr">
        <is>
          <t>SCE</t>
        </is>
      </c>
      <c r="I600" s="29" t="inlineStr">
        <is>
          <t>자본변동표</t>
        </is>
      </c>
      <c r="J600" s="29" t="inlineStr">
        <is>
          <t>dart_ExpenseFromSharebasedPaymentTransactionsWithEmployeesSellingGeneralAdministrativeExpenses</t>
        </is>
      </c>
      <c r="K600" s="29" t="inlineStr">
        <is>
          <t>주식보상비용</t>
        </is>
      </c>
      <c r="L600" s="29" t="inlineStr">
        <is>
          <t>자본 [구성요소]|지배기업의 소유주에게 귀속되는 지분 [구성요소]|자본잉여금 [구성요소]</t>
        </is>
      </c>
      <c r="M600" s="29" t="inlineStr">
        <is>
          <t>제 44 기</t>
        </is>
      </c>
      <c r="N600" s="29" t="inlineStr">
        <is>
          <t>0.0</t>
        </is>
      </c>
      <c r="O600" s="29" t="inlineStr">
        <is>
          <t>0.0</t>
        </is>
      </c>
      <c r="P600" s="29" t="inlineStr">
        <is>
          <t>KRW</t>
        </is>
      </c>
      <c r="Q600" s="29" t="inlineStr">
        <is>
          <t>4</t>
        </is>
      </c>
    </row>
    <row r="601" ht="24" customHeight="1">
      <c r="A601" s="24" t="inlineStr">
        <is>
          <t>OpenDART_fnlttSinglAcntAll</t>
        </is>
      </c>
      <c r="B601" s="24" t="inlineStr">
        <is>
          <t>00161383</t>
        </is>
      </c>
      <c r="C601" s="24" t="inlineStr">
        <is>
          <t>한미반도체</t>
        </is>
      </c>
      <c r="D601" s="24" t="inlineStr">
        <is>
          <t>hanmi</t>
        </is>
      </c>
      <c r="E601" s="24" t="inlineStr">
        <is>
          <t>042700</t>
        </is>
      </c>
      <c r="F601" s="24" t="inlineStr">
        <is>
          <t>2023</t>
        </is>
      </c>
      <c r="G601" s="24" t="inlineStr">
        <is>
          <t>CFS</t>
        </is>
      </c>
      <c r="H601" s="24" t="inlineStr">
        <is>
          <t>SCE</t>
        </is>
      </c>
      <c r="I601" s="24" t="inlineStr">
        <is>
          <t>자본변동표</t>
        </is>
      </c>
      <c r="J601" s="24" t="inlineStr">
        <is>
          <t>dart_TreasuryShareTransactions</t>
        </is>
      </c>
      <c r="K601" s="24" t="inlineStr">
        <is>
          <t>자기주식처분이익</t>
        </is>
      </c>
      <c r="L601" s="24" t="inlineStr">
        <is>
          <t>연결재무제표 [member]</t>
        </is>
      </c>
      <c r="M601" s="24" t="inlineStr">
        <is>
          <t>제 44 기</t>
        </is>
      </c>
      <c r="N601" s="24" t="inlineStr">
        <is>
          <t>5464171128.0</t>
        </is>
      </c>
      <c r="O601" s="24" t="inlineStr">
        <is>
          <t>0.0</t>
        </is>
      </c>
      <c r="P601" s="24" t="inlineStr">
        <is>
          <t>KRW</t>
        </is>
      </c>
      <c r="Q601" s="24" t="inlineStr">
        <is>
          <t>5</t>
        </is>
      </c>
    </row>
    <row r="602" ht="24" customHeight="1">
      <c r="A602" s="29" t="inlineStr">
        <is>
          <t>OpenDART_fnlttSinglAcntAll</t>
        </is>
      </c>
      <c r="B602" s="29" t="inlineStr">
        <is>
          <t>00161383</t>
        </is>
      </c>
      <c r="C602" s="29" t="inlineStr">
        <is>
          <t>한미반도체</t>
        </is>
      </c>
      <c r="D602" s="29" t="inlineStr">
        <is>
          <t>hanmi</t>
        </is>
      </c>
      <c r="E602" s="29" t="inlineStr">
        <is>
          <t>042700</t>
        </is>
      </c>
      <c r="F602" s="29" t="inlineStr">
        <is>
          <t>2023</t>
        </is>
      </c>
      <c r="G602" s="29" t="inlineStr">
        <is>
          <t>CFS</t>
        </is>
      </c>
      <c r="H602" s="29" t="inlineStr">
        <is>
          <t>SCE</t>
        </is>
      </c>
      <c r="I602" s="29" t="inlineStr">
        <is>
          <t>자본변동표</t>
        </is>
      </c>
      <c r="J602" s="29" t="inlineStr">
        <is>
          <t>dart_TreasuryShareTransactions</t>
        </is>
      </c>
      <c r="K602" s="29" t="inlineStr">
        <is>
          <t>자기주식처분이익</t>
        </is>
      </c>
      <c r="L602" s="29" t="inlineStr">
        <is>
          <t>자본 [구성요소]|지배기업의 소유주에게 귀속되는 지분 [구성요소]</t>
        </is>
      </c>
      <c r="M602" s="29" t="inlineStr">
        <is>
          <t>제 44 기</t>
        </is>
      </c>
      <c r="N602" s="29" t="inlineStr">
        <is>
          <t>5464171128.0</t>
        </is>
      </c>
      <c r="O602" s="29" t="inlineStr">
        <is>
          <t>0.0</t>
        </is>
      </c>
      <c r="P602" s="29" t="inlineStr">
        <is>
          <t>KRW</t>
        </is>
      </c>
      <c r="Q602" s="29" t="inlineStr">
        <is>
          <t>5</t>
        </is>
      </c>
    </row>
    <row r="603" ht="24" customHeight="1">
      <c r="A603" s="24" t="inlineStr">
        <is>
          <t>OpenDART_fnlttSinglAcntAll</t>
        </is>
      </c>
      <c r="B603" s="24" t="inlineStr">
        <is>
          <t>00161383</t>
        </is>
      </c>
      <c r="C603" s="24" t="inlineStr">
        <is>
          <t>한미반도체</t>
        </is>
      </c>
      <c r="D603" s="24" t="inlineStr">
        <is>
          <t>hanmi</t>
        </is>
      </c>
      <c r="E603" s="24" t="inlineStr">
        <is>
          <t>042700</t>
        </is>
      </c>
      <c r="F603" s="24" t="inlineStr">
        <is>
          <t>2023</t>
        </is>
      </c>
      <c r="G603" s="24" t="inlineStr">
        <is>
          <t>CFS</t>
        </is>
      </c>
      <c r="H603" s="24" t="inlineStr">
        <is>
          <t>SCE</t>
        </is>
      </c>
      <c r="I603" s="24" t="inlineStr">
        <is>
          <t>자본변동표</t>
        </is>
      </c>
      <c r="J603" s="24" t="inlineStr">
        <is>
          <t>dart_TreasuryShareTransactions</t>
        </is>
      </c>
      <c r="K603" s="24" t="inlineStr">
        <is>
          <t>자기주식처분이익</t>
        </is>
      </c>
      <c r="L603" s="24" t="inlineStr">
        <is>
          <t>자본 [구성요소]|지배기업의 소유주에게 귀속되는 지분 [구성요소]|기타자본구성요소 [구성요소]</t>
        </is>
      </c>
      <c r="M603" s="24" t="inlineStr">
        <is>
          <t>제 44 기</t>
        </is>
      </c>
      <c r="N603" s="24" t="inlineStr">
        <is>
          <t>0.0</t>
        </is>
      </c>
      <c r="O603" s="24" t="inlineStr">
        <is>
          <t>0.0</t>
        </is>
      </c>
      <c r="P603" s="24" t="inlineStr">
        <is>
          <t>KRW</t>
        </is>
      </c>
      <c r="Q603" s="24" t="inlineStr">
        <is>
          <t>5</t>
        </is>
      </c>
    </row>
    <row r="604" ht="24" customHeight="1">
      <c r="A604" s="29" t="inlineStr">
        <is>
          <t>OpenDART_fnlttSinglAcntAll</t>
        </is>
      </c>
      <c r="B604" s="29" t="inlineStr">
        <is>
          <t>00161383</t>
        </is>
      </c>
      <c r="C604" s="29" t="inlineStr">
        <is>
          <t>한미반도체</t>
        </is>
      </c>
      <c r="D604" s="29" t="inlineStr">
        <is>
          <t>hanmi</t>
        </is>
      </c>
      <c r="E604" s="29" t="inlineStr">
        <is>
          <t>042700</t>
        </is>
      </c>
      <c r="F604" s="29" t="inlineStr">
        <is>
          <t>2023</t>
        </is>
      </c>
      <c r="G604" s="29" t="inlineStr">
        <is>
          <t>CFS</t>
        </is>
      </c>
      <c r="H604" s="29" t="inlineStr">
        <is>
          <t>SCE</t>
        </is>
      </c>
      <c r="I604" s="29" t="inlineStr">
        <is>
          <t>자본변동표</t>
        </is>
      </c>
      <c r="J604" s="29" t="inlineStr">
        <is>
          <t>dart_TreasuryShareTransactions</t>
        </is>
      </c>
      <c r="K604" s="29" t="inlineStr">
        <is>
          <t>자기주식처분이익</t>
        </is>
      </c>
      <c r="L604" s="29" t="inlineStr">
        <is>
          <t>자본 [구성요소]|지배기업의 소유주에게 귀속되는 지분 [구성요소]|기타포괄손익누계액 [구성요소]</t>
        </is>
      </c>
      <c r="M604" s="29" t="inlineStr">
        <is>
          <t>제 44 기</t>
        </is>
      </c>
      <c r="N604" s="29" t="inlineStr">
        <is>
          <t>0.0</t>
        </is>
      </c>
      <c r="O604" s="29" t="inlineStr">
        <is>
          <t>0.0</t>
        </is>
      </c>
      <c r="P604" s="29" t="inlineStr">
        <is>
          <t>KRW</t>
        </is>
      </c>
      <c r="Q604" s="29" t="inlineStr">
        <is>
          <t>5</t>
        </is>
      </c>
    </row>
    <row r="605" ht="24" customHeight="1">
      <c r="A605" s="24" t="inlineStr">
        <is>
          <t>OpenDART_fnlttSinglAcntAll</t>
        </is>
      </c>
      <c r="B605" s="24" t="inlineStr">
        <is>
          <t>00161383</t>
        </is>
      </c>
      <c r="C605" s="24" t="inlineStr">
        <is>
          <t>한미반도체</t>
        </is>
      </c>
      <c r="D605" s="24" t="inlineStr">
        <is>
          <t>hanmi</t>
        </is>
      </c>
      <c r="E605" s="24" t="inlineStr">
        <is>
          <t>042700</t>
        </is>
      </c>
      <c r="F605" s="24" t="inlineStr">
        <is>
          <t>2023</t>
        </is>
      </c>
      <c r="G605" s="24" t="inlineStr">
        <is>
          <t>CFS</t>
        </is>
      </c>
      <c r="H605" s="24" t="inlineStr">
        <is>
          <t>SCE</t>
        </is>
      </c>
      <c r="I605" s="24" t="inlineStr">
        <is>
          <t>자본변동표</t>
        </is>
      </c>
      <c r="J605" s="24" t="inlineStr">
        <is>
          <t>dart_TreasuryShareTransactions</t>
        </is>
      </c>
      <c r="K605" s="24" t="inlineStr">
        <is>
          <t>자기주식처분이익</t>
        </is>
      </c>
      <c r="L605" s="24" t="inlineStr">
        <is>
          <t>자본 [구성요소]|지배기업의 소유주에게 귀속되는 지분 [구성요소]|이익잉여금 [구성요소]</t>
        </is>
      </c>
      <c r="M605" s="24" t="inlineStr">
        <is>
          <t>제 44 기</t>
        </is>
      </c>
      <c r="N605" s="24" t="inlineStr">
        <is>
          <t>0.0</t>
        </is>
      </c>
      <c r="O605" s="24" t="inlineStr">
        <is>
          <t>0.0</t>
        </is>
      </c>
      <c r="P605" s="24" t="inlineStr">
        <is>
          <t>KRW</t>
        </is>
      </c>
      <c r="Q605" s="24" t="inlineStr">
        <is>
          <t>5</t>
        </is>
      </c>
    </row>
    <row r="606" ht="24" customHeight="1">
      <c r="A606" s="29" t="inlineStr">
        <is>
          <t>OpenDART_fnlttSinglAcntAll</t>
        </is>
      </c>
      <c r="B606" s="29" t="inlineStr">
        <is>
          <t>00161383</t>
        </is>
      </c>
      <c r="C606" s="29" t="inlineStr">
        <is>
          <t>한미반도체</t>
        </is>
      </c>
      <c r="D606" s="29" t="inlineStr">
        <is>
          <t>hanmi</t>
        </is>
      </c>
      <c r="E606" s="29" t="inlineStr">
        <is>
          <t>042700</t>
        </is>
      </c>
      <c r="F606" s="29" t="inlineStr">
        <is>
          <t>2023</t>
        </is>
      </c>
      <c r="G606" s="29" t="inlineStr">
        <is>
          <t>CFS</t>
        </is>
      </c>
      <c r="H606" s="29" t="inlineStr">
        <is>
          <t>SCE</t>
        </is>
      </c>
      <c r="I606" s="29" t="inlineStr">
        <is>
          <t>자본변동표</t>
        </is>
      </c>
      <c r="J606" s="29" t="inlineStr">
        <is>
          <t>dart_TreasuryShareTransactions</t>
        </is>
      </c>
      <c r="K606" s="29" t="inlineStr">
        <is>
          <t>자기주식처분이익</t>
        </is>
      </c>
      <c r="L606" s="29" t="inlineStr">
        <is>
          <t>자본 [구성요소]|지배기업의 소유주에게 귀속되는 지분 [구성요소]|자본금 [구성요소]</t>
        </is>
      </c>
      <c r="M606" s="29" t="inlineStr">
        <is>
          <t>제 44 기</t>
        </is>
      </c>
      <c r="N606" s="29" t="inlineStr">
        <is>
          <t>0.0</t>
        </is>
      </c>
      <c r="O606" s="29" t="inlineStr">
        <is>
          <t>0.0</t>
        </is>
      </c>
      <c r="P606" s="29" t="inlineStr">
        <is>
          <t>KRW</t>
        </is>
      </c>
      <c r="Q606" s="29" t="inlineStr">
        <is>
          <t>5</t>
        </is>
      </c>
    </row>
    <row r="607" ht="24" customHeight="1">
      <c r="A607" s="24" t="inlineStr">
        <is>
          <t>OpenDART_fnlttSinglAcntAll</t>
        </is>
      </c>
      <c r="B607" s="24" t="inlineStr">
        <is>
          <t>00161383</t>
        </is>
      </c>
      <c r="C607" s="24" t="inlineStr">
        <is>
          <t>한미반도체</t>
        </is>
      </c>
      <c r="D607" s="24" t="inlineStr">
        <is>
          <t>hanmi</t>
        </is>
      </c>
      <c r="E607" s="24" t="inlineStr">
        <is>
          <t>042700</t>
        </is>
      </c>
      <c r="F607" s="24" t="inlineStr">
        <is>
          <t>2023</t>
        </is>
      </c>
      <c r="G607" s="24" t="inlineStr">
        <is>
          <t>CFS</t>
        </is>
      </c>
      <c r="H607" s="24" t="inlineStr">
        <is>
          <t>SCE</t>
        </is>
      </c>
      <c r="I607" s="24" t="inlineStr">
        <is>
          <t>자본변동표</t>
        </is>
      </c>
      <c r="J607" s="24" t="inlineStr">
        <is>
          <t>dart_TreasuryShareTransactions</t>
        </is>
      </c>
      <c r="K607" s="24" t="inlineStr">
        <is>
          <t>자기주식처분이익</t>
        </is>
      </c>
      <c r="L607" s="24" t="inlineStr">
        <is>
          <t>자본 [구성요소]|지배기업의 소유주에게 귀속되는 지분 [구성요소]|자본잉여금 [구성요소]</t>
        </is>
      </c>
      <c r="M607" s="24" t="inlineStr">
        <is>
          <t>제 44 기</t>
        </is>
      </c>
      <c r="N607" s="24" t="inlineStr">
        <is>
          <t>5464171128.0</t>
        </is>
      </c>
      <c r="O607" s="24" t="inlineStr">
        <is>
          <t>0.0</t>
        </is>
      </c>
      <c r="P607" s="24" t="inlineStr">
        <is>
          <t>KRW</t>
        </is>
      </c>
      <c r="Q607" s="24" t="inlineStr">
        <is>
          <t>5</t>
        </is>
      </c>
    </row>
    <row r="608" ht="24" customHeight="1">
      <c r="A608" s="29" t="inlineStr">
        <is>
          <t>OpenDART_fnlttSinglAcntAll</t>
        </is>
      </c>
      <c r="B608" s="29" t="inlineStr">
        <is>
          <t>00161383</t>
        </is>
      </c>
      <c r="C608" s="29" t="inlineStr">
        <is>
          <t>한미반도체</t>
        </is>
      </c>
      <c r="D608" s="29" t="inlineStr">
        <is>
          <t>hanmi</t>
        </is>
      </c>
      <c r="E608" s="29" t="inlineStr">
        <is>
          <t>042700</t>
        </is>
      </c>
      <c r="F608" s="29" t="inlineStr">
        <is>
          <t>2023</t>
        </is>
      </c>
      <c r="G608" s="29" t="inlineStr">
        <is>
          <t>CFS</t>
        </is>
      </c>
      <c r="H608" s="29" t="inlineStr">
        <is>
          <t>SCE</t>
        </is>
      </c>
      <c r="I608" s="29" t="inlineStr">
        <is>
          <t>자본변동표</t>
        </is>
      </c>
      <c r="J608" s="29" t="inlineStr">
        <is>
          <t>-표준계정코드 미사용-</t>
        </is>
      </c>
      <c r="K608" s="29" t="inlineStr">
        <is>
          <t>자기주식 처분</t>
        </is>
      </c>
      <c r="L608" s="29" t="inlineStr">
        <is>
          <t>연결재무제표 [member]</t>
        </is>
      </c>
      <c r="M608" s="29" t="inlineStr">
        <is>
          <t>제 44 기</t>
        </is>
      </c>
      <c r="N608" s="29" t="inlineStr">
        <is>
          <t>20532652450.0</t>
        </is>
      </c>
      <c r="O608" s="29" t="inlineStr">
        <is>
          <t>0.0</t>
        </is>
      </c>
      <c r="P608" s="29" t="inlineStr">
        <is>
          <t>KRW</t>
        </is>
      </c>
      <c r="Q608" s="29" t="inlineStr">
        <is>
          <t>6</t>
        </is>
      </c>
    </row>
    <row r="609" ht="24" customHeight="1">
      <c r="A609" s="24" t="inlineStr">
        <is>
          <t>OpenDART_fnlttSinglAcntAll</t>
        </is>
      </c>
      <c r="B609" s="24" t="inlineStr">
        <is>
          <t>00161383</t>
        </is>
      </c>
      <c r="C609" s="24" t="inlineStr">
        <is>
          <t>한미반도체</t>
        </is>
      </c>
      <c r="D609" s="24" t="inlineStr">
        <is>
          <t>hanmi</t>
        </is>
      </c>
      <c r="E609" s="24" t="inlineStr">
        <is>
          <t>042700</t>
        </is>
      </c>
      <c r="F609" s="24" t="inlineStr">
        <is>
          <t>2023</t>
        </is>
      </c>
      <c r="G609" s="24" t="inlineStr">
        <is>
          <t>CFS</t>
        </is>
      </c>
      <c r="H609" s="24" t="inlineStr">
        <is>
          <t>SCE</t>
        </is>
      </c>
      <c r="I609" s="24" t="inlineStr">
        <is>
          <t>자본변동표</t>
        </is>
      </c>
      <c r="J609" s="24" t="inlineStr">
        <is>
          <t>-표준계정코드 미사용-</t>
        </is>
      </c>
      <c r="K609" s="24" t="inlineStr">
        <is>
          <t>자기주식 처분</t>
        </is>
      </c>
      <c r="L609" s="24" t="inlineStr">
        <is>
          <t>자본 [구성요소]|지배기업의 소유주에게 귀속되는 지분 [구성요소]</t>
        </is>
      </c>
      <c r="M609" s="24" t="inlineStr">
        <is>
          <t>제 44 기</t>
        </is>
      </c>
      <c r="N609" s="24" t="inlineStr">
        <is>
          <t>20532652450.0</t>
        </is>
      </c>
      <c r="O609" s="24" t="inlineStr">
        <is>
          <t>0.0</t>
        </is>
      </c>
      <c r="P609" s="24" t="inlineStr">
        <is>
          <t>KRW</t>
        </is>
      </c>
      <c r="Q609" s="24" t="inlineStr">
        <is>
          <t>6</t>
        </is>
      </c>
    </row>
    <row r="610" ht="24" customHeight="1">
      <c r="A610" s="29" t="inlineStr">
        <is>
          <t>OpenDART_fnlttSinglAcntAll</t>
        </is>
      </c>
      <c r="B610" s="29" t="inlineStr">
        <is>
          <t>00161383</t>
        </is>
      </c>
      <c r="C610" s="29" t="inlineStr">
        <is>
          <t>한미반도체</t>
        </is>
      </c>
      <c r="D610" s="29" t="inlineStr">
        <is>
          <t>hanmi</t>
        </is>
      </c>
      <c r="E610" s="29" t="inlineStr">
        <is>
          <t>042700</t>
        </is>
      </c>
      <c r="F610" s="29" t="inlineStr">
        <is>
          <t>2023</t>
        </is>
      </c>
      <c r="G610" s="29" t="inlineStr">
        <is>
          <t>CFS</t>
        </is>
      </c>
      <c r="H610" s="29" t="inlineStr">
        <is>
          <t>SCE</t>
        </is>
      </c>
      <c r="I610" s="29" t="inlineStr">
        <is>
          <t>자본변동표</t>
        </is>
      </c>
      <c r="J610" s="29" t="inlineStr">
        <is>
          <t>-표준계정코드 미사용-</t>
        </is>
      </c>
      <c r="K610" s="29" t="inlineStr">
        <is>
          <t>자기주식 처분</t>
        </is>
      </c>
      <c r="L610" s="29" t="inlineStr">
        <is>
          <t>자본 [구성요소]|지배기업의 소유주에게 귀속되는 지분 [구성요소]|기타자본구성요소 [구성요소]</t>
        </is>
      </c>
      <c r="M610" s="29" t="inlineStr">
        <is>
          <t>제 44 기</t>
        </is>
      </c>
      <c r="N610" s="29" t="inlineStr">
        <is>
          <t>20532652450.0</t>
        </is>
      </c>
      <c r="O610" s="29" t="inlineStr">
        <is>
          <t>0.0</t>
        </is>
      </c>
      <c r="P610" s="29" t="inlineStr">
        <is>
          <t>KRW</t>
        </is>
      </c>
      <c r="Q610" s="29" t="inlineStr">
        <is>
          <t>6</t>
        </is>
      </c>
    </row>
    <row r="611" ht="24" customHeight="1">
      <c r="A611" s="24" t="inlineStr">
        <is>
          <t>OpenDART_fnlttSinglAcntAll</t>
        </is>
      </c>
      <c r="B611" s="24" t="inlineStr">
        <is>
          <t>00161383</t>
        </is>
      </c>
      <c r="C611" s="24" t="inlineStr">
        <is>
          <t>한미반도체</t>
        </is>
      </c>
      <c r="D611" s="24" t="inlineStr">
        <is>
          <t>hanmi</t>
        </is>
      </c>
      <c r="E611" s="24" t="inlineStr">
        <is>
          <t>042700</t>
        </is>
      </c>
      <c r="F611" s="24" t="inlineStr">
        <is>
          <t>2023</t>
        </is>
      </c>
      <c r="G611" s="24" t="inlineStr">
        <is>
          <t>CFS</t>
        </is>
      </c>
      <c r="H611" s="24" t="inlineStr">
        <is>
          <t>SCE</t>
        </is>
      </c>
      <c r="I611" s="24" t="inlineStr">
        <is>
          <t>자본변동표</t>
        </is>
      </c>
      <c r="J611" s="24" t="inlineStr">
        <is>
          <t>-표준계정코드 미사용-</t>
        </is>
      </c>
      <c r="K611" s="24" t="inlineStr">
        <is>
          <t>자기주식 처분</t>
        </is>
      </c>
      <c r="L611" s="24" t="inlineStr">
        <is>
          <t>자본 [구성요소]|지배기업의 소유주에게 귀속되는 지분 [구성요소]|기타포괄손익누계액 [구성요소]</t>
        </is>
      </c>
      <c r="M611" s="24" t="inlineStr">
        <is>
          <t>제 44 기</t>
        </is>
      </c>
      <c r="N611" s="24" t="inlineStr">
        <is>
          <t>0.0</t>
        </is>
      </c>
      <c r="O611" s="24" t="inlineStr">
        <is>
          <t>0.0</t>
        </is>
      </c>
      <c r="P611" s="24" t="inlineStr">
        <is>
          <t>KRW</t>
        </is>
      </c>
      <c r="Q611" s="24" t="inlineStr">
        <is>
          <t>6</t>
        </is>
      </c>
    </row>
    <row r="612" ht="24" customHeight="1">
      <c r="A612" s="29" t="inlineStr">
        <is>
          <t>OpenDART_fnlttSinglAcntAll</t>
        </is>
      </c>
      <c r="B612" s="29" t="inlineStr">
        <is>
          <t>00161383</t>
        </is>
      </c>
      <c r="C612" s="29" t="inlineStr">
        <is>
          <t>한미반도체</t>
        </is>
      </c>
      <c r="D612" s="29" t="inlineStr">
        <is>
          <t>hanmi</t>
        </is>
      </c>
      <c r="E612" s="29" t="inlineStr">
        <is>
          <t>042700</t>
        </is>
      </c>
      <c r="F612" s="29" t="inlineStr">
        <is>
          <t>2023</t>
        </is>
      </c>
      <c r="G612" s="29" t="inlineStr">
        <is>
          <t>CFS</t>
        </is>
      </c>
      <c r="H612" s="29" t="inlineStr">
        <is>
          <t>SCE</t>
        </is>
      </c>
      <c r="I612" s="29" t="inlineStr">
        <is>
          <t>자본변동표</t>
        </is>
      </c>
      <c r="J612" s="29" t="inlineStr">
        <is>
          <t>-표준계정코드 미사용-</t>
        </is>
      </c>
      <c r="K612" s="29" t="inlineStr">
        <is>
          <t>자기주식 처분</t>
        </is>
      </c>
      <c r="L612" s="29" t="inlineStr">
        <is>
          <t>자본 [구성요소]|지배기업의 소유주에게 귀속되는 지분 [구성요소]|이익잉여금 [구성요소]</t>
        </is>
      </c>
      <c r="M612" s="29" t="inlineStr">
        <is>
          <t>제 44 기</t>
        </is>
      </c>
      <c r="N612" s="29" t="inlineStr">
        <is>
          <t>0.0</t>
        </is>
      </c>
      <c r="O612" s="29" t="inlineStr">
        <is>
          <t>0.0</t>
        </is>
      </c>
      <c r="P612" s="29" t="inlineStr">
        <is>
          <t>KRW</t>
        </is>
      </c>
      <c r="Q612" s="29" t="inlineStr">
        <is>
          <t>6</t>
        </is>
      </c>
    </row>
    <row r="613" ht="24" customHeight="1">
      <c r="A613" s="24" t="inlineStr">
        <is>
          <t>OpenDART_fnlttSinglAcntAll</t>
        </is>
      </c>
      <c r="B613" s="24" t="inlineStr">
        <is>
          <t>00161383</t>
        </is>
      </c>
      <c r="C613" s="24" t="inlineStr">
        <is>
          <t>한미반도체</t>
        </is>
      </c>
      <c r="D613" s="24" t="inlineStr">
        <is>
          <t>hanmi</t>
        </is>
      </c>
      <c r="E613" s="24" t="inlineStr">
        <is>
          <t>042700</t>
        </is>
      </c>
      <c r="F613" s="24" t="inlineStr">
        <is>
          <t>2023</t>
        </is>
      </c>
      <c r="G613" s="24" t="inlineStr">
        <is>
          <t>CFS</t>
        </is>
      </c>
      <c r="H613" s="24" t="inlineStr">
        <is>
          <t>SCE</t>
        </is>
      </c>
      <c r="I613" s="24" t="inlineStr">
        <is>
          <t>자본변동표</t>
        </is>
      </c>
      <c r="J613" s="24" t="inlineStr">
        <is>
          <t>-표준계정코드 미사용-</t>
        </is>
      </c>
      <c r="K613" s="24" t="inlineStr">
        <is>
          <t>자기주식 처분</t>
        </is>
      </c>
      <c r="L613" s="24" t="inlineStr">
        <is>
          <t>자본 [구성요소]|지배기업의 소유주에게 귀속되는 지분 [구성요소]|자본금 [구성요소]</t>
        </is>
      </c>
      <c r="M613" s="24" t="inlineStr">
        <is>
          <t>제 44 기</t>
        </is>
      </c>
      <c r="N613" s="24" t="inlineStr">
        <is>
          <t>0.0</t>
        </is>
      </c>
      <c r="O613" s="24" t="inlineStr">
        <is>
          <t>0.0</t>
        </is>
      </c>
      <c r="P613" s="24" t="inlineStr">
        <is>
          <t>KRW</t>
        </is>
      </c>
      <c r="Q613" s="24" t="inlineStr">
        <is>
          <t>6</t>
        </is>
      </c>
    </row>
    <row r="614" ht="24" customHeight="1">
      <c r="A614" s="29" t="inlineStr">
        <is>
          <t>OpenDART_fnlttSinglAcntAll</t>
        </is>
      </c>
      <c r="B614" s="29" t="inlineStr">
        <is>
          <t>00161383</t>
        </is>
      </c>
      <c r="C614" s="29" t="inlineStr">
        <is>
          <t>한미반도체</t>
        </is>
      </c>
      <c r="D614" s="29" t="inlineStr">
        <is>
          <t>hanmi</t>
        </is>
      </c>
      <c r="E614" s="29" t="inlineStr">
        <is>
          <t>042700</t>
        </is>
      </c>
      <c r="F614" s="29" t="inlineStr">
        <is>
          <t>2023</t>
        </is>
      </c>
      <c r="G614" s="29" t="inlineStr">
        <is>
          <t>CFS</t>
        </is>
      </c>
      <c r="H614" s="29" t="inlineStr">
        <is>
          <t>SCE</t>
        </is>
      </c>
      <c r="I614" s="29" t="inlineStr">
        <is>
          <t>자본변동표</t>
        </is>
      </c>
      <c r="J614" s="29" t="inlineStr">
        <is>
          <t>-표준계정코드 미사용-</t>
        </is>
      </c>
      <c r="K614" s="29" t="inlineStr">
        <is>
          <t>자기주식 처분</t>
        </is>
      </c>
      <c r="L614" s="29" t="inlineStr">
        <is>
          <t>자본 [구성요소]|지배기업의 소유주에게 귀속되는 지분 [구성요소]|자본잉여금 [구성요소]</t>
        </is>
      </c>
      <c r="M614" s="29" t="inlineStr">
        <is>
          <t>제 44 기</t>
        </is>
      </c>
      <c r="N614" s="29" t="inlineStr">
        <is>
          <t>0.0</t>
        </is>
      </c>
      <c r="O614" s="29" t="inlineStr">
        <is>
          <t>0.0</t>
        </is>
      </c>
      <c r="P614" s="29" t="inlineStr">
        <is>
          <t>KRW</t>
        </is>
      </c>
      <c r="Q614" s="29" t="inlineStr">
        <is>
          <t>6</t>
        </is>
      </c>
    </row>
    <row r="615" ht="24" customHeight="1">
      <c r="A615" s="24" t="inlineStr">
        <is>
          <t>OpenDART_fnlttSinglAcntAll</t>
        </is>
      </c>
      <c r="B615" s="24" t="inlineStr">
        <is>
          <t>00161383</t>
        </is>
      </c>
      <c r="C615" s="24" t="inlineStr">
        <is>
          <t>한미반도체</t>
        </is>
      </c>
      <c r="D615" s="24" t="inlineStr">
        <is>
          <t>hanmi</t>
        </is>
      </c>
      <c r="E615" s="24" t="inlineStr">
        <is>
          <t>042700</t>
        </is>
      </c>
      <c r="F615" s="24" t="inlineStr">
        <is>
          <t>2023</t>
        </is>
      </c>
      <c r="G615" s="24" t="inlineStr">
        <is>
          <t>CFS</t>
        </is>
      </c>
      <c r="H615" s="24" t="inlineStr">
        <is>
          <t>SCE</t>
        </is>
      </c>
      <c r="I615" s="24" t="inlineStr">
        <is>
          <t>자본변동표</t>
        </is>
      </c>
      <c r="J615" s="24" t="inlineStr">
        <is>
          <t>ifrs-full_CancellationOfTreasuryShares</t>
        </is>
      </c>
      <c r="K615" s="24" t="inlineStr">
        <is>
          <t>자기주식 소각</t>
        </is>
      </c>
      <c r="L615" s="24" t="inlineStr">
        <is>
          <t>자본 [구성요소]|지배기업의 소유주에게 귀속되는 지분 [구성요소]|기타자본구성요소 [구성요소]</t>
        </is>
      </c>
      <c r="M615" s="24" t="inlineStr">
        <is>
          <t>제 44 기</t>
        </is>
      </c>
      <c r="N615" s="24" t="inlineStr">
        <is>
          <t>0.0</t>
        </is>
      </c>
      <c r="O615" s="24" t="inlineStr">
        <is>
          <t>19995806500.0</t>
        </is>
      </c>
      <c r="P615" s="24" t="inlineStr">
        <is>
          <t>KRW</t>
        </is>
      </c>
      <c r="Q615" s="24" t="inlineStr">
        <is>
          <t>7</t>
        </is>
      </c>
    </row>
    <row r="616" ht="24" customHeight="1">
      <c r="A616" s="29" t="inlineStr">
        <is>
          <t>OpenDART_fnlttSinglAcntAll</t>
        </is>
      </c>
      <c r="B616" s="29" t="inlineStr">
        <is>
          <t>00161383</t>
        </is>
      </c>
      <c r="C616" s="29" t="inlineStr">
        <is>
          <t>한미반도체</t>
        </is>
      </c>
      <c r="D616" s="29" t="inlineStr">
        <is>
          <t>hanmi</t>
        </is>
      </c>
      <c r="E616" s="29" t="inlineStr">
        <is>
          <t>042700</t>
        </is>
      </c>
      <c r="F616" s="29" t="inlineStr">
        <is>
          <t>2023</t>
        </is>
      </c>
      <c r="G616" s="29" t="inlineStr">
        <is>
          <t>CFS</t>
        </is>
      </c>
      <c r="H616" s="29" t="inlineStr">
        <is>
          <t>SCE</t>
        </is>
      </c>
      <c r="I616" s="29" t="inlineStr">
        <is>
          <t>자본변동표</t>
        </is>
      </c>
      <c r="J616" s="29" t="inlineStr">
        <is>
          <t>ifrs-full_CancellationOfTreasuryShares</t>
        </is>
      </c>
      <c r="K616" s="29" t="inlineStr">
        <is>
          <t>자기주식 소각</t>
        </is>
      </c>
      <c r="L616" s="29" t="inlineStr">
        <is>
          <t>자본 [구성요소]|지배기업의 소유주에게 귀속되는 지분 [구성요소]</t>
        </is>
      </c>
      <c r="M616" s="29" t="inlineStr">
        <is>
          <t>제 44 기</t>
        </is>
      </c>
      <c r="N616" s="29" t="inlineStr">
        <is>
          <t>0.0</t>
        </is>
      </c>
      <c r="O616" s="29" t="inlineStr">
        <is>
          <t>0.0</t>
        </is>
      </c>
      <c r="P616" s="29" t="inlineStr">
        <is>
          <t>KRW</t>
        </is>
      </c>
      <c r="Q616" s="29" t="inlineStr">
        <is>
          <t>7</t>
        </is>
      </c>
    </row>
    <row r="617" ht="24" customHeight="1">
      <c r="A617" s="24" t="inlineStr">
        <is>
          <t>OpenDART_fnlttSinglAcntAll</t>
        </is>
      </c>
      <c r="B617" s="24" t="inlineStr">
        <is>
          <t>00161383</t>
        </is>
      </c>
      <c r="C617" s="24" t="inlineStr">
        <is>
          <t>한미반도체</t>
        </is>
      </c>
      <c r="D617" s="24" t="inlineStr">
        <is>
          <t>hanmi</t>
        </is>
      </c>
      <c r="E617" s="24" t="inlineStr">
        <is>
          <t>042700</t>
        </is>
      </c>
      <c r="F617" s="24" t="inlineStr">
        <is>
          <t>2023</t>
        </is>
      </c>
      <c r="G617" s="24" t="inlineStr">
        <is>
          <t>CFS</t>
        </is>
      </c>
      <c r="H617" s="24" t="inlineStr">
        <is>
          <t>SCE</t>
        </is>
      </c>
      <c r="I617" s="24" t="inlineStr">
        <is>
          <t>자본변동표</t>
        </is>
      </c>
      <c r="J617" s="24" t="inlineStr">
        <is>
          <t>ifrs-full_CancellationOfTreasuryShares</t>
        </is>
      </c>
      <c r="K617" s="24" t="inlineStr">
        <is>
          <t>자기주식 소각</t>
        </is>
      </c>
      <c r="L617" s="24" t="inlineStr">
        <is>
          <t>연결재무제표 [member]</t>
        </is>
      </c>
      <c r="M617" s="24" t="inlineStr">
        <is>
          <t>제 44 기</t>
        </is>
      </c>
      <c r="N617" s="24" t="inlineStr">
        <is>
          <t>0.0</t>
        </is>
      </c>
      <c r="O617" s="24" t="inlineStr">
        <is>
          <t>0.0</t>
        </is>
      </c>
      <c r="P617" s="24" t="inlineStr">
        <is>
          <t>KRW</t>
        </is>
      </c>
      <c r="Q617" s="24" t="inlineStr">
        <is>
          <t>7</t>
        </is>
      </c>
    </row>
    <row r="618" ht="24" customHeight="1">
      <c r="A618" s="29" t="inlineStr">
        <is>
          <t>OpenDART_fnlttSinglAcntAll</t>
        </is>
      </c>
      <c r="B618" s="29" t="inlineStr">
        <is>
          <t>00161383</t>
        </is>
      </c>
      <c r="C618" s="29" t="inlineStr">
        <is>
          <t>한미반도체</t>
        </is>
      </c>
      <c r="D618" s="29" t="inlineStr">
        <is>
          <t>hanmi</t>
        </is>
      </c>
      <c r="E618" s="29" t="inlineStr">
        <is>
          <t>042700</t>
        </is>
      </c>
      <c r="F618" s="29" t="inlineStr">
        <is>
          <t>2023</t>
        </is>
      </c>
      <c r="G618" s="29" t="inlineStr">
        <is>
          <t>CFS</t>
        </is>
      </c>
      <c r="H618" s="29" t="inlineStr">
        <is>
          <t>SCE</t>
        </is>
      </c>
      <c r="I618" s="29" t="inlineStr">
        <is>
          <t>자본변동표</t>
        </is>
      </c>
      <c r="J618" s="29" t="inlineStr">
        <is>
          <t>ifrs-full_CancellationOfTreasuryShares</t>
        </is>
      </c>
      <c r="K618" s="29" t="inlineStr">
        <is>
          <t>자기주식 소각</t>
        </is>
      </c>
      <c r="L618" s="29" t="inlineStr">
        <is>
          <t>자본 [구성요소]|지배기업의 소유주에게 귀속되는 지분 [구성요소]|기타포괄손익누계액 [구성요소]</t>
        </is>
      </c>
      <c r="M618" s="29" t="inlineStr">
        <is>
          <t>제 44 기</t>
        </is>
      </c>
      <c r="N618" s="29" t="inlineStr">
        <is>
          <t>0.0</t>
        </is>
      </c>
      <c r="O618" s="29" t="inlineStr">
        <is>
          <t>0.0</t>
        </is>
      </c>
      <c r="P618" s="29" t="inlineStr">
        <is>
          <t>KRW</t>
        </is>
      </c>
      <c r="Q618" s="29" t="inlineStr">
        <is>
          <t>7</t>
        </is>
      </c>
    </row>
    <row r="619" ht="24" customHeight="1">
      <c r="A619" s="24" t="inlineStr">
        <is>
          <t>OpenDART_fnlttSinglAcntAll</t>
        </is>
      </c>
      <c r="B619" s="24" t="inlineStr">
        <is>
          <t>00161383</t>
        </is>
      </c>
      <c r="C619" s="24" t="inlineStr">
        <is>
          <t>한미반도체</t>
        </is>
      </c>
      <c r="D619" s="24" t="inlineStr">
        <is>
          <t>hanmi</t>
        </is>
      </c>
      <c r="E619" s="24" t="inlineStr">
        <is>
          <t>042700</t>
        </is>
      </c>
      <c r="F619" s="24" t="inlineStr">
        <is>
          <t>2023</t>
        </is>
      </c>
      <c r="G619" s="24" t="inlineStr">
        <is>
          <t>CFS</t>
        </is>
      </c>
      <c r="H619" s="24" t="inlineStr">
        <is>
          <t>SCE</t>
        </is>
      </c>
      <c r="I619" s="24" t="inlineStr">
        <is>
          <t>자본변동표</t>
        </is>
      </c>
      <c r="J619" s="24" t="inlineStr">
        <is>
          <t>ifrs-full_CancellationOfTreasuryShares</t>
        </is>
      </c>
      <c r="K619" s="24" t="inlineStr">
        <is>
          <t>자기주식 소각</t>
        </is>
      </c>
      <c r="L619" s="24" t="inlineStr">
        <is>
          <t>자본 [구성요소]|지배기업의 소유주에게 귀속되는 지분 [구성요소]|자본잉여금 [구성요소]</t>
        </is>
      </c>
      <c r="M619" s="24" t="inlineStr">
        <is>
          <t>제 44 기</t>
        </is>
      </c>
      <c r="N619" s="24" t="inlineStr">
        <is>
          <t>0.0</t>
        </is>
      </c>
      <c r="O619" s="24" t="inlineStr">
        <is>
          <t>0.0</t>
        </is>
      </c>
      <c r="P619" s="24" t="inlineStr">
        <is>
          <t>KRW</t>
        </is>
      </c>
      <c r="Q619" s="24" t="inlineStr">
        <is>
          <t>7</t>
        </is>
      </c>
    </row>
    <row r="620" ht="24" customHeight="1">
      <c r="A620" s="29" t="inlineStr">
        <is>
          <t>OpenDART_fnlttSinglAcntAll</t>
        </is>
      </c>
      <c r="B620" s="29" t="inlineStr">
        <is>
          <t>00161383</t>
        </is>
      </c>
      <c r="C620" s="29" t="inlineStr">
        <is>
          <t>한미반도체</t>
        </is>
      </c>
      <c r="D620" s="29" t="inlineStr">
        <is>
          <t>hanmi</t>
        </is>
      </c>
      <c r="E620" s="29" t="inlineStr">
        <is>
          <t>042700</t>
        </is>
      </c>
      <c r="F620" s="29" t="inlineStr">
        <is>
          <t>2023</t>
        </is>
      </c>
      <c r="G620" s="29" t="inlineStr">
        <is>
          <t>CFS</t>
        </is>
      </c>
      <c r="H620" s="29" t="inlineStr">
        <is>
          <t>SCE</t>
        </is>
      </c>
      <c r="I620" s="29" t="inlineStr">
        <is>
          <t>자본변동표</t>
        </is>
      </c>
      <c r="J620" s="29" t="inlineStr">
        <is>
          <t>ifrs-full_CancellationOfTreasuryShares</t>
        </is>
      </c>
      <c r="K620" s="29" t="inlineStr">
        <is>
          <t>자기주식 소각</t>
        </is>
      </c>
      <c r="L620" s="29" t="inlineStr">
        <is>
          <t>자본 [구성요소]|지배기업의 소유주에게 귀속되는 지분 [구성요소]|자본금 [구성요소]</t>
        </is>
      </c>
      <c r="M620" s="29" t="inlineStr">
        <is>
          <t>제 44 기</t>
        </is>
      </c>
      <c r="N620" s="29" t="inlineStr">
        <is>
          <t>0.0</t>
        </is>
      </c>
      <c r="O620" s="29" t="inlineStr">
        <is>
          <t>0.0</t>
        </is>
      </c>
      <c r="P620" s="29" t="inlineStr">
        <is>
          <t>KRW</t>
        </is>
      </c>
      <c r="Q620" s="29" t="inlineStr">
        <is>
          <t>7</t>
        </is>
      </c>
    </row>
    <row r="621" ht="24" customHeight="1">
      <c r="A621" s="24" t="inlineStr">
        <is>
          <t>OpenDART_fnlttSinglAcntAll</t>
        </is>
      </c>
      <c r="B621" s="24" t="inlineStr">
        <is>
          <t>00161383</t>
        </is>
      </c>
      <c r="C621" s="24" t="inlineStr">
        <is>
          <t>한미반도체</t>
        </is>
      </c>
      <c r="D621" s="24" t="inlineStr">
        <is>
          <t>hanmi</t>
        </is>
      </c>
      <c r="E621" s="24" t="inlineStr">
        <is>
          <t>042700</t>
        </is>
      </c>
      <c r="F621" s="24" t="inlineStr">
        <is>
          <t>2023</t>
        </is>
      </c>
      <c r="G621" s="24" t="inlineStr">
        <is>
          <t>CFS</t>
        </is>
      </c>
      <c r="H621" s="24" t="inlineStr">
        <is>
          <t>SCE</t>
        </is>
      </c>
      <c r="I621" s="24" t="inlineStr">
        <is>
          <t>자본변동표</t>
        </is>
      </c>
      <c r="J621" s="24" t="inlineStr">
        <is>
          <t>ifrs-full_CancellationOfTreasuryShares</t>
        </is>
      </c>
      <c r="K621" s="24" t="inlineStr">
        <is>
          <t>자기주식 소각</t>
        </is>
      </c>
      <c r="L621" s="24" t="inlineStr">
        <is>
          <t>자본 [구성요소]|지배기업의 소유주에게 귀속되는 지분 [구성요소]|이익잉여금 [구성요소]</t>
        </is>
      </c>
      <c r="M621" s="24" t="inlineStr">
        <is>
          <t>제 44 기</t>
        </is>
      </c>
      <c r="N621" s="24" t="inlineStr">
        <is>
          <t>0.0</t>
        </is>
      </c>
      <c r="O621" s="24" t="inlineStr">
        <is>
          <t>-19995806500.0</t>
        </is>
      </c>
      <c r="P621" s="24" t="inlineStr">
        <is>
          <t>KRW</t>
        </is>
      </c>
      <c r="Q621" s="24" t="inlineStr">
        <is>
          <t>7</t>
        </is>
      </c>
    </row>
    <row r="622" ht="24" customHeight="1">
      <c r="A622" s="29" t="inlineStr">
        <is>
          <t>OpenDART_fnlttSinglAcntAll</t>
        </is>
      </c>
      <c r="B622" s="29" t="inlineStr">
        <is>
          <t>00161383</t>
        </is>
      </c>
      <c r="C622" s="29" t="inlineStr">
        <is>
          <t>한미반도체</t>
        </is>
      </c>
      <c r="D622" s="29" t="inlineStr">
        <is>
          <t>hanmi</t>
        </is>
      </c>
      <c r="E622" s="29" t="inlineStr">
        <is>
          <t>042700</t>
        </is>
      </c>
      <c r="F622" s="29" t="inlineStr">
        <is>
          <t>2023</t>
        </is>
      </c>
      <c r="G622" s="29" t="inlineStr">
        <is>
          <t>CFS</t>
        </is>
      </c>
      <c r="H622" s="29" t="inlineStr">
        <is>
          <t>SCE</t>
        </is>
      </c>
      <c r="I622" s="29" t="inlineStr">
        <is>
          <t>자본변동표</t>
        </is>
      </c>
      <c r="J622" s="29" t="inlineStr">
        <is>
          <t>ifrs-full_DividendsPaid</t>
        </is>
      </c>
      <c r="K622" s="29" t="inlineStr">
        <is>
          <t>배당금</t>
        </is>
      </c>
      <c r="L622" s="29" t="inlineStr">
        <is>
          <t>자본 [구성요소]|지배기업의 소유주에게 귀속되는 지분 [구성요소]|자본금 [구성요소]</t>
        </is>
      </c>
      <c r="M622" s="29" t="inlineStr">
        <is>
          <t>제 44 기</t>
        </is>
      </c>
      <c r="N622" s="29" t="inlineStr">
        <is>
          <t>0.0</t>
        </is>
      </c>
      <c r="O622" s="29" t="inlineStr">
        <is>
          <t>0.0</t>
        </is>
      </c>
      <c r="P622" s="29" t="inlineStr">
        <is>
          <t>KRW</t>
        </is>
      </c>
      <c r="Q622" s="29" t="inlineStr">
        <is>
          <t>8</t>
        </is>
      </c>
    </row>
    <row r="623" ht="24" customHeight="1">
      <c r="A623" s="24" t="inlineStr">
        <is>
          <t>OpenDART_fnlttSinglAcntAll</t>
        </is>
      </c>
      <c r="B623" s="24" t="inlineStr">
        <is>
          <t>00161383</t>
        </is>
      </c>
      <c r="C623" s="24" t="inlineStr">
        <is>
          <t>한미반도체</t>
        </is>
      </c>
      <c r="D623" s="24" t="inlineStr">
        <is>
          <t>hanmi</t>
        </is>
      </c>
      <c r="E623" s="24" t="inlineStr">
        <is>
          <t>042700</t>
        </is>
      </c>
      <c r="F623" s="24" t="inlineStr">
        <is>
          <t>2023</t>
        </is>
      </c>
      <c r="G623" s="24" t="inlineStr">
        <is>
          <t>CFS</t>
        </is>
      </c>
      <c r="H623" s="24" t="inlineStr">
        <is>
          <t>SCE</t>
        </is>
      </c>
      <c r="I623" s="24" t="inlineStr">
        <is>
          <t>자본변동표</t>
        </is>
      </c>
      <c r="J623" s="24" t="inlineStr">
        <is>
          <t>ifrs-full_DividendsPaid</t>
        </is>
      </c>
      <c r="K623" s="24" t="inlineStr">
        <is>
          <t>배당금</t>
        </is>
      </c>
      <c r="L623" s="24" t="inlineStr">
        <is>
          <t>자본 [구성요소]|지배기업의 소유주에게 귀속되는 지분 [구성요소]|이익잉여금 [구성요소]</t>
        </is>
      </c>
      <c r="M623" s="24" t="inlineStr">
        <is>
          <t>제 44 기</t>
        </is>
      </c>
      <c r="N623" s="24" t="inlineStr">
        <is>
          <t>60132807240.0</t>
        </is>
      </c>
      <c r="O623" s="24" t="inlineStr">
        <is>
          <t>29675926200.0</t>
        </is>
      </c>
      <c r="P623" s="24" t="inlineStr">
        <is>
          <t>KRW</t>
        </is>
      </c>
      <c r="Q623" s="24" t="inlineStr">
        <is>
          <t>8</t>
        </is>
      </c>
    </row>
    <row r="624" ht="24" customHeight="1">
      <c r="A624" s="29" t="inlineStr">
        <is>
          <t>OpenDART_fnlttSinglAcntAll</t>
        </is>
      </c>
      <c r="B624" s="29" t="inlineStr">
        <is>
          <t>00161383</t>
        </is>
      </c>
      <c r="C624" s="29" t="inlineStr">
        <is>
          <t>한미반도체</t>
        </is>
      </c>
      <c r="D624" s="29" t="inlineStr">
        <is>
          <t>hanmi</t>
        </is>
      </c>
      <c r="E624" s="29" t="inlineStr">
        <is>
          <t>042700</t>
        </is>
      </c>
      <c r="F624" s="29" t="inlineStr">
        <is>
          <t>2023</t>
        </is>
      </c>
      <c r="G624" s="29" t="inlineStr">
        <is>
          <t>CFS</t>
        </is>
      </c>
      <c r="H624" s="29" t="inlineStr">
        <is>
          <t>SCE</t>
        </is>
      </c>
      <c r="I624" s="29" t="inlineStr">
        <is>
          <t>자본변동표</t>
        </is>
      </c>
      <c r="J624" s="29" t="inlineStr">
        <is>
          <t>ifrs-full_DividendsPaid</t>
        </is>
      </c>
      <c r="K624" s="29" t="inlineStr">
        <is>
          <t>배당금</t>
        </is>
      </c>
      <c r="L624" s="29" t="inlineStr">
        <is>
          <t>자본 [구성요소]|지배기업의 소유주에게 귀속되는 지분 [구성요소]|기타포괄손익누계액 [구성요소]</t>
        </is>
      </c>
      <c r="M624" s="29" t="inlineStr">
        <is>
          <t>제 44 기</t>
        </is>
      </c>
      <c r="N624" s="29" t="inlineStr">
        <is>
          <t>0.0</t>
        </is>
      </c>
      <c r="O624" s="29" t="inlineStr">
        <is>
          <t>0.0</t>
        </is>
      </c>
      <c r="P624" s="29" t="inlineStr">
        <is>
          <t>KRW</t>
        </is>
      </c>
      <c r="Q624" s="29" t="inlineStr">
        <is>
          <t>8</t>
        </is>
      </c>
    </row>
    <row r="625" ht="24" customHeight="1">
      <c r="A625" s="24" t="inlineStr">
        <is>
          <t>OpenDART_fnlttSinglAcntAll</t>
        </is>
      </c>
      <c r="B625" s="24" t="inlineStr">
        <is>
          <t>00161383</t>
        </is>
      </c>
      <c r="C625" s="24" t="inlineStr">
        <is>
          <t>한미반도체</t>
        </is>
      </c>
      <c r="D625" s="24" t="inlineStr">
        <is>
          <t>hanmi</t>
        </is>
      </c>
      <c r="E625" s="24" t="inlineStr">
        <is>
          <t>042700</t>
        </is>
      </c>
      <c r="F625" s="24" t="inlineStr">
        <is>
          <t>2023</t>
        </is>
      </c>
      <c r="G625" s="24" t="inlineStr">
        <is>
          <t>CFS</t>
        </is>
      </c>
      <c r="H625" s="24" t="inlineStr">
        <is>
          <t>SCE</t>
        </is>
      </c>
      <c r="I625" s="24" t="inlineStr">
        <is>
          <t>자본변동표</t>
        </is>
      </c>
      <c r="J625" s="24" t="inlineStr">
        <is>
          <t>ifrs-full_DividendsPaid</t>
        </is>
      </c>
      <c r="K625" s="24" t="inlineStr">
        <is>
          <t>배당금</t>
        </is>
      </c>
      <c r="L625" s="24" t="inlineStr">
        <is>
          <t>자본 [구성요소]|지배기업의 소유주에게 귀속되는 지분 [구성요소]|기타자본구성요소 [구성요소]</t>
        </is>
      </c>
      <c r="M625" s="24" t="inlineStr">
        <is>
          <t>제 44 기</t>
        </is>
      </c>
      <c r="N625" s="24" t="inlineStr">
        <is>
          <t>0.0</t>
        </is>
      </c>
      <c r="O625" s="24" t="inlineStr">
        <is>
          <t>0.0</t>
        </is>
      </c>
      <c r="P625" s="24" t="inlineStr">
        <is>
          <t>KRW</t>
        </is>
      </c>
      <c r="Q625" s="24" t="inlineStr">
        <is>
          <t>8</t>
        </is>
      </c>
    </row>
    <row r="626" ht="24" customHeight="1">
      <c r="A626" s="29" t="inlineStr">
        <is>
          <t>OpenDART_fnlttSinglAcntAll</t>
        </is>
      </c>
      <c r="B626" s="29" t="inlineStr">
        <is>
          <t>00161383</t>
        </is>
      </c>
      <c r="C626" s="29" t="inlineStr">
        <is>
          <t>한미반도체</t>
        </is>
      </c>
      <c r="D626" s="29" t="inlineStr">
        <is>
          <t>hanmi</t>
        </is>
      </c>
      <c r="E626" s="29" t="inlineStr">
        <is>
          <t>042700</t>
        </is>
      </c>
      <c r="F626" s="29" t="inlineStr">
        <is>
          <t>2023</t>
        </is>
      </c>
      <c r="G626" s="29" t="inlineStr">
        <is>
          <t>CFS</t>
        </is>
      </c>
      <c r="H626" s="29" t="inlineStr">
        <is>
          <t>SCE</t>
        </is>
      </c>
      <c r="I626" s="29" t="inlineStr">
        <is>
          <t>자본변동표</t>
        </is>
      </c>
      <c r="J626" s="29" t="inlineStr">
        <is>
          <t>ifrs-full_DividendsPaid</t>
        </is>
      </c>
      <c r="K626" s="29" t="inlineStr">
        <is>
          <t>배당금</t>
        </is>
      </c>
      <c r="L626" s="29" t="inlineStr">
        <is>
          <t>자본 [구성요소]|지배기업의 소유주에게 귀속되는 지분 [구성요소]</t>
        </is>
      </c>
      <c r="M626" s="29" t="inlineStr">
        <is>
          <t>제 44 기</t>
        </is>
      </c>
      <c r="N626" s="29" t="inlineStr">
        <is>
          <t>60132807240.0</t>
        </is>
      </c>
      <c r="O626" s="29" t="inlineStr">
        <is>
          <t>29675926200.0</t>
        </is>
      </c>
      <c r="P626" s="29" t="inlineStr">
        <is>
          <t>KRW</t>
        </is>
      </c>
      <c r="Q626" s="29" t="inlineStr">
        <is>
          <t>8</t>
        </is>
      </c>
    </row>
    <row r="627" ht="24" customHeight="1">
      <c r="A627" s="24" t="inlineStr">
        <is>
          <t>OpenDART_fnlttSinglAcntAll</t>
        </is>
      </c>
      <c r="B627" s="24" t="inlineStr">
        <is>
          <t>00161383</t>
        </is>
      </c>
      <c r="C627" s="24" t="inlineStr">
        <is>
          <t>한미반도체</t>
        </is>
      </c>
      <c r="D627" s="24" t="inlineStr">
        <is>
          <t>hanmi</t>
        </is>
      </c>
      <c r="E627" s="24" t="inlineStr">
        <is>
          <t>042700</t>
        </is>
      </c>
      <c r="F627" s="24" t="inlineStr">
        <is>
          <t>2023</t>
        </is>
      </c>
      <c r="G627" s="24" t="inlineStr">
        <is>
          <t>CFS</t>
        </is>
      </c>
      <c r="H627" s="24" t="inlineStr">
        <is>
          <t>SCE</t>
        </is>
      </c>
      <c r="I627" s="24" t="inlineStr">
        <is>
          <t>자본변동표</t>
        </is>
      </c>
      <c r="J627" s="24" t="inlineStr">
        <is>
          <t>ifrs-full_DividendsPaid</t>
        </is>
      </c>
      <c r="K627" s="24" t="inlineStr">
        <is>
          <t>배당금</t>
        </is>
      </c>
      <c r="L627" s="24" t="inlineStr">
        <is>
          <t>연결재무제표 [member]</t>
        </is>
      </c>
      <c r="M627" s="24" t="inlineStr">
        <is>
          <t>제 44 기</t>
        </is>
      </c>
      <c r="N627" s="24" t="inlineStr">
        <is>
          <t>60132807240.0</t>
        </is>
      </c>
      <c r="O627" s="24" t="inlineStr">
        <is>
          <t>29675926200.0</t>
        </is>
      </c>
      <c r="P627" s="24" t="inlineStr">
        <is>
          <t>KRW</t>
        </is>
      </c>
      <c r="Q627" s="24" t="inlineStr">
        <is>
          <t>8</t>
        </is>
      </c>
    </row>
    <row r="628" ht="24" customHeight="1">
      <c r="A628" s="29" t="inlineStr">
        <is>
          <t>OpenDART_fnlttSinglAcntAll</t>
        </is>
      </c>
      <c r="B628" s="29" t="inlineStr">
        <is>
          <t>00161383</t>
        </is>
      </c>
      <c r="C628" s="29" t="inlineStr">
        <is>
          <t>한미반도체</t>
        </is>
      </c>
      <c r="D628" s="29" t="inlineStr">
        <is>
          <t>hanmi</t>
        </is>
      </c>
      <c r="E628" s="29" t="inlineStr">
        <is>
          <t>042700</t>
        </is>
      </c>
      <c r="F628" s="29" t="inlineStr">
        <is>
          <t>2023</t>
        </is>
      </c>
      <c r="G628" s="29" t="inlineStr">
        <is>
          <t>CFS</t>
        </is>
      </c>
      <c r="H628" s="29" t="inlineStr">
        <is>
          <t>SCE</t>
        </is>
      </c>
      <c r="I628" s="29" t="inlineStr">
        <is>
          <t>자본변동표</t>
        </is>
      </c>
      <c r="J628" s="29" t="inlineStr">
        <is>
          <t>ifrs-full_DividendsPaid</t>
        </is>
      </c>
      <c r="K628" s="29" t="inlineStr">
        <is>
          <t>배당금</t>
        </is>
      </c>
      <c r="L628" s="29" t="inlineStr">
        <is>
          <t>자본 [구성요소]|지배기업의 소유주에게 귀속되는 지분 [구성요소]|자본잉여금 [구성요소]</t>
        </is>
      </c>
      <c r="M628" s="29" t="inlineStr">
        <is>
          <t>제 44 기</t>
        </is>
      </c>
      <c r="N628" s="29" t="inlineStr">
        <is>
          <t>0.0</t>
        </is>
      </c>
      <c r="O628" s="29" t="inlineStr">
        <is>
          <t>0.0</t>
        </is>
      </c>
      <c r="P628" s="29" t="inlineStr">
        <is>
          <t>KRW</t>
        </is>
      </c>
      <c r="Q628" s="29" t="inlineStr">
        <is>
          <t>8</t>
        </is>
      </c>
    </row>
    <row r="629" ht="24" customHeight="1">
      <c r="A629" s="24" t="inlineStr">
        <is>
          <t>OpenDART_fnlttSinglAcntAll</t>
        </is>
      </c>
      <c r="B629" s="24" t="inlineStr">
        <is>
          <t>00161383</t>
        </is>
      </c>
      <c r="C629" s="24" t="inlineStr">
        <is>
          <t>한미반도체</t>
        </is>
      </c>
      <c r="D629" s="24" t="inlineStr">
        <is>
          <t>hanmi</t>
        </is>
      </c>
      <c r="E629" s="24" t="inlineStr">
        <is>
          <t>042700</t>
        </is>
      </c>
      <c r="F629" s="24" t="inlineStr">
        <is>
          <t>2023</t>
        </is>
      </c>
      <c r="G629" s="24" t="inlineStr">
        <is>
          <t>CFS</t>
        </is>
      </c>
      <c r="H629" s="24" t="inlineStr">
        <is>
          <t>SCE</t>
        </is>
      </c>
      <c r="I629" s="24" t="inlineStr">
        <is>
          <t>자본변동표</t>
        </is>
      </c>
      <c r="J629" s="24" t="inlineStr">
        <is>
          <t>ifrs-full_Equity</t>
        </is>
      </c>
      <c r="K629" s="24" t="inlineStr">
        <is>
          <t>자본총계</t>
        </is>
      </c>
      <c r="L629" s="24" t="inlineStr">
        <is>
          <t>자본 [구성요소]|지배기업의 소유주에게 귀속되는 지분 [구성요소]|자본금 [구성요소]</t>
        </is>
      </c>
      <c r="M629" s="24" t="inlineStr">
        <is>
          <t>제 44 기</t>
        </is>
      </c>
      <c r="N629" s="24" t="inlineStr">
        <is>
          <t>12716420500.0</t>
        </is>
      </c>
      <c r="O629" s="24" t="inlineStr">
        <is>
          <t>12716420500.0</t>
        </is>
      </c>
      <c r="P629" s="24" t="inlineStr">
        <is>
          <t>KRW</t>
        </is>
      </c>
      <c r="Q629" s="24" t="inlineStr">
        <is>
          <t>9</t>
        </is>
      </c>
    </row>
    <row r="630" ht="24" customHeight="1">
      <c r="A630" s="29" t="inlineStr">
        <is>
          <t>OpenDART_fnlttSinglAcntAll</t>
        </is>
      </c>
      <c r="B630" s="29" t="inlineStr">
        <is>
          <t>00161383</t>
        </is>
      </c>
      <c r="C630" s="29" t="inlineStr">
        <is>
          <t>한미반도체</t>
        </is>
      </c>
      <c r="D630" s="29" t="inlineStr">
        <is>
          <t>hanmi</t>
        </is>
      </c>
      <c r="E630" s="29" t="inlineStr">
        <is>
          <t>042700</t>
        </is>
      </c>
      <c r="F630" s="29" t="inlineStr">
        <is>
          <t>2023</t>
        </is>
      </c>
      <c r="G630" s="29" t="inlineStr">
        <is>
          <t>CFS</t>
        </is>
      </c>
      <c r="H630" s="29" t="inlineStr">
        <is>
          <t>SCE</t>
        </is>
      </c>
      <c r="I630" s="29" t="inlineStr">
        <is>
          <t>자본변동표</t>
        </is>
      </c>
      <c r="J630" s="29" t="inlineStr">
        <is>
          <t>ifrs-full_Equity</t>
        </is>
      </c>
      <c r="K630" s="29" t="inlineStr">
        <is>
          <t>자본총계</t>
        </is>
      </c>
      <c r="L630" s="29" t="inlineStr">
        <is>
          <t>자본 [구성요소]|지배기업의 소유주에게 귀속되는 지분 [구성요소]|이익잉여금 [구성요소]</t>
        </is>
      </c>
      <c r="M630" s="29" t="inlineStr">
        <is>
          <t>제 44 기</t>
        </is>
      </c>
      <c r="N630" s="29" t="inlineStr">
        <is>
          <t>532248974169.0</t>
        </is>
      </c>
      <c r="O630" s="29" t="inlineStr">
        <is>
          <t>325269340929.0</t>
        </is>
      </c>
      <c r="P630" s="29" t="inlineStr">
        <is>
          <t>KRW</t>
        </is>
      </c>
      <c r="Q630" s="29" t="inlineStr">
        <is>
          <t>9</t>
        </is>
      </c>
    </row>
    <row r="631" ht="24" customHeight="1">
      <c r="A631" s="24" t="inlineStr">
        <is>
          <t>OpenDART_fnlttSinglAcntAll</t>
        </is>
      </c>
      <c r="B631" s="24" t="inlineStr">
        <is>
          <t>00161383</t>
        </is>
      </c>
      <c r="C631" s="24" t="inlineStr">
        <is>
          <t>한미반도체</t>
        </is>
      </c>
      <c r="D631" s="24" t="inlineStr">
        <is>
          <t>hanmi</t>
        </is>
      </c>
      <c r="E631" s="24" t="inlineStr">
        <is>
          <t>042700</t>
        </is>
      </c>
      <c r="F631" s="24" t="inlineStr">
        <is>
          <t>2023</t>
        </is>
      </c>
      <c r="G631" s="24" t="inlineStr">
        <is>
          <t>CFS</t>
        </is>
      </c>
      <c r="H631" s="24" t="inlineStr">
        <is>
          <t>SCE</t>
        </is>
      </c>
      <c r="I631" s="24" t="inlineStr">
        <is>
          <t>자본변동표</t>
        </is>
      </c>
      <c r="J631" s="24" t="inlineStr">
        <is>
          <t>ifrs-full_Equity</t>
        </is>
      </c>
      <c r="K631" s="24" t="inlineStr">
        <is>
          <t>자본총계</t>
        </is>
      </c>
      <c r="L631" s="24" t="inlineStr">
        <is>
          <t>자본 [구성요소]|지배기업의 소유주에게 귀속되는 지분 [구성요소]|기타포괄손익누계액 [구성요소]</t>
        </is>
      </c>
      <c r="M631" s="24" t="inlineStr">
        <is>
          <t>제 44 기</t>
        </is>
      </c>
      <c r="N631" s="24" t="inlineStr">
        <is>
          <t>93591495.0</t>
        </is>
      </c>
      <c r="O631" s="24" t="inlineStr">
        <is>
          <t>789816976.0</t>
        </is>
      </c>
      <c r="P631" s="24" t="inlineStr">
        <is>
          <t>KRW</t>
        </is>
      </c>
      <c r="Q631" s="24" t="inlineStr">
        <is>
          <t>9</t>
        </is>
      </c>
    </row>
    <row r="632" ht="24" customHeight="1">
      <c r="A632" s="29" t="inlineStr">
        <is>
          <t>OpenDART_fnlttSinglAcntAll</t>
        </is>
      </c>
      <c r="B632" s="29" t="inlineStr">
        <is>
          <t>00161383</t>
        </is>
      </c>
      <c r="C632" s="29" t="inlineStr">
        <is>
          <t>한미반도체</t>
        </is>
      </c>
      <c r="D632" s="29" t="inlineStr">
        <is>
          <t>hanmi</t>
        </is>
      </c>
      <c r="E632" s="29" t="inlineStr">
        <is>
          <t>042700</t>
        </is>
      </c>
      <c r="F632" s="29" t="inlineStr">
        <is>
          <t>2023</t>
        </is>
      </c>
      <c r="G632" s="29" t="inlineStr">
        <is>
          <t>CFS</t>
        </is>
      </c>
      <c r="H632" s="29" t="inlineStr">
        <is>
          <t>SCE</t>
        </is>
      </c>
      <c r="I632" s="29" t="inlineStr">
        <is>
          <t>자본변동표</t>
        </is>
      </c>
      <c r="J632" s="29" t="inlineStr">
        <is>
          <t>ifrs-full_Equity</t>
        </is>
      </c>
      <c r="K632" s="29" t="inlineStr">
        <is>
          <t>자본총계</t>
        </is>
      </c>
      <c r="L632" s="29" t="inlineStr">
        <is>
          <t>자본 [구성요소]|지배기업의 소유주에게 귀속되는 지분 [구성요소]|기타자본구성요소 [구성요소]</t>
        </is>
      </c>
      <c r="M632" s="29" t="inlineStr">
        <is>
          <t>제 44 기</t>
        </is>
      </c>
      <c r="N632" s="29" t="inlineStr">
        <is>
          <t>-29542433975.0</t>
        </is>
      </c>
      <c r="O632" s="29" t="inlineStr">
        <is>
          <t>403275571.0</t>
        </is>
      </c>
      <c r="P632" s="29" t="inlineStr">
        <is>
          <t>KRW</t>
        </is>
      </c>
      <c r="Q632" s="29" t="inlineStr">
        <is>
          <t>9</t>
        </is>
      </c>
    </row>
    <row r="633" ht="24" customHeight="1">
      <c r="A633" s="24" t="inlineStr">
        <is>
          <t>OpenDART_fnlttSinglAcntAll</t>
        </is>
      </c>
      <c r="B633" s="24" t="inlineStr">
        <is>
          <t>00161383</t>
        </is>
      </c>
      <c r="C633" s="24" t="inlineStr">
        <is>
          <t>한미반도체</t>
        </is>
      </c>
      <c r="D633" s="24" t="inlineStr">
        <is>
          <t>hanmi</t>
        </is>
      </c>
      <c r="E633" s="24" t="inlineStr">
        <is>
          <t>042700</t>
        </is>
      </c>
      <c r="F633" s="24" t="inlineStr">
        <is>
          <t>2023</t>
        </is>
      </c>
      <c r="G633" s="24" t="inlineStr">
        <is>
          <t>CFS</t>
        </is>
      </c>
      <c r="H633" s="24" t="inlineStr">
        <is>
          <t>SCE</t>
        </is>
      </c>
      <c r="I633" s="24" t="inlineStr">
        <is>
          <t>자본변동표</t>
        </is>
      </c>
      <c r="J633" s="24" t="inlineStr">
        <is>
          <t>ifrs-full_Equity</t>
        </is>
      </c>
      <c r="K633" s="24" t="inlineStr">
        <is>
          <t>자본총계</t>
        </is>
      </c>
      <c r="L633" s="24" t="inlineStr">
        <is>
          <t>자본 [구성요소]|지배기업의 소유주에게 귀속되는 지분 [구성요소]</t>
        </is>
      </c>
      <c r="M633" s="24" t="inlineStr">
        <is>
          <t>제 44 기</t>
        </is>
      </c>
      <c r="N633" s="24" t="inlineStr">
        <is>
          <t>571898625127.0</t>
        </is>
      </c>
      <c r="O633" s="24" t="inlineStr">
        <is>
          <t>390096755786.0</t>
        </is>
      </c>
      <c r="P633" s="24" t="inlineStr">
        <is>
          <t>KRW</t>
        </is>
      </c>
      <c r="Q633" s="24" t="inlineStr">
        <is>
          <t>9</t>
        </is>
      </c>
    </row>
    <row r="634" ht="24" customHeight="1">
      <c r="A634" s="29" t="inlineStr">
        <is>
          <t>OpenDART_fnlttSinglAcntAll</t>
        </is>
      </c>
      <c r="B634" s="29" t="inlineStr">
        <is>
          <t>00161383</t>
        </is>
      </c>
      <c r="C634" s="29" t="inlineStr">
        <is>
          <t>한미반도체</t>
        </is>
      </c>
      <c r="D634" s="29" t="inlineStr">
        <is>
          <t>hanmi</t>
        </is>
      </c>
      <c r="E634" s="29" t="inlineStr">
        <is>
          <t>042700</t>
        </is>
      </c>
      <c r="F634" s="29" t="inlineStr">
        <is>
          <t>2023</t>
        </is>
      </c>
      <c r="G634" s="29" t="inlineStr">
        <is>
          <t>CFS</t>
        </is>
      </c>
      <c r="H634" s="29" t="inlineStr">
        <is>
          <t>SCE</t>
        </is>
      </c>
      <c r="I634" s="29" t="inlineStr">
        <is>
          <t>자본변동표</t>
        </is>
      </c>
      <c r="J634" s="29" t="inlineStr">
        <is>
          <t>ifrs-full_Equity</t>
        </is>
      </c>
      <c r="K634" s="29" t="inlineStr">
        <is>
          <t>자본총계</t>
        </is>
      </c>
      <c r="L634" s="29" t="inlineStr">
        <is>
          <t>연결재무제표 [member]</t>
        </is>
      </c>
      <c r="M634" s="29" t="inlineStr">
        <is>
          <t>제 44 기</t>
        </is>
      </c>
      <c r="N634" s="29" t="inlineStr">
        <is>
          <t>571898625127.0</t>
        </is>
      </c>
      <c r="O634" s="29" t="inlineStr">
        <is>
          <t>390096755786.0</t>
        </is>
      </c>
      <c r="P634" s="29" t="inlineStr">
        <is>
          <t>KRW</t>
        </is>
      </c>
      <c r="Q634" s="29" t="inlineStr">
        <is>
          <t>9</t>
        </is>
      </c>
    </row>
    <row r="635" ht="24" customHeight="1">
      <c r="A635" s="24" t="inlineStr">
        <is>
          <t>OpenDART_fnlttSinglAcntAll</t>
        </is>
      </c>
      <c r="B635" s="24" t="inlineStr">
        <is>
          <t>00161383</t>
        </is>
      </c>
      <c r="C635" s="24" t="inlineStr">
        <is>
          <t>한미반도체</t>
        </is>
      </c>
      <c r="D635" s="24" t="inlineStr">
        <is>
          <t>hanmi</t>
        </is>
      </c>
      <c r="E635" s="24" t="inlineStr">
        <is>
          <t>042700</t>
        </is>
      </c>
      <c r="F635" s="24" t="inlineStr">
        <is>
          <t>2023</t>
        </is>
      </c>
      <c r="G635" s="24" t="inlineStr">
        <is>
          <t>CFS</t>
        </is>
      </c>
      <c r="H635" s="24" t="inlineStr">
        <is>
          <t>SCE</t>
        </is>
      </c>
      <c r="I635" s="24" t="inlineStr">
        <is>
          <t>자본변동표</t>
        </is>
      </c>
      <c r="J635" s="24" t="inlineStr">
        <is>
          <t>ifrs-full_Equity</t>
        </is>
      </c>
      <c r="K635" s="24" t="inlineStr">
        <is>
          <t>자본총계</t>
        </is>
      </c>
      <c r="L635" s="24" t="inlineStr">
        <is>
          <t>자본 [구성요소]|지배기업의 소유주에게 귀속되는 지분 [구성요소]|자본잉여금 [구성요소]</t>
        </is>
      </c>
      <c r="M635" s="24" t="inlineStr">
        <is>
          <t>제 44 기</t>
        </is>
      </c>
      <c r="N635" s="24" t="inlineStr">
        <is>
          <t>56382072938.0</t>
        </is>
      </c>
      <c r="O635" s="24" t="inlineStr">
        <is>
          <t>50917901810.0</t>
        </is>
      </c>
      <c r="P635" s="24" t="inlineStr">
        <is>
          <t>KRW</t>
        </is>
      </c>
      <c r="Q635" s="24" t="inlineStr">
        <is>
          <t>9</t>
        </is>
      </c>
    </row>
    <row r="636" ht="24" customHeight="1">
      <c r="A636" s="29" t="inlineStr">
        <is>
          <t>OpenDART_fnlttSinglAcntAll</t>
        </is>
      </c>
      <c r="B636" s="29" t="inlineStr">
        <is>
          <t>00161383</t>
        </is>
      </c>
      <c r="C636" s="29" t="inlineStr">
        <is>
          <t>한미반도체</t>
        </is>
      </c>
      <c r="D636" s="29" t="inlineStr">
        <is>
          <t>hanmi</t>
        </is>
      </c>
      <c r="E636" s="29" t="inlineStr">
        <is>
          <t>042700</t>
        </is>
      </c>
      <c r="F636" s="29" t="inlineStr">
        <is>
          <t>2023</t>
        </is>
      </c>
      <c r="G636" s="29" t="inlineStr">
        <is>
          <t>CFS</t>
        </is>
      </c>
      <c r="H636" s="29" t="inlineStr">
        <is>
          <t>SCE</t>
        </is>
      </c>
      <c r="I636" s="29" t="inlineStr">
        <is>
          <t>자본변동표</t>
        </is>
      </c>
      <c r="J636" s="29" t="inlineStr">
        <is>
          <t>ifrs-full_OtherComprehensiveIncomeNetOfTaxExchangeDifferencesOnTranslation</t>
        </is>
      </c>
      <c r="K636" s="29" t="inlineStr">
        <is>
          <t>해외사업환산손익</t>
        </is>
      </c>
      <c r="L636" s="29" t="inlineStr">
        <is>
          <t>연결재무제표 [member]</t>
        </is>
      </c>
      <c r="M636" s="29" t="inlineStr">
        <is>
          <t>제 44 기</t>
        </is>
      </c>
      <c r="N636" s="29" t="inlineStr">
        <is>
          <t>72723652.0</t>
        </is>
      </c>
      <c r="O636" s="29" t="inlineStr">
        <is>
          <t>-258240445.0</t>
        </is>
      </c>
      <c r="P636" s="29" t="inlineStr">
        <is>
          <t>KRW</t>
        </is>
      </c>
      <c r="Q636" s="29" t="inlineStr">
        <is>
          <t>10</t>
        </is>
      </c>
    </row>
    <row r="637" ht="24" customHeight="1">
      <c r="A637" s="24" t="inlineStr">
        <is>
          <t>OpenDART_fnlttSinglAcntAll</t>
        </is>
      </c>
      <c r="B637" s="24" t="inlineStr">
        <is>
          <t>00161383</t>
        </is>
      </c>
      <c r="C637" s="24" t="inlineStr">
        <is>
          <t>한미반도체</t>
        </is>
      </c>
      <c r="D637" s="24" t="inlineStr">
        <is>
          <t>hanmi</t>
        </is>
      </c>
      <c r="E637" s="24" t="inlineStr">
        <is>
          <t>042700</t>
        </is>
      </c>
      <c r="F637" s="24" t="inlineStr">
        <is>
          <t>2023</t>
        </is>
      </c>
      <c r="G637" s="24" t="inlineStr">
        <is>
          <t>CFS</t>
        </is>
      </c>
      <c r="H637" s="24" t="inlineStr">
        <is>
          <t>SCE</t>
        </is>
      </c>
      <c r="I637" s="24" t="inlineStr">
        <is>
          <t>자본변동표</t>
        </is>
      </c>
      <c r="J637" s="24" t="inlineStr">
        <is>
          <t>ifrs-full_OtherComprehensiveIncomeNetOfTaxExchangeDifferencesOnTranslation</t>
        </is>
      </c>
      <c r="K637" s="24" t="inlineStr">
        <is>
          <t>해외사업환산손익</t>
        </is>
      </c>
      <c r="L637" s="24" t="inlineStr">
        <is>
          <t>자본 [구성요소]|지배기업의 소유주에게 귀속되는 지분 [구성요소]</t>
        </is>
      </c>
      <c r="M637" s="24" t="inlineStr">
        <is>
          <t>제 44 기</t>
        </is>
      </c>
      <c r="N637" s="24" t="inlineStr">
        <is>
          <t>72723652.0</t>
        </is>
      </c>
      <c r="O637" s="24" t="inlineStr">
        <is>
          <t>-258240445.0</t>
        </is>
      </c>
      <c r="P637" s="24" t="inlineStr">
        <is>
          <t>KRW</t>
        </is>
      </c>
      <c r="Q637" s="24" t="inlineStr">
        <is>
          <t>10</t>
        </is>
      </c>
    </row>
    <row r="638" ht="24" customHeight="1">
      <c r="A638" s="29" t="inlineStr">
        <is>
          <t>OpenDART_fnlttSinglAcntAll</t>
        </is>
      </c>
      <c r="B638" s="29" t="inlineStr">
        <is>
          <t>00161383</t>
        </is>
      </c>
      <c r="C638" s="29" t="inlineStr">
        <is>
          <t>한미반도체</t>
        </is>
      </c>
      <c r="D638" s="29" t="inlineStr">
        <is>
          <t>hanmi</t>
        </is>
      </c>
      <c r="E638" s="29" t="inlineStr">
        <is>
          <t>042700</t>
        </is>
      </c>
      <c r="F638" s="29" t="inlineStr">
        <is>
          <t>2023</t>
        </is>
      </c>
      <c r="G638" s="29" t="inlineStr">
        <is>
          <t>CFS</t>
        </is>
      </c>
      <c r="H638" s="29" t="inlineStr">
        <is>
          <t>SCE</t>
        </is>
      </c>
      <c r="I638" s="29" t="inlineStr">
        <is>
          <t>자본변동표</t>
        </is>
      </c>
      <c r="J638" s="29" t="inlineStr">
        <is>
          <t>ifrs-full_OtherComprehensiveIncomeNetOfTaxExchangeDifferencesOnTranslation</t>
        </is>
      </c>
      <c r="K638" s="29" t="inlineStr">
        <is>
          <t>해외사업환산손익</t>
        </is>
      </c>
      <c r="L638" s="29" t="inlineStr">
        <is>
          <t>자본 [구성요소]|지배기업의 소유주에게 귀속되는 지분 [구성요소]|기타자본구성요소 [구성요소]</t>
        </is>
      </c>
      <c r="M638" s="29" t="inlineStr">
        <is>
          <t>제 44 기</t>
        </is>
      </c>
      <c r="N638" s="29" t="inlineStr">
        <is>
          <t>0.0</t>
        </is>
      </c>
      <c r="O638" s="29" t="inlineStr">
        <is>
          <t>0.0</t>
        </is>
      </c>
      <c r="P638" s="29" t="inlineStr">
        <is>
          <t>KRW</t>
        </is>
      </c>
      <c r="Q638" s="29" t="inlineStr">
        <is>
          <t>10</t>
        </is>
      </c>
    </row>
    <row r="639" ht="24" customHeight="1">
      <c r="A639" s="24" t="inlineStr">
        <is>
          <t>OpenDART_fnlttSinglAcntAll</t>
        </is>
      </c>
      <c r="B639" s="24" t="inlineStr">
        <is>
          <t>00161383</t>
        </is>
      </c>
      <c r="C639" s="24" t="inlineStr">
        <is>
          <t>한미반도체</t>
        </is>
      </c>
      <c r="D639" s="24" t="inlineStr">
        <is>
          <t>hanmi</t>
        </is>
      </c>
      <c r="E639" s="24" t="inlineStr">
        <is>
          <t>042700</t>
        </is>
      </c>
      <c r="F639" s="24" t="inlineStr">
        <is>
          <t>2023</t>
        </is>
      </c>
      <c r="G639" s="24" t="inlineStr">
        <is>
          <t>CFS</t>
        </is>
      </c>
      <c r="H639" s="24" t="inlineStr">
        <is>
          <t>SCE</t>
        </is>
      </c>
      <c r="I639" s="24" t="inlineStr">
        <is>
          <t>자본변동표</t>
        </is>
      </c>
      <c r="J639" s="24" t="inlineStr">
        <is>
          <t>ifrs-full_OtherComprehensiveIncomeNetOfTaxExchangeDifferencesOnTranslation</t>
        </is>
      </c>
      <c r="K639" s="24" t="inlineStr">
        <is>
          <t>해외사업환산손익</t>
        </is>
      </c>
      <c r="L639" s="24" t="inlineStr">
        <is>
          <t>자본 [구성요소]|지배기업의 소유주에게 귀속되는 지분 [구성요소]|기타포괄손익누계액 [구성요소]</t>
        </is>
      </c>
      <c r="M639" s="24" t="inlineStr">
        <is>
          <t>제 44 기</t>
        </is>
      </c>
      <c r="N639" s="24" t="inlineStr">
        <is>
          <t>72723652.0</t>
        </is>
      </c>
      <c r="O639" s="24" t="inlineStr">
        <is>
          <t>-258240445.0</t>
        </is>
      </c>
      <c r="P639" s="24" t="inlineStr">
        <is>
          <t>KRW</t>
        </is>
      </c>
      <c r="Q639" s="24" t="inlineStr">
        <is>
          <t>10</t>
        </is>
      </c>
    </row>
    <row r="640" ht="24" customHeight="1">
      <c r="A640" s="29" t="inlineStr">
        <is>
          <t>OpenDART_fnlttSinglAcntAll</t>
        </is>
      </c>
      <c r="B640" s="29" t="inlineStr">
        <is>
          <t>00161383</t>
        </is>
      </c>
      <c r="C640" s="29" t="inlineStr">
        <is>
          <t>한미반도체</t>
        </is>
      </c>
      <c r="D640" s="29" t="inlineStr">
        <is>
          <t>hanmi</t>
        </is>
      </c>
      <c r="E640" s="29" t="inlineStr">
        <is>
          <t>042700</t>
        </is>
      </c>
      <c r="F640" s="29" t="inlineStr">
        <is>
          <t>2023</t>
        </is>
      </c>
      <c r="G640" s="29" t="inlineStr">
        <is>
          <t>CFS</t>
        </is>
      </c>
      <c r="H640" s="29" t="inlineStr">
        <is>
          <t>SCE</t>
        </is>
      </c>
      <c r="I640" s="29" t="inlineStr">
        <is>
          <t>자본변동표</t>
        </is>
      </c>
      <c r="J640" s="29" t="inlineStr">
        <is>
          <t>ifrs-full_OtherComprehensiveIncomeNetOfTaxExchangeDifferencesOnTranslation</t>
        </is>
      </c>
      <c r="K640" s="29" t="inlineStr">
        <is>
          <t>해외사업환산손익</t>
        </is>
      </c>
      <c r="L640" s="29" t="inlineStr">
        <is>
          <t>자본 [구성요소]|지배기업의 소유주에게 귀속되는 지분 [구성요소]|이익잉여금 [구성요소]</t>
        </is>
      </c>
      <c r="M640" s="29" t="inlineStr">
        <is>
          <t>제 44 기</t>
        </is>
      </c>
      <c r="N640" s="29" t="inlineStr">
        <is>
          <t>0.0</t>
        </is>
      </c>
      <c r="O640" s="29" t="inlineStr">
        <is>
          <t>0.0</t>
        </is>
      </c>
      <c r="P640" s="29" t="inlineStr">
        <is>
          <t>KRW</t>
        </is>
      </c>
      <c r="Q640" s="29" t="inlineStr">
        <is>
          <t>10</t>
        </is>
      </c>
    </row>
    <row r="641" ht="24" customHeight="1">
      <c r="A641" s="24" t="inlineStr">
        <is>
          <t>OpenDART_fnlttSinglAcntAll</t>
        </is>
      </c>
      <c r="B641" s="24" t="inlineStr">
        <is>
          <t>00161383</t>
        </is>
      </c>
      <c r="C641" s="24" t="inlineStr">
        <is>
          <t>한미반도체</t>
        </is>
      </c>
      <c r="D641" s="24" t="inlineStr">
        <is>
          <t>hanmi</t>
        </is>
      </c>
      <c r="E641" s="24" t="inlineStr">
        <is>
          <t>042700</t>
        </is>
      </c>
      <c r="F641" s="24" t="inlineStr">
        <is>
          <t>2023</t>
        </is>
      </c>
      <c r="G641" s="24" t="inlineStr">
        <is>
          <t>CFS</t>
        </is>
      </c>
      <c r="H641" s="24" t="inlineStr">
        <is>
          <t>SCE</t>
        </is>
      </c>
      <c r="I641" s="24" t="inlineStr">
        <is>
          <t>자본변동표</t>
        </is>
      </c>
      <c r="J641" s="24" t="inlineStr">
        <is>
          <t>ifrs-full_OtherComprehensiveIncomeNetOfTaxExchangeDifferencesOnTranslation</t>
        </is>
      </c>
      <c r="K641" s="24" t="inlineStr">
        <is>
          <t>해외사업환산손익</t>
        </is>
      </c>
      <c r="L641" s="24" t="inlineStr">
        <is>
          <t>자본 [구성요소]|지배기업의 소유주에게 귀속되는 지분 [구성요소]|자본금 [구성요소]</t>
        </is>
      </c>
      <c r="M641" s="24" t="inlineStr">
        <is>
          <t>제 44 기</t>
        </is>
      </c>
      <c r="N641" s="24" t="inlineStr">
        <is>
          <t>0.0</t>
        </is>
      </c>
      <c r="O641" s="24" t="inlineStr">
        <is>
          <t>0.0</t>
        </is>
      </c>
      <c r="P641" s="24" t="inlineStr">
        <is>
          <t>KRW</t>
        </is>
      </c>
      <c r="Q641" s="24" t="inlineStr">
        <is>
          <t>10</t>
        </is>
      </c>
    </row>
    <row r="642" ht="24" customHeight="1">
      <c r="A642" s="29" t="inlineStr">
        <is>
          <t>OpenDART_fnlttSinglAcntAll</t>
        </is>
      </c>
      <c r="B642" s="29" t="inlineStr">
        <is>
          <t>00161383</t>
        </is>
      </c>
      <c r="C642" s="29" t="inlineStr">
        <is>
          <t>한미반도체</t>
        </is>
      </c>
      <c r="D642" s="29" t="inlineStr">
        <is>
          <t>hanmi</t>
        </is>
      </c>
      <c r="E642" s="29" t="inlineStr">
        <is>
          <t>042700</t>
        </is>
      </c>
      <c r="F642" s="29" t="inlineStr">
        <is>
          <t>2023</t>
        </is>
      </c>
      <c r="G642" s="29" t="inlineStr">
        <is>
          <t>CFS</t>
        </is>
      </c>
      <c r="H642" s="29" t="inlineStr">
        <is>
          <t>SCE</t>
        </is>
      </c>
      <c r="I642" s="29" t="inlineStr">
        <is>
          <t>자본변동표</t>
        </is>
      </c>
      <c r="J642" s="29" t="inlineStr">
        <is>
          <t>ifrs-full_OtherComprehensiveIncomeNetOfTaxExchangeDifferencesOnTranslation</t>
        </is>
      </c>
      <c r="K642" s="29" t="inlineStr">
        <is>
          <t>해외사업환산손익</t>
        </is>
      </c>
      <c r="L642" s="29" t="inlineStr">
        <is>
          <t>자본 [구성요소]|지배기업의 소유주에게 귀속되는 지분 [구성요소]|자본잉여금 [구성요소]</t>
        </is>
      </c>
      <c r="M642" s="29" t="inlineStr">
        <is>
          <t>제 44 기</t>
        </is>
      </c>
      <c r="N642" s="29" t="inlineStr">
        <is>
          <t>0.0</t>
        </is>
      </c>
      <c r="O642" s="29" t="inlineStr">
        <is>
          <t>0.0</t>
        </is>
      </c>
      <c r="P642" s="29" t="inlineStr">
        <is>
          <t>KRW</t>
        </is>
      </c>
      <c r="Q642" s="29" t="inlineStr">
        <is>
          <t>10</t>
        </is>
      </c>
    </row>
    <row r="643" ht="24" customHeight="1">
      <c r="A643" s="24" t="inlineStr">
        <is>
          <t>OpenDART_fnlttSinglAcntAll</t>
        </is>
      </c>
      <c r="B643" s="24" t="inlineStr">
        <is>
          <t>00161383</t>
        </is>
      </c>
      <c r="C643" s="24" t="inlineStr">
        <is>
          <t>한미반도체</t>
        </is>
      </c>
      <c r="D643" s="24" t="inlineStr">
        <is>
          <t>hanmi</t>
        </is>
      </c>
      <c r="E643" s="24" t="inlineStr">
        <is>
          <t>042700</t>
        </is>
      </c>
      <c r="F643" s="24" t="inlineStr">
        <is>
          <t>2023</t>
        </is>
      </c>
      <c r="G643" s="24" t="inlineStr">
        <is>
          <t>CFS</t>
        </is>
      </c>
      <c r="H643" s="24" t="inlineStr">
        <is>
          <t>SCE</t>
        </is>
      </c>
      <c r="I643" s="24" t="inlineStr">
        <is>
          <t>자본변동표</t>
        </is>
      </c>
      <c r="J643" s="24" t="inlineStr">
        <is>
          <t>ifrs-full_OtherComprehensiveIncomeNetOfTaxGainsLossesOnRemeasurementsOfDefinedBenefitPlans</t>
        </is>
      </c>
      <c r="K643" s="24" t="inlineStr">
        <is>
          <t>확정급여제도의재측정요소</t>
        </is>
      </c>
      <c r="L643" s="24" t="inlineStr">
        <is>
          <t>연결재무제표 [member]</t>
        </is>
      </c>
      <c r="M643" s="24" t="inlineStr">
        <is>
          <t>제 44 기</t>
        </is>
      </c>
      <c r="N643" s="24" t="inlineStr">
        <is>
          <t>-55075378.0</t>
        </is>
      </c>
      <c r="O643" s="24" t="inlineStr">
        <is>
          <t>62275773.0</t>
        </is>
      </c>
      <c r="P643" s="24" t="inlineStr">
        <is>
          <t>KRW</t>
        </is>
      </c>
      <c r="Q643" s="24" t="inlineStr">
        <is>
          <t>11</t>
        </is>
      </c>
    </row>
    <row r="644" ht="24" customHeight="1">
      <c r="A644" s="29" t="inlineStr">
        <is>
          <t>OpenDART_fnlttSinglAcntAll</t>
        </is>
      </c>
      <c r="B644" s="29" t="inlineStr">
        <is>
          <t>00161383</t>
        </is>
      </c>
      <c r="C644" s="29" t="inlineStr">
        <is>
          <t>한미반도체</t>
        </is>
      </c>
      <c r="D644" s="29" t="inlineStr">
        <is>
          <t>hanmi</t>
        </is>
      </c>
      <c r="E644" s="29" t="inlineStr">
        <is>
          <t>042700</t>
        </is>
      </c>
      <c r="F644" s="29" t="inlineStr">
        <is>
          <t>2023</t>
        </is>
      </c>
      <c r="G644" s="29" t="inlineStr">
        <is>
          <t>CFS</t>
        </is>
      </c>
      <c r="H644" s="29" t="inlineStr">
        <is>
          <t>SCE</t>
        </is>
      </c>
      <c r="I644" s="29" t="inlineStr">
        <is>
          <t>자본변동표</t>
        </is>
      </c>
      <c r="J644" s="29" t="inlineStr">
        <is>
          <t>ifrs-full_OtherComprehensiveIncomeNetOfTaxGainsLossesOnRemeasurementsOfDefinedBenefitPlans</t>
        </is>
      </c>
      <c r="K644" s="29" t="inlineStr">
        <is>
          <t>확정급여제도의재측정요소</t>
        </is>
      </c>
      <c r="L644" s="29" t="inlineStr">
        <is>
          <t>자본 [구성요소]|지배기업의 소유주에게 귀속되는 지분 [구성요소]</t>
        </is>
      </c>
      <c r="M644" s="29" t="inlineStr">
        <is>
          <t>제 44 기</t>
        </is>
      </c>
      <c r="N644" s="29" t="inlineStr">
        <is>
          <t>-55075378.0</t>
        </is>
      </c>
      <c r="O644" s="29" t="inlineStr">
        <is>
          <t>62275773.0</t>
        </is>
      </c>
      <c r="P644" s="29" t="inlineStr">
        <is>
          <t>KRW</t>
        </is>
      </c>
      <c r="Q644" s="29" t="inlineStr">
        <is>
          <t>11</t>
        </is>
      </c>
    </row>
    <row r="645" ht="24" customHeight="1">
      <c r="A645" s="24" t="inlineStr">
        <is>
          <t>OpenDART_fnlttSinglAcntAll</t>
        </is>
      </c>
      <c r="B645" s="24" t="inlineStr">
        <is>
          <t>00161383</t>
        </is>
      </c>
      <c r="C645" s="24" t="inlineStr">
        <is>
          <t>한미반도체</t>
        </is>
      </c>
      <c r="D645" s="24" t="inlineStr">
        <is>
          <t>hanmi</t>
        </is>
      </c>
      <c r="E645" s="24" t="inlineStr">
        <is>
          <t>042700</t>
        </is>
      </c>
      <c r="F645" s="24" t="inlineStr">
        <is>
          <t>2023</t>
        </is>
      </c>
      <c r="G645" s="24" t="inlineStr">
        <is>
          <t>CFS</t>
        </is>
      </c>
      <c r="H645" s="24" t="inlineStr">
        <is>
          <t>SCE</t>
        </is>
      </c>
      <c r="I645" s="24" t="inlineStr">
        <is>
          <t>자본변동표</t>
        </is>
      </c>
      <c r="J645" s="24" t="inlineStr">
        <is>
          <t>ifrs-full_OtherComprehensiveIncomeNetOfTaxGainsLossesOnRemeasurementsOfDefinedBenefitPlans</t>
        </is>
      </c>
      <c r="K645" s="24" t="inlineStr">
        <is>
          <t>확정급여제도의재측정요소</t>
        </is>
      </c>
      <c r="L645" s="24" t="inlineStr">
        <is>
          <t>자본 [구성요소]|지배기업의 소유주에게 귀속되는 지분 [구성요소]|기타자본구성요소 [구성요소]</t>
        </is>
      </c>
      <c r="M645" s="24" t="inlineStr">
        <is>
          <t>제 44 기</t>
        </is>
      </c>
      <c r="N645" s="24" t="inlineStr">
        <is>
          <t>0.0</t>
        </is>
      </c>
      <c r="O645" s="24" t="inlineStr">
        <is>
          <t>0.0</t>
        </is>
      </c>
      <c r="P645" s="24" t="inlineStr">
        <is>
          <t>KRW</t>
        </is>
      </c>
      <c r="Q645" s="24" t="inlineStr">
        <is>
          <t>11</t>
        </is>
      </c>
    </row>
    <row r="646" ht="24" customHeight="1">
      <c r="A646" s="29" t="inlineStr">
        <is>
          <t>OpenDART_fnlttSinglAcntAll</t>
        </is>
      </c>
      <c r="B646" s="29" t="inlineStr">
        <is>
          <t>00161383</t>
        </is>
      </c>
      <c r="C646" s="29" t="inlineStr">
        <is>
          <t>한미반도체</t>
        </is>
      </c>
      <c r="D646" s="29" t="inlineStr">
        <is>
          <t>hanmi</t>
        </is>
      </c>
      <c r="E646" s="29" t="inlineStr">
        <is>
          <t>042700</t>
        </is>
      </c>
      <c r="F646" s="29" t="inlineStr">
        <is>
          <t>2023</t>
        </is>
      </c>
      <c r="G646" s="29" t="inlineStr">
        <is>
          <t>CFS</t>
        </is>
      </c>
      <c r="H646" s="29" t="inlineStr">
        <is>
          <t>SCE</t>
        </is>
      </c>
      <c r="I646" s="29" t="inlineStr">
        <is>
          <t>자본변동표</t>
        </is>
      </c>
      <c r="J646" s="29" t="inlineStr">
        <is>
          <t>ifrs-full_OtherComprehensiveIncomeNetOfTaxGainsLossesOnRemeasurementsOfDefinedBenefitPlans</t>
        </is>
      </c>
      <c r="K646" s="29" t="inlineStr">
        <is>
          <t>확정급여제도의재측정요소</t>
        </is>
      </c>
      <c r="L646" s="29" t="inlineStr">
        <is>
          <t>자본 [구성요소]|지배기업의 소유주에게 귀속되는 지분 [구성요소]|자본금 [구성요소]</t>
        </is>
      </c>
      <c r="M646" s="29" t="inlineStr">
        <is>
          <t>제 44 기</t>
        </is>
      </c>
      <c r="N646" s="29" t="inlineStr">
        <is>
          <t>0.0</t>
        </is>
      </c>
      <c r="O646" s="29" t="inlineStr">
        <is>
          <t>0.0</t>
        </is>
      </c>
      <c r="P646" s="29" t="inlineStr">
        <is>
          <t>KRW</t>
        </is>
      </c>
      <c r="Q646" s="29" t="inlineStr">
        <is>
          <t>11</t>
        </is>
      </c>
    </row>
    <row r="647" ht="24" customHeight="1">
      <c r="A647" s="24" t="inlineStr">
        <is>
          <t>OpenDART_fnlttSinglAcntAll</t>
        </is>
      </c>
      <c r="B647" s="24" t="inlineStr">
        <is>
          <t>00161383</t>
        </is>
      </c>
      <c r="C647" s="24" t="inlineStr">
        <is>
          <t>한미반도체</t>
        </is>
      </c>
      <c r="D647" s="24" t="inlineStr">
        <is>
          <t>hanmi</t>
        </is>
      </c>
      <c r="E647" s="24" t="inlineStr">
        <is>
          <t>042700</t>
        </is>
      </c>
      <c r="F647" s="24" t="inlineStr">
        <is>
          <t>2023</t>
        </is>
      </c>
      <c r="G647" s="24" t="inlineStr">
        <is>
          <t>CFS</t>
        </is>
      </c>
      <c r="H647" s="24" t="inlineStr">
        <is>
          <t>SCE</t>
        </is>
      </c>
      <c r="I647" s="24" t="inlineStr">
        <is>
          <t>자본변동표</t>
        </is>
      </c>
      <c r="J647" s="24" t="inlineStr">
        <is>
          <t>ifrs-full_OtherComprehensiveIncomeNetOfTaxGainsLossesOnRemeasurementsOfDefinedBenefitPlans</t>
        </is>
      </c>
      <c r="K647" s="24" t="inlineStr">
        <is>
          <t>확정급여제도의재측정요소</t>
        </is>
      </c>
      <c r="L647" s="24" t="inlineStr">
        <is>
          <t>자본 [구성요소]|지배기업의 소유주에게 귀속되는 지분 [구성요소]|이익잉여금 [구성요소]</t>
        </is>
      </c>
      <c r="M647" s="24" t="inlineStr">
        <is>
          <t>제 44 기</t>
        </is>
      </c>
      <c r="N647" s="24" t="inlineStr">
        <is>
          <t>-55075378.0</t>
        </is>
      </c>
      <c r="O647" s="24" t="inlineStr">
        <is>
          <t>62275773.0</t>
        </is>
      </c>
      <c r="P647" s="24" t="inlineStr">
        <is>
          <t>KRW</t>
        </is>
      </c>
      <c r="Q647" s="24" t="inlineStr">
        <is>
          <t>11</t>
        </is>
      </c>
    </row>
    <row r="648" ht="24" customHeight="1">
      <c r="A648" s="29" t="inlineStr">
        <is>
          <t>OpenDART_fnlttSinglAcntAll</t>
        </is>
      </c>
      <c r="B648" s="29" t="inlineStr">
        <is>
          <t>00161383</t>
        </is>
      </c>
      <c r="C648" s="29" t="inlineStr">
        <is>
          <t>한미반도체</t>
        </is>
      </c>
      <c r="D648" s="29" t="inlineStr">
        <is>
          <t>hanmi</t>
        </is>
      </c>
      <c r="E648" s="29" t="inlineStr">
        <is>
          <t>042700</t>
        </is>
      </c>
      <c r="F648" s="29" t="inlineStr">
        <is>
          <t>2023</t>
        </is>
      </c>
      <c r="G648" s="29" t="inlineStr">
        <is>
          <t>CFS</t>
        </is>
      </c>
      <c r="H648" s="29" t="inlineStr">
        <is>
          <t>SCE</t>
        </is>
      </c>
      <c r="I648" s="29" t="inlineStr">
        <is>
          <t>자본변동표</t>
        </is>
      </c>
      <c r="J648" s="29" t="inlineStr">
        <is>
          <t>ifrs-full_OtherComprehensiveIncomeNetOfTaxGainsLossesOnRemeasurementsOfDefinedBenefitPlans</t>
        </is>
      </c>
      <c r="K648" s="29" t="inlineStr">
        <is>
          <t>확정급여제도의재측정요소</t>
        </is>
      </c>
      <c r="L648" s="29" t="inlineStr">
        <is>
          <t>자본 [구성요소]|지배기업의 소유주에게 귀속되는 지분 [구성요소]|기타포괄손익누계액 [구성요소]</t>
        </is>
      </c>
      <c r="M648" s="29" t="inlineStr">
        <is>
          <t>제 44 기</t>
        </is>
      </c>
      <c r="N648" s="29" t="inlineStr">
        <is>
          <t>0.0</t>
        </is>
      </c>
      <c r="O648" s="29" t="inlineStr">
        <is>
          <t>0.0</t>
        </is>
      </c>
      <c r="P648" s="29" t="inlineStr">
        <is>
          <t>KRW</t>
        </is>
      </c>
      <c r="Q648" s="29" t="inlineStr">
        <is>
          <t>11</t>
        </is>
      </c>
    </row>
    <row r="649" ht="24" customHeight="1">
      <c r="A649" s="24" t="inlineStr">
        <is>
          <t>OpenDART_fnlttSinglAcntAll</t>
        </is>
      </c>
      <c r="B649" s="24" t="inlineStr">
        <is>
          <t>00161383</t>
        </is>
      </c>
      <c r="C649" s="24" t="inlineStr">
        <is>
          <t>한미반도체</t>
        </is>
      </c>
      <c r="D649" s="24" t="inlineStr">
        <is>
          <t>hanmi</t>
        </is>
      </c>
      <c r="E649" s="24" t="inlineStr">
        <is>
          <t>042700</t>
        </is>
      </c>
      <c r="F649" s="24" t="inlineStr">
        <is>
          <t>2023</t>
        </is>
      </c>
      <c r="G649" s="24" t="inlineStr">
        <is>
          <t>CFS</t>
        </is>
      </c>
      <c r="H649" s="24" t="inlineStr">
        <is>
          <t>SCE</t>
        </is>
      </c>
      <c r="I649" s="24" t="inlineStr">
        <is>
          <t>자본변동표</t>
        </is>
      </c>
      <c r="J649" s="24" t="inlineStr">
        <is>
          <t>ifrs-full_OtherComprehensiveIncomeNetOfTaxGainsLossesOnRemeasurementsOfDefinedBenefitPlans</t>
        </is>
      </c>
      <c r="K649" s="24" t="inlineStr">
        <is>
          <t>확정급여제도의재측정요소</t>
        </is>
      </c>
      <c r="L649" s="24" t="inlineStr">
        <is>
          <t>자본 [구성요소]|지배기업의 소유주에게 귀속되는 지분 [구성요소]|자본잉여금 [구성요소]</t>
        </is>
      </c>
      <c r="M649" s="24" t="inlineStr">
        <is>
          <t>제 44 기</t>
        </is>
      </c>
      <c r="N649" s="24" t="inlineStr">
        <is>
          <t>0.0</t>
        </is>
      </c>
      <c r="O649" s="24" t="inlineStr">
        <is>
          <t>0.0</t>
        </is>
      </c>
      <c r="P649" s="24" t="inlineStr">
        <is>
          <t>KRW</t>
        </is>
      </c>
      <c r="Q649" s="24" t="inlineStr">
        <is>
          <t>11</t>
        </is>
      </c>
    </row>
    <row r="650" ht="24" customHeight="1">
      <c r="A650" s="29" t="inlineStr">
        <is>
          <t>OpenDART_fnlttSinglAcntAll</t>
        </is>
      </c>
      <c r="B650" s="29" t="inlineStr">
        <is>
          <t>00161383</t>
        </is>
      </c>
      <c r="C650" s="29" t="inlineStr">
        <is>
          <t>한미반도체</t>
        </is>
      </c>
      <c r="D650" s="29" t="inlineStr">
        <is>
          <t>hanmi</t>
        </is>
      </c>
      <c r="E650" s="29" t="inlineStr">
        <is>
          <t>042700</t>
        </is>
      </c>
      <c r="F650" s="29" t="inlineStr">
        <is>
          <t>2023</t>
        </is>
      </c>
      <c r="G650" s="29" t="inlineStr">
        <is>
          <t>CFS</t>
        </is>
      </c>
      <c r="H650" s="29" t="inlineStr">
        <is>
          <t>SCE</t>
        </is>
      </c>
      <c r="I650" s="29" t="inlineStr">
        <is>
          <t>자본변동표</t>
        </is>
      </c>
      <c r="J650" s="29" t="inlineStr">
        <is>
          <t>ifrs-full_ProfitLoss</t>
        </is>
      </c>
      <c r="K650" s="29" t="inlineStr">
        <is>
          <t>당기순이익</t>
        </is>
      </c>
      <c r="L650" s="29" t="inlineStr">
        <is>
          <t>자본 [구성요소]|지배기업의 소유주에게 귀속되는 지분 [구성요소]</t>
        </is>
      </c>
      <c r="M650" s="29" t="inlineStr">
        <is>
          <t>제 44 기</t>
        </is>
      </c>
      <c r="N650" s="29" t="inlineStr">
        <is>
          <t>267167515858.0</t>
        </is>
      </c>
      <c r="O650" s="29" t="inlineStr">
        <is>
          <t>92259257411.0</t>
        </is>
      </c>
      <c r="P650" s="29" t="inlineStr">
        <is>
          <t>KRW</t>
        </is>
      </c>
      <c r="Q650" s="29" t="inlineStr">
        <is>
          <t>12</t>
        </is>
      </c>
    </row>
    <row r="651" ht="24" customHeight="1">
      <c r="A651" s="24" t="inlineStr">
        <is>
          <t>OpenDART_fnlttSinglAcntAll</t>
        </is>
      </c>
      <c r="B651" s="24" t="inlineStr">
        <is>
          <t>00161383</t>
        </is>
      </c>
      <c r="C651" s="24" t="inlineStr">
        <is>
          <t>한미반도체</t>
        </is>
      </c>
      <c r="D651" s="24" t="inlineStr">
        <is>
          <t>hanmi</t>
        </is>
      </c>
      <c r="E651" s="24" t="inlineStr">
        <is>
          <t>042700</t>
        </is>
      </c>
      <c r="F651" s="24" t="inlineStr">
        <is>
          <t>2023</t>
        </is>
      </c>
      <c r="G651" s="24" t="inlineStr">
        <is>
          <t>CFS</t>
        </is>
      </c>
      <c r="H651" s="24" t="inlineStr">
        <is>
          <t>SCE</t>
        </is>
      </c>
      <c r="I651" s="24" t="inlineStr">
        <is>
          <t>자본변동표</t>
        </is>
      </c>
      <c r="J651" s="24" t="inlineStr">
        <is>
          <t>ifrs-full_ProfitLoss</t>
        </is>
      </c>
      <c r="K651" s="24" t="inlineStr">
        <is>
          <t>당기순이익</t>
        </is>
      </c>
      <c r="L651" s="24" t="inlineStr">
        <is>
          <t>자본 [구성요소]|지배기업의 소유주에게 귀속되는 지분 [구성요소]|기타자본구성요소 [구성요소]</t>
        </is>
      </c>
      <c r="M651" s="24" t="inlineStr">
        <is>
          <t>제 44 기</t>
        </is>
      </c>
      <c r="N651" s="24" t="inlineStr">
        <is>
          <t>0.0</t>
        </is>
      </c>
      <c r="O651" s="24" t="inlineStr">
        <is>
          <t>0.0</t>
        </is>
      </c>
      <c r="P651" s="24" t="inlineStr">
        <is>
          <t>KRW</t>
        </is>
      </c>
      <c r="Q651" s="24" t="inlineStr">
        <is>
          <t>12</t>
        </is>
      </c>
    </row>
    <row r="652" ht="24" customHeight="1">
      <c r="A652" s="29" t="inlineStr">
        <is>
          <t>OpenDART_fnlttSinglAcntAll</t>
        </is>
      </c>
      <c r="B652" s="29" t="inlineStr">
        <is>
          <t>00161383</t>
        </is>
      </c>
      <c r="C652" s="29" t="inlineStr">
        <is>
          <t>한미반도체</t>
        </is>
      </c>
      <c r="D652" s="29" t="inlineStr">
        <is>
          <t>hanmi</t>
        </is>
      </c>
      <c r="E652" s="29" t="inlineStr">
        <is>
          <t>042700</t>
        </is>
      </c>
      <c r="F652" s="29" t="inlineStr">
        <is>
          <t>2023</t>
        </is>
      </c>
      <c r="G652" s="29" t="inlineStr">
        <is>
          <t>CFS</t>
        </is>
      </c>
      <c r="H652" s="29" t="inlineStr">
        <is>
          <t>SCE</t>
        </is>
      </c>
      <c r="I652" s="29" t="inlineStr">
        <is>
          <t>자본변동표</t>
        </is>
      </c>
      <c r="J652" s="29" t="inlineStr">
        <is>
          <t>ifrs-full_ProfitLoss</t>
        </is>
      </c>
      <c r="K652" s="29" t="inlineStr">
        <is>
          <t>당기순이익</t>
        </is>
      </c>
      <c r="L652" s="29" t="inlineStr">
        <is>
          <t>자본 [구성요소]|지배기업의 소유주에게 귀속되는 지분 [구성요소]|기타포괄손익누계액 [구성요소]</t>
        </is>
      </c>
      <c r="M652" s="29" t="inlineStr">
        <is>
          <t>제 44 기</t>
        </is>
      </c>
      <c r="N652" s="29" t="inlineStr">
        <is>
          <t>0.0</t>
        </is>
      </c>
      <c r="O652" s="29" t="inlineStr">
        <is>
          <t>0.0</t>
        </is>
      </c>
      <c r="P652" s="29" t="inlineStr">
        <is>
          <t>KRW</t>
        </is>
      </c>
      <c r="Q652" s="29" t="inlineStr">
        <is>
          <t>12</t>
        </is>
      </c>
    </row>
    <row r="653" ht="24" customHeight="1">
      <c r="A653" s="24" t="inlineStr">
        <is>
          <t>OpenDART_fnlttSinglAcntAll</t>
        </is>
      </c>
      <c r="B653" s="24" t="inlineStr">
        <is>
          <t>00161383</t>
        </is>
      </c>
      <c r="C653" s="24" t="inlineStr">
        <is>
          <t>한미반도체</t>
        </is>
      </c>
      <c r="D653" s="24" t="inlineStr">
        <is>
          <t>hanmi</t>
        </is>
      </c>
      <c r="E653" s="24" t="inlineStr">
        <is>
          <t>042700</t>
        </is>
      </c>
      <c r="F653" s="24" t="inlineStr">
        <is>
          <t>2023</t>
        </is>
      </c>
      <c r="G653" s="24" t="inlineStr">
        <is>
          <t>CFS</t>
        </is>
      </c>
      <c r="H653" s="24" t="inlineStr">
        <is>
          <t>SCE</t>
        </is>
      </c>
      <c r="I653" s="24" t="inlineStr">
        <is>
          <t>자본변동표</t>
        </is>
      </c>
      <c r="J653" s="24" t="inlineStr">
        <is>
          <t>ifrs-full_ProfitLoss</t>
        </is>
      </c>
      <c r="K653" s="24" t="inlineStr">
        <is>
          <t>당기순이익</t>
        </is>
      </c>
      <c r="L653" s="24" t="inlineStr">
        <is>
          <t>자본 [구성요소]|지배기업의 소유주에게 귀속되는 지분 [구성요소]|이익잉여금 [구성요소]</t>
        </is>
      </c>
      <c r="M653" s="24" t="inlineStr">
        <is>
          <t>제 44 기</t>
        </is>
      </c>
      <c r="N653" s="24" t="inlineStr">
        <is>
          <t>267167515858.0</t>
        </is>
      </c>
      <c r="O653" s="24" t="inlineStr">
        <is>
          <t>92259257411.0</t>
        </is>
      </c>
      <c r="P653" s="24" t="inlineStr">
        <is>
          <t>KRW</t>
        </is>
      </c>
      <c r="Q653" s="24" t="inlineStr">
        <is>
          <t>12</t>
        </is>
      </c>
    </row>
    <row r="654" ht="24" customHeight="1">
      <c r="A654" s="29" t="inlineStr">
        <is>
          <t>OpenDART_fnlttSinglAcntAll</t>
        </is>
      </c>
      <c r="B654" s="29" t="inlineStr">
        <is>
          <t>00161383</t>
        </is>
      </c>
      <c r="C654" s="29" t="inlineStr">
        <is>
          <t>한미반도체</t>
        </is>
      </c>
      <c r="D654" s="29" t="inlineStr">
        <is>
          <t>hanmi</t>
        </is>
      </c>
      <c r="E654" s="29" t="inlineStr">
        <is>
          <t>042700</t>
        </is>
      </c>
      <c r="F654" s="29" t="inlineStr">
        <is>
          <t>2023</t>
        </is>
      </c>
      <c r="G654" s="29" t="inlineStr">
        <is>
          <t>CFS</t>
        </is>
      </c>
      <c r="H654" s="29" t="inlineStr">
        <is>
          <t>SCE</t>
        </is>
      </c>
      <c r="I654" s="29" t="inlineStr">
        <is>
          <t>자본변동표</t>
        </is>
      </c>
      <c r="J654" s="29" t="inlineStr">
        <is>
          <t>ifrs-full_ProfitLoss</t>
        </is>
      </c>
      <c r="K654" s="29" t="inlineStr">
        <is>
          <t>당기순이익</t>
        </is>
      </c>
      <c r="L654" s="29" t="inlineStr">
        <is>
          <t>자본 [구성요소]|지배기업의 소유주에게 귀속되는 지분 [구성요소]|자본금 [구성요소]</t>
        </is>
      </c>
      <c r="M654" s="29" t="inlineStr">
        <is>
          <t>제 44 기</t>
        </is>
      </c>
      <c r="N654" s="29" t="inlineStr">
        <is>
          <t>0.0</t>
        </is>
      </c>
      <c r="O654" s="29" t="inlineStr">
        <is>
          <t>0.0</t>
        </is>
      </c>
      <c r="P654" s="29" t="inlineStr">
        <is>
          <t>KRW</t>
        </is>
      </c>
      <c r="Q654" s="29" t="inlineStr">
        <is>
          <t>12</t>
        </is>
      </c>
    </row>
    <row r="655" ht="24" customHeight="1">
      <c r="A655" s="24" t="inlineStr">
        <is>
          <t>OpenDART_fnlttSinglAcntAll</t>
        </is>
      </c>
      <c r="B655" s="24" t="inlineStr">
        <is>
          <t>00161383</t>
        </is>
      </c>
      <c r="C655" s="24" t="inlineStr">
        <is>
          <t>한미반도체</t>
        </is>
      </c>
      <c r="D655" s="24" t="inlineStr">
        <is>
          <t>hanmi</t>
        </is>
      </c>
      <c r="E655" s="24" t="inlineStr">
        <is>
          <t>042700</t>
        </is>
      </c>
      <c r="F655" s="24" t="inlineStr">
        <is>
          <t>2023</t>
        </is>
      </c>
      <c r="G655" s="24" t="inlineStr">
        <is>
          <t>CFS</t>
        </is>
      </c>
      <c r="H655" s="24" t="inlineStr">
        <is>
          <t>SCE</t>
        </is>
      </c>
      <c r="I655" s="24" t="inlineStr">
        <is>
          <t>자본변동표</t>
        </is>
      </c>
      <c r="J655" s="24" t="inlineStr">
        <is>
          <t>ifrs-full_ProfitLoss</t>
        </is>
      </c>
      <c r="K655" s="24" t="inlineStr">
        <is>
          <t>당기순이익</t>
        </is>
      </c>
      <c r="L655" s="24" t="inlineStr">
        <is>
          <t>자본 [구성요소]|지배기업의 소유주에게 귀속되는 지분 [구성요소]|자본잉여금 [구성요소]</t>
        </is>
      </c>
      <c r="M655" s="24" t="inlineStr">
        <is>
          <t>제 44 기</t>
        </is>
      </c>
      <c r="N655" s="24" t="inlineStr">
        <is>
          <t>0.0</t>
        </is>
      </c>
      <c r="O655" s="24" t="inlineStr">
        <is>
          <t>0.0</t>
        </is>
      </c>
      <c r="P655" s="24" t="inlineStr">
        <is>
          <t>KRW</t>
        </is>
      </c>
      <c r="Q655" s="24" t="inlineStr">
        <is>
          <t>12</t>
        </is>
      </c>
    </row>
    <row r="656" ht="24" customHeight="1">
      <c r="A656" s="29" t="inlineStr">
        <is>
          <t>OpenDART_fnlttSinglAcntAll</t>
        </is>
      </c>
      <c r="B656" s="29" t="inlineStr">
        <is>
          <t>00161383</t>
        </is>
      </c>
      <c r="C656" s="29" t="inlineStr">
        <is>
          <t>한미반도체</t>
        </is>
      </c>
      <c r="D656" s="29" t="inlineStr">
        <is>
          <t>hanmi</t>
        </is>
      </c>
      <c r="E656" s="29" t="inlineStr">
        <is>
          <t>042700</t>
        </is>
      </c>
      <c r="F656" s="29" t="inlineStr">
        <is>
          <t>2023</t>
        </is>
      </c>
      <c r="G656" s="29" t="inlineStr">
        <is>
          <t>CFS</t>
        </is>
      </c>
      <c r="H656" s="29" t="inlineStr">
        <is>
          <t>SCE</t>
        </is>
      </c>
      <c r="I656" s="29" t="inlineStr">
        <is>
          <t>자본변동표</t>
        </is>
      </c>
      <c r="J656" s="29" t="inlineStr">
        <is>
          <t>ifrs-full_ProfitLoss</t>
        </is>
      </c>
      <c r="K656" s="29" t="inlineStr">
        <is>
          <t>당기순이익</t>
        </is>
      </c>
      <c r="L656" s="29" t="inlineStr">
        <is>
          <t>연결재무제표 [member]</t>
        </is>
      </c>
      <c r="M656" s="29" t="inlineStr">
        <is>
          <t>제 44 기</t>
        </is>
      </c>
      <c r="N656" s="29" t="inlineStr">
        <is>
          <t>267167515858.0</t>
        </is>
      </c>
      <c r="O656" s="29" t="inlineStr">
        <is>
          <t>92259257411.0</t>
        </is>
      </c>
      <c r="P656" s="29" t="inlineStr">
        <is>
          <t>KRW</t>
        </is>
      </c>
      <c r="Q656" s="29" t="inlineStr">
        <is>
          <t>12</t>
        </is>
      </c>
    </row>
    <row r="657" ht="24" customHeight="1">
      <c r="A657" s="24" t="inlineStr">
        <is>
          <t>OpenDART_fnlttSinglAcntAll</t>
        </is>
      </c>
      <c r="B657" s="24" t="inlineStr">
        <is>
          <t>00161383</t>
        </is>
      </c>
      <c r="C657" s="24" t="inlineStr">
        <is>
          <t>한미반도체</t>
        </is>
      </c>
      <c r="D657" s="24" t="inlineStr">
        <is>
          <t>hanmi</t>
        </is>
      </c>
      <c r="E657" s="24" t="inlineStr">
        <is>
          <t>042700</t>
        </is>
      </c>
      <c r="F657" s="24" t="inlineStr">
        <is>
          <t>2023</t>
        </is>
      </c>
      <c r="G657" s="24" t="inlineStr">
        <is>
          <t>CFS</t>
        </is>
      </c>
      <c r="H657" s="24" t="inlineStr">
        <is>
          <t>SCE</t>
        </is>
      </c>
      <c r="I657" s="24" t="inlineStr">
        <is>
          <t>자본변동표</t>
        </is>
      </c>
      <c r="J657" s="24" t="inlineStr">
        <is>
          <t>ifrs-full_PurchaseOfTreasuryShares</t>
        </is>
      </c>
      <c r="K657" s="24" t="inlineStr">
        <is>
          <t>자기주식 취득</t>
        </is>
      </c>
      <c r="L657" s="24" t="inlineStr">
        <is>
          <t>연결재무제표 [member]</t>
        </is>
      </c>
      <c r="M657" s="24" t="inlineStr">
        <is>
          <t>제 44 기</t>
        </is>
      </c>
      <c r="N657" s="24" t="inlineStr">
        <is>
          <t>-50503615450.0</t>
        </is>
      </c>
      <c r="O657" s="24" t="inlineStr">
        <is>
          <t>-19995806500.0</t>
        </is>
      </c>
      <c r="P657" s="24" t="inlineStr">
        <is>
          <t>KRW</t>
        </is>
      </c>
      <c r="Q657" s="24" t="inlineStr">
        <is>
          <t>13</t>
        </is>
      </c>
    </row>
    <row r="658" ht="24" customHeight="1">
      <c r="A658" s="29" t="inlineStr">
        <is>
          <t>OpenDART_fnlttSinglAcntAll</t>
        </is>
      </c>
      <c r="B658" s="29" t="inlineStr">
        <is>
          <t>00161383</t>
        </is>
      </c>
      <c r="C658" s="29" t="inlineStr">
        <is>
          <t>한미반도체</t>
        </is>
      </c>
      <c r="D658" s="29" t="inlineStr">
        <is>
          <t>hanmi</t>
        </is>
      </c>
      <c r="E658" s="29" t="inlineStr">
        <is>
          <t>042700</t>
        </is>
      </c>
      <c r="F658" s="29" t="inlineStr">
        <is>
          <t>2023</t>
        </is>
      </c>
      <c r="G658" s="29" t="inlineStr">
        <is>
          <t>CFS</t>
        </is>
      </c>
      <c r="H658" s="29" t="inlineStr">
        <is>
          <t>SCE</t>
        </is>
      </c>
      <c r="I658" s="29" t="inlineStr">
        <is>
          <t>자본변동표</t>
        </is>
      </c>
      <c r="J658" s="29" t="inlineStr">
        <is>
          <t>ifrs-full_PurchaseOfTreasuryShares</t>
        </is>
      </c>
      <c r="K658" s="29" t="inlineStr">
        <is>
          <t>자기주식 취득</t>
        </is>
      </c>
      <c r="L658" s="29" t="inlineStr">
        <is>
          <t>자본 [구성요소]|지배기업의 소유주에게 귀속되는 지분 [구성요소]</t>
        </is>
      </c>
      <c r="M658" s="29" t="inlineStr">
        <is>
          <t>제 44 기</t>
        </is>
      </c>
      <c r="N658" s="29" t="inlineStr">
        <is>
          <t>-50503615450.0</t>
        </is>
      </c>
      <c r="O658" s="29" t="inlineStr">
        <is>
          <t>-19995806500.0</t>
        </is>
      </c>
      <c r="P658" s="29" t="inlineStr">
        <is>
          <t>KRW</t>
        </is>
      </c>
      <c r="Q658" s="29" t="inlineStr">
        <is>
          <t>13</t>
        </is>
      </c>
    </row>
    <row r="659" ht="24" customHeight="1">
      <c r="A659" s="24" t="inlineStr">
        <is>
          <t>OpenDART_fnlttSinglAcntAll</t>
        </is>
      </c>
      <c r="B659" s="24" t="inlineStr">
        <is>
          <t>00161383</t>
        </is>
      </c>
      <c r="C659" s="24" t="inlineStr">
        <is>
          <t>한미반도체</t>
        </is>
      </c>
      <c r="D659" s="24" t="inlineStr">
        <is>
          <t>hanmi</t>
        </is>
      </c>
      <c r="E659" s="24" t="inlineStr">
        <is>
          <t>042700</t>
        </is>
      </c>
      <c r="F659" s="24" t="inlineStr">
        <is>
          <t>2023</t>
        </is>
      </c>
      <c r="G659" s="24" t="inlineStr">
        <is>
          <t>CFS</t>
        </is>
      </c>
      <c r="H659" s="24" t="inlineStr">
        <is>
          <t>SCE</t>
        </is>
      </c>
      <c r="I659" s="24" t="inlineStr">
        <is>
          <t>자본변동표</t>
        </is>
      </c>
      <c r="J659" s="24" t="inlineStr">
        <is>
          <t>ifrs-full_PurchaseOfTreasuryShares</t>
        </is>
      </c>
      <c r="K659" s="24" t="inlineStr">
        <is>
          <t>자기주식 취득</t>
        </is>
      </c>
      <c r="L659" s="24" t="inlineStr">
        <is>
          <t>자본 [구성요소]|지배기업의 소유주에게 귀속되는 지분 [구성요소]|기타자본구성요소 [구성요소]</t>
        </is>
      </c>
      <c r="M659" s="24" t="inlineStr">
        <is>
          <t>제 44 기</t>
        </is>
      </c>
      <c r="N659" s="24" t="inlineStr">
        <is>
          <t>-50503615450.0</t>
        </is>
      </c>
      <c r="O659" s="24" t="inlineStr">
        <is>
          <t>-19995806500.0</t>
        </is>
      </c>
      <c r="P659" s="24" t="inlineStr">
        <is>
          <t>KRW</t>
        </is>
      </c>
      <c r="Q659" s="24" t="inlineStr">
        <is>
          <t>13</t>
        </is>
      </c>
    </row>
    <row r="660" ht="24" customHeight="1">
      <c r="A660" s="29" t="inlineStr">
        <is>
          <t>OpenDART_fnlttSinglAcntAll</t>
        </is>
      </c>
      <c r="B660" s="29" t="inlineStr">
        <is>
          <t>00161383</t>
        </is>
      </c>
      <c r="C660" s="29" t="inlineStr">
        <is>
          <t>한미반도체</t>
        </is>
      </c>
      <c r="D660" s="29" t="inlineStr">
        <is>
          <t>hanmi</t>
        </is>
      </c>
      <c r="E660" s="29" t="inlineStr">
        <is>
          <t>042700</t>
        </is>
      </c>
      <c r="F660" s="29" t="inlineStr">
        <is>
          <t>2023</t>
        </is>
      </c>
      <c r="G660" s="29" t="inlineStr">
        <is>
          <t>CFS</t>
        </is>
      </c>
      <c r="H660" s="29" t="inlineStr">
        <is>
          <t>SCE</t>
        </is>
      </c>
      <c r="I660" s="29" t="inlineStr">
        <is>
          <t>자본변동표</t>
        </is>
      </c>
      <c r="J660" s="29" t="inlineStr">
        <is>
          <t>ifrs-full_PurchaseOfTreasuryShares</t>
        </is>
      </c>
      <c r="K660" s="29" t="inlineStr">
        <is>
          <t>자기주식 취득</t>
        </is>
      </c>
      <c r="L660" s="29" t="inlineStr">
        <is>
          <t>자본 [구성요소]|지배기업의 소유주에게 귀속되는 지분 [구성요소]|기타포괄손익누계액 [구성요소]</t>
        </is>
      </c>
      <c r="M660" s="29" t="inlineStr">
        <is>
          <t>제 44 기</t>
        </is>
      </c>
      <c r="N660" s="29" t="inlineStr">
        <is>
          <t>0.0</t>
        </is>
      </c>
      <c r="O660" s="29" t="inlineStr">
        <is>
          <t>0.0</t>
        </is>
      </c>
      <c r="P660" s="29" t="inlineStr">
        <is>
          <t>KRW</t>
        </is>
      </c>
      <c r="Q660" s="29" t="inlineStr">
        <is>
          <t>13</t>
        </is>
      </c>
    </row>
    <row r="661" ht="24" customHeight="1">
      <c r="A661" s="24" t="inlineStr">
        <is>
          <t>OpenDART_fnlttSinglAcntAll</t>
        </is>
      </c>
      <c r="B661" s="24" t="inlineStr">
        <is>
          <t>00161383</t>
        </is>
      </c>
      <c r="C661" s="24" t="inlineStr">
        <is>
          <t>한미반도체</t>
        </is>
      </c>
      <c r="D661" s="24" t="inlineStr">
        <is>
          <t>hanmi</t>
        </is>
      </c>
      <c r="E661" s="24" t="inlineStr">
        <is>
          <t>042700</t>
        </is>
      </c>
      <c r="F661" s="24" t="inlineStr">
        <is>
          <t>2023</t>
        </is>
      </c>
      <c r="G661" s="24" t="inlineStr">
        <is>
          <t>CFS</t>
        </is>
      </c>
      <c r="H661" s="24" t="inlineStr">
        <is>
          <t>SCE</t>
        </is>
      </c>
      <c r="I661" s="24" t="inlineStr">
        <is>
          <t>자본변동표</t>
        </is>
      </c>
      <c r="J661" s="24" t="inlineStr">
        <is>
          <t>ifrs-full_PurchaseOfTreasuryShares</t>
        </is>
      </c>
      <c r="K661" s="24" t="inlineStr">
        <is>
          <t>자기주식 취득</t>
        </is>
      </c>
      <c r="L661" s="24" t="inlineStr">
        <is>
          <t>자본 [구성요소]|지배기업의 소유주에게 귀속되는 지분 [구성요소]|이익잉여금 [구성요소]</t>
        </is>
      </c>
      <c r="M661" s="24" t="inlineStr">
        <is>
          <t>제 44 기</t>
        </is>
      </c>
      <c r="N661" s="24" t="inlineStr">
        <is>
          <t>0.0</t>
        </is>
      </c>
      <c r="O661" s="24" t="inlineStr">
        <is>
          <t>0.0</t>
        </is>
      </c>
      <c r="P661" s="24" t="inlineStr">
        <is>
          <t>KRW</t>
        </is>
      </c>
      <c r="Q661" s="24" t="inlineStr">
        <is>
          <t>13</t>
        </is>
      </c>
    </row>
    <row r="662" ht="24" customHeight="1">
      <c r="A662" s="29" t="inlineStr">
        <is>
          <t>OpenDART_fnlttSinglAcntAll</t>
        </is>
      </c>
      <c r="B662" s="29" t="inlineStr">
        <is>
          <t>00161383</t>
        </is>
      </c>
      <c r="C662" s="29" t="inlineStr">
        <is>
          <t>한미반도체</t>
        </is>
      </c>
      <c r="D662" s="29" t="inlineStr">
        <is>
          <t>hanmi</t>
        </is>
      </c>
      <c r="E662" s="29" t="inlineStr">
        <is>
          <t>042700</t>
        </is>
      </c>
      <c r="F662" s="29" t="inlineStr">
        <is>
          <t>2023</t>
        </is>
      </c>
      <c r="G662" s="29" t="inlineStr">
        <is>
          <t>CFS</t>
        </is>
      </c>
      <c r="H662" s="29" t="inlineStr">
        <is>
          <t>SCE</t>
        </is>
      </c>
      <c r="I662" s="29" t="inlineStr">
        <is>
          <t>자본변동표</t>
        </is>
      </c>
      <c r="J662" s="29" t="inlineStr">
        <is>
          <t>ifrs-full_PurchaseOfTreasuryShares</t>
        </is>
      </c>
      <c r="K662" s="29" t="inlineStr">
        <is>
          <t>자기주식 취득</t>
        </is>
      </c>
      <c r="L662" s="29" t="inlineStr">
        <is>
          <t>자본 [구성요소]|지배기업의 소유주에게 귀속되는 지분 [구성요소]|자본금 [구성요소]</t>
        </is>
      </c>
      <c r="M662" s="29" t="inlineStr">
        <is>
          <t>제 44 기</t>
        </is>
      </c>
      <c r="N662" s="29" t="inlineStr">
        <is>
          <t>0.0</t>
        </is>
      </c>
      <c r="O662" s="29" t="inlineStr">
        <is>
          <t>0.0</t>
        </is>
      </c>
      <c r="P662" s="29" t="inlineStr">
        <is>
          <t>KRW</t>
        </is>
      </c>
      <c r="Q662" s="29" t="inlineStr">
        <is>
          <t>13</t>
        </is>
      </c>
    </row>
    <row r="663" ht="24" customHeight="1">
      <c r="A663" s="24" t="inlineStr">
        <is>
          <t>OpenDART_fnlttSinglAcntAll</t>
        </is>
      </c>
      <c r="B663" s="24" t="inlineStr">
        <is>
          <t>00161383</t>
        </is>
      </c>
      <c r="C663" s="24" t="inlineStr">
        <is>
          <t>한미반도체</t>
        </is>
      </c>
      <c r="D663" s="24" t="inlineStr">
        <is>
          <t>hanmi</t>
        </is>
      </c>
      <c r="E663" s="24" t="inlineStr">
        <is>
          <t>042700</t>
        </is>
      </c>
      <c r="F663" s="24" t="inlineStr">
        <is>
          <t>2023</t>
        </is>
      </c>
      <c r="G663" s="24" t="inlineStr">
        <is>
          <t>CFS</t>
        </is>
      </c>
      <c r="H663" s="24" t="inlineStr">
        <is>
          <t>SCE</t>
        </is>
      </c>
      <c r="I663" s="24" t="inlineStr">
        <is>
          <t>자본변동표</t>
        </is>
      </c>
      <c r="J663" s="24" t="inlineStr">
        <is>
          <t>ifrs-full_PurchaseOfTreasuryShares</t>
        </is>
      </c>
      <c r="K663" s="24" t="inlineStr">
        <is>
          <t>자기주식 취득</t>
        </is>
      </c>
      <c r="L663" s="24" t="inlineStr">
        <is>
          <t>자본 [구성요소]|지배기업의 소유주에게 귀속되는 지분 [구성요소]|자본잉여금 [구성요소]</t>
        </is>
      </c>
      <c r="M663" s="24" t="inlineStr">
        <is>
          <t>제 44 기</t>
        </is>
      </c>
      <c r="N663" s="24" t="inlineStr">
        <is>
          <t>0.0</t>
        </is>
      </c>
      <c r="O663" s="24" t="inlineStr">
        <is>
          <t>0.0</t>
        </is>
      </c>
      <c r="P663" s="24" t="inlineStr">
        <is>
          <t>KRW</t>
        </is>
      </c>
      <c r="Q663" s="24" t="inlineStr">
        <is>
          <t>13</t>
        </is>
      </c>
    </row>
    <row r="664" ht="24" customHeight="1">
      <c r="A664" s="29" t="inlineStr">
        <is>
          <t>OpenDART_fnlttSinglAcntAll</t>
        </is>
      </c>
      <c r="B664" s="29" t="inlineStr">
        <is>
          <t>00161383</t>
        </is>
      </c>
      <c r="C664" s="29" t="inlineStr">
        <is>
          <t>한미반도체</t>
        </is>
      </c>
      <c r="D664" s="29" t="inlineStr">
        <is>
          <t>hanmi</t>
        </is>
      </c>
      <c r="E664" s="29" t="inlineStr">
        <is>
          <t>042700</t>
        </is>
      </c>
      <c r="F664" s="29" t="inlineStr">
        <is>
          <t>2023</t>
        </is>
      </c>
      <c r="G664" s="29" t="inlineStr">
        <is>
          <t>CFS</t>
        </is>
      </c>
      <c r="H664" s="29" t="inlineStr">
        <is>
          <t>SCE</t>
        </is>
      </c>
      <c r="I664" s="29" t="inlineStr">
        <is>
          <t>자본변동표</t>
        </is>
      </c>
      <c r="J664" s="29" t="inlineStr">
        <is>
          <t>ifrs-full_ShareOfOtherComprehensiveIncomeOfAssociatesAndJointVenturesAccountedForUsingEquityMethod</t>
        </is>
      </c>
      <c r="K664" s="29" t="inlineStr">
        <is>
          <t>지분법자본변동</t>
        </is>
      </c>
      <c r="L664" s="29" t="inlineStr">
        <is>
          <t>연결재무제표 [member]</t>
        </is>
      </c>
      <c r="M664" s="29" t="inlineStr">
        <is>
          <t>제 44 기</t>
        </is>
      </c>
      <c r="N664" s="29" t="inlineStr">
        <is>
          <t>-768949133.0</t>
        </is>
      </c>
      <c r="O664" s="29" t="inlineStr">
        <is>
          <t>893153470.0</t>
        </is>
      </c>
      <c r="P664" s="29" t="inlineStr">
        <is>
          <t>KRW</t>
        </is>
      </c>
      <c r="Q664" s="29" t="inlineStr">
        <is>
          <t>14</t>
        </is>
      </c>
    </row>
    <row r="665" ht="24" customHeight="1">
      <c r="A665" s="24" t="inlineStr">
        <is>
          <t>OpenDART_fnlttSinglAcntAll</t>
        </is>
      </c>
      <c r="B665" s="24" t="inlineStr">
        <is>
          <t>00161383</t>
        </is>
      </c>
      <c r="C665" s="24" t="inlineStr">
        <is>
          <t>한미반도체</t>
        </is>
      </c>
      <c r="D665" s="24" t="inlineStr">
        <is>
          <t>hanmi</t>
        </is>
      </c>
      <c r="E665" s="24" t="inlineStr">
        <is>
          <t>042700</t>
        </is>
      </c>
      <c r="F665" s="24" t="inlineStr">
        <is>
          <t>2023</t>
        </is>
      </c>
      <c r="G665" s="24" t="inlineStr">
        <is>
          <t>CFS</t>
        </is>
      </c>
      <c r="H665" s="24" t="inlineStr">
        <is>
          <t>SCE</t>
        </is>
      </c>
      <c r="I665" s="24" t="inlineStr">
        <is>
          <t>자본변동표</t>
        </is>
      </c>
      <c r="J665" s="24" t="inlineStr">
        <is>
          <t>ifrs-full_ShareOfOtherComprehensiveIncomeOfAssociatesAndJointVenturesAccountedForUsingEquityMethod</t>
        </is>
      </c>
      <c r="K665" s="24" t="inlineStr">
        <is>
          <t>지분법자본변동</t>
        </is>
      </c>
      <c r="L665" s="24" t="inlineStr">
        <is>
          <t>자본 [구성요소]|지배기업의 소유주에게 귀속되는 지분 [구성요소]</t>
        </is>
      </c>
      <c r="M665" s="24" t="inlineStr">
        <is>
          <t>제 44 기</t>
        </is>
      </c>
      <c r="N665" s="24" t="inlineStr">
        <is>
          <t>-768949133.0</t>
        </is>
      </c>
      <c r="O665" s="24" t="inlineStr">
        <is>
          <t>893153470.0</t>
        </is>
      </c>
      <c r="P665" s="24" t="inlineStr">
        <is>
          <t>KRW</t>
        </is>
      </c>
      <c r="Q665" s="24" t="inlineStr">
        <is>
          <t>14</t>
        </is>
      </c>
    </row>
    <row r="666" ht="24" customHeight="1">
      <c r="A666" s="29" t="inlineStr">
        <is>
          <t>OpenDART_fnlttSinglAcntAll</t>
        </is>
      </c>
      <c r="B666" s="29" t="inlineStr">
        <is>
          <t>00161383</t>
        </is>
      </c>
      <c r="C666" s="29" t="inlineStr">
        <is>
          <t>한미반도체</t>
        </is>
      </c>
      <c r="D666" s="29" t="inlineStr">
        <is>
          <t>hanmi</t>
        </is>
      </c>
      <c r="E666" s="29" t="inlineStr">
        <is>
          <t>042700</t>
        </is>
      </c>
      <c r="F666" s="29" t="inlineStr">
        <is>
          <t>2023</t>
        </is>
      </c>
      <c r="G666" s="29" t="inlineStr">
        <is>
          <t>CFS</t>
        </is>
      </c>
      <c r="H666" s="29" t="inlineStr">
        <is>
          <t>SCE</t>
        </is>
      </c>
      <c r="I666" s="29" t="inlineStr">
        <is>
          <t>자본변동표</t>
        </is>
      </c>
      <c r="J666" s="29" t="inlineStr">
        <is>
          <t>ifrs-full_ShareOfOtherComprehensiveIncomeOfAssociatesAndJointVenturesAccountedForUsingEquityMethod</t>
        </is>
      </c>
      <c r="K666" s="29" t="inlineStr">
        <is>
          <t>지분법자본변동</t>
        </is>
      </c>
      <c r="L666" s="29" t="inlineStr">
        <is>
          <t>자본 [구성요소]|지배기업의 소유주에게 귀속되는 지분 [구성요소]|기타자본구성요소 [구성요소]</t>
        </is>
      </c>
      <c r="M666" s="29" t="inlineStr">
        <is>
          <t>제 44 기</t>
        </is>
      </c>
      <c r="N666" s="29" t="inlineStr">
        <is>
          <t>0.0</t>
        </is>
      </c>
      <c r="O666" s="29" t="inlineStr">
        <is>
          <t>0.0</t>
        </is>
      </c>
      <c r="P666" s="29" t="inlineStr">
        <is>
          <t>KRW</t>
        </is>
      </c>
      <c r="Q666" s="29" t="inlineStr">
        <is>
          <t>14</t>
        </is>
      </c>
    </row>
    <row r="667" ht="24" customHeight="1">
      <c r="A667" s="24" t="inlineStr">
        <is>
          <t>OpenDART_fnlttSinglAcntAll</t>
        </is>
      </c>
      <c r="B667" s="24" t="inlineStr">
        <is>
          <t>00161383</t>
        </is>
      </c>
      <c r="C667" s="24" t="inlineStr">
        <is>
          <t>한미반도체</t>
        </is>
      </c>
      <c r="D667" s="24" t="inlineStr">
        <is>
          <t>hanmi</t>
        </is>
      </c>
      <c r="E667" s="24" t="inlineStr">
        <is>
          <t>042700</t>
        </is>
      </c>
      <c r="F667" s="24" t="inlineStr">
        <is>
          <t>2023</t>
        </is>
      </c>
      <c r="G667" s="24" t="inlineStr">
        <is>
          <t>CFS</t>
        </is>
      </c>
      <c r="H667" s="24" t="inlineStr">
        <is>
          <t>SCE</t>
        </is>
      </c>
      <c r="I667" s="24" t="inlineStr">
        <is>
          <t>자본변동표</t>
        </is>
      </c>
      <c r="J667" s="24" t="inlineStr">
        <is>
          <t>ifrs-full_ShareOfOtherComprehensiveIncomeOfAssociatesAndJointVenturesAccountedForUsingEquityMethod</t>
        </is>
      </c>
      <c r="K667" s="24" t="inlineStr">
        <is>
          <t>지분법자본변동</t>
        </is>
      </c>
      <c r="L667" s="24" t="inlineStr">
        <is>
          <t>자본 [구성요소]|지배기업의 소유주에게 귀속되는 지분 [구성요소]|기타포괄손익누계액 [구성요소]</t>
        </is>
      </c>
      <c r="M667" s="24" t="inlineStr">
        <is>
          <t>제 44 기</t>
        </is>
      </c>
      <c r="N667" s="24" t="inlineStr">
        <is>
          <t>-768949133.0</t>
        </is>
      </c>
      <c r="O667" s="24" t="inlineStr">
        <is>
          <t>893153470.0</t>
        </is>
      </c>
      <c r="P667" s="24" t="inlineStr">
        <is>
          <t>KRW</t>
        </is>
      </c>
      <c r="Q667" s="24" t="inlineStr">
        <is>
          <t>14</t>
        </is>
      </c>
    </row>
    <row r="668" ht="24" customHeight="1">
      <c r="A668" s="29" t="inlineStr">
        <is>
          <t>OpenDART_fnlttSinglAcntAll</t>
        </is>
      </c>
      <c r="B668" s="29" t="inlineStr">
        <is>
          <t>00161383</t>
        </is>
      </c>
      <c r="C668" s="29" t="inlineStr">
        <is>
          <t>한미반도체</t>
        </is>
      </c>
      <c r="D668" s="29" t="inlineStr">
        <is>
          <t>hanmi</t>
        </is>
      </c>
      <c r="E668" s="29" t="inlineStr">
        <is>
          <t>042700</t>
        </is>
      </c>
      <c r="F668" s="29" t="inlineStr">
        <is>
          <t>2023</t>
        </is>
      </c>
      <c r="G668" s="29" t="inlineStr">
        <is>
          <t>CFS</t>
        </is>
      </c>
      <c r="H668" s="29" t="inlineStr">
        <is>
          <t>SCE</t>
        </is>
      </c>
      <c r="I668" s="29" t="inlineStr">
        <is>
          <t>자본변동표</t>
        </is>
      </c>
      <c r="J668" s="29" t="inlineStr">
        <is>
          <t>ifrs-full_ShareOfOtherComprehensiveIncomeOfAssociatesAndJointVenturesAccountedForUsingEquityMethod</t>
        </is>
      </c>
      <c r="K668" s="29" t="inlineStr">
        <is>
          <t>지분법자본변동</t>
        </is>
      </c>
      <c r="L668" s="29" t="inlineStr">
        <is>
          <t>자본 [구성요소]|지배기업의 소유주에게 귀속되는 지분 [구성요소]|이익잉여금 [구성요소]</t>
        </is>
      </c>
      <c r="M668" s="29" t="inlineStr">
        <is>
          <t>제 44 기</t>
        </is>
      </c>
      <c r="N668" s="29" t="inlineStr">
        <is>
          <t>0.0</t>
        </is>
      </c>
      <c r="O668" s="29" t="inlineStr">
        <is>
          <t>0.0</t>
        </is>
      </c>
      <c r="P668" s="29" t="inlineStr">
        <is>
          <t>KRW</t>
        </is>
      </c>
      <c r="Q668" s="29" t="inlineStr">
        <is>
          <t>14</t>
        </is>
      </c>
    </row>
    <row r="669" ht="24" customHeight="1">
      <c r="A669" s="24" t="inlineStr">
        <is>
          <t>OpenDART_fnlttSinglAcntAll</t>
        </is>
      </c>
      <c r="B669" s="24" t="inlineStr">
        <is>
          <t>00161383</t>
        </is>
      </c>
      <c r="C669" s="24" t="inlineStr">
        <is>
          <t>한미반도체</t>
        </is>
      </c>
      <c r="D669" s="24" t="inlineStr">
        <is>
          <t>hanmi</t>
        </is>
      </c>
      <c r="E669" s="24" t="inlineStr">
        <is>
          <t>042700</t>
        </is>
      </c>
      <c r="F669" s="24" t="inlineStr">
        <is>
          <t>2023</t>
        </is>
      </c>
      <c r="G669" s="24" t="inlineStr">
        <is>
          <t>CFS</t>
        </is>
      </c>
      <c r="H669" s="24" t="inlineStr">
        <is>
          <t>SCE</t>
        </is>
      </c>
      <c r="I669" s="24" t="inlineStr">
        <is>
          <t>자본변동표</t>
        </is>
      </c>
      <c r="J669" s="24" t="inlineStr">
        <is>
          <t>ifrs-full_ShareOfOtherComprehensiveIncomeOfAssociatesAndJointVenturesAccountedForUsingEquityMethod</t>
        </is>
      </c>
      <c r="K669" s="24" t="inlineStr">
        <is>
          <t>지분법자본변동</t>
        </is>
      </c>
      <c r="L669" s="24" t="inlineStr">
        <is>
          <t>자본 [구성요소]|지배기업의 소유주에게 귀속되는 지분 [구성요소]|자본금 [구성요소]</t>
        </is>
      </c>
      <c r="M669" s="24" t="inlineStr">
        <is>
          <t>제 44 기</t>
        </is>
      </c>
      <c r="N669" s="24" t="inlineStr">
        <is>
          <t>0.0</t>
        </is>
      </c>
      <c r="O669" s="24" t="inlineStr">
        <is>
          <t>0.0</t>
        </is>
      </c>
      <c r="P669" s="24" t="inlineStr">
        <is>
          <t>KRW</t>
        </is>
      </c>
      <c r="Q669" s="24" t="inlineStr">
        <is>
          <t>14</t>
        </is>
      </c>
    </row>
    <row r="670" ht="24" customHeight="1">
      <c r="A670" s="29" t="inlineStr">
        <is>
          <t>OpenDART_fnlttSinglAcntAll</t>
        </is>
      </c>
      <c r="B670" s="29" t="inlineStr">
        <is>
          <t>00161383</t>
        </is>
      </c>
      <c r="C670" s="29" t="inlineStr">
        <is>
          <t>한미반도체</t>
        </is>
      </c>
      <c r="D670" s="29" t="inlineStr">
        <is>
          <t>hanmi</t>
        </is>
      </c>
      <c r="E670" s="29" t="inlineStr">
        <is>
          <t>042700</t>
        </is>
      </c>
      <c r="F670" s="29" t="inlineStr">
        <is>
          <t>2023</t>
        </is>
      </c>
      <c r="G670" s="29" t="inlineStr">
        <is>
          <t>CFS</t>
        </is>
      </c>
      <c r="H670" s="29" t="inlineStr">
        <is>
          <t>SCE</t>
        </is>
      </c>
      <c r="I670" s="29" t="inlineStr">
        <is>
          <t>자본변동표</t>
        </is>
      </c>
      <c r="J670" s="29" t="inlineStr">
        <is>
          <t>ifrs-full_ShareOfOtherComprehensiveIncomeOfAssociatesAndJointVenturesAccountedForUsingEquityMethod</t>
        </is>
      </c>
      <c r="K670" s="29" t="inlineStr">
        <is>
          <t>지분법자본변동</t>
        </is>
      </c>
      <c r="L670" s="29" t="inlineStr">
        <is>
          <t>자본 [구성요소]|지배기업의 소유주에게 귀속되는 지분 [구성요소]|자본잉여금 [구성요소]</t>
        </is>
      </c>
      <c r="M670" s="29" t="inlineStr">
        <is>
          <t>제 44 기</t>
        </is>
      </c>
      <c r="N670" s="29" t="inlineStr">
        <is>
          <t>0.0</t>
        </is>
      </c>
      <c r="O670" s="29" t="inlineStr">
        <is>
          <t>0.0</t>
        </is>
      </c>
      <c r="P670" s="29" t="inlineStr">
        <is>
          <t>KRW</t>
        </is>
      </c>
      <c r="Q670" s="29" t="inlineStr">
        <is>
          <t>14</t>
        </is>
      </c>
    </row>
    <row r="671" ht="24" customHeight="1">
      <c r="A671" s="24" t="inlineStr">
        <is>
          <t>OpenDART_fnlttSinglAcntAll</t>
        </is>
      </c>
      <c r="B671" s="24" t="inlineStr">
        <is>
          <t>00161383</t>
        </is>
      </c>
      <c r="C671" s="24" t="inlineStr">
        <is>
          <t>한미반도체</t>
        </is>
      </c>
      <c r="D671" s="24" t="inlineStr">
        <is>
          <t>hanmi</t>
        </is>
      </c>
      <c r="E671" s="24" t="inlineStr">
        <is>
          <t>042700</t>
        </is>
      </c>
      <c r="F671" s="24" t="inlineStr">
        <is>
          <t>2024</t>
        </is>
      </c>
      <c r="G671" s="24" t="inlineStr">
        <is>
          <t>CFS</t>
        </is>
      </c>
      <c r="H671" s="24" t="inlineStr">
        <is>
          <t>BS</t>
        </is>
      </c>
      <c r="I671" s="24" t="inlineStr">
        <is>
          <t>재무상태표</t>
        </is>
      </c>
      <c r="J671" s="24" t="inlineStr">
        <is>
          <t>ifrs-full_Assets</t>
        </is>
      </c>
      <c r="K671" s="24" t="inlineStr">
        <is>
          <t>자산총계</t>
        </is>
      </c>
      <c r="L671" s="24" t="inlineStr">
        <is>
          <t>-</t>
        </is>
      </c>
      <c r="M671" s="24" t="inlineStr">
        <is>
          <t>제 45 기</t>
        </is>
      </c>
      <c r="N671" s="24" t="inlineStr">
        <is>
          <t>710872366678.0</t>
        </is>
      </c>
      <c r="O671" s="24" t="inlineStr">
        <is>
          <t>723839103741.0</t>
        </is>
      </c>
      <c r="P671" s="24" t="inlineStr">
        <is>
          <t>KRW</t>
        </is>
      </c>
      <c r="Q671" s="24" t="inlineStr">
        <is>
          <t>7</t>
        </is>
      </c>
    </row>
    <row r="672" ht="24" customHeight="1">
      <c r="A672" s="29" t="inlineStr">
        <is>
          <t>OpenDART_fnlttSinglAcntAll</t>
        </is>
      </c>
      <c r="B672" s="29" t="inlineStr">
        <is>
          <t>00161383</t>
        </is>
      </c>
      <c r="C672" s="29" t="inlineStr">
        <is>
          <t>한미반도체</t>
        </is>
      </c>
      <c r="D672" s="29" t="inlineStr">
        <is>
          <t>hanmi</t>
        </is>
      </c>
      <c r="E672" s="29" t="inlineStr">
        <is>
          <t>042700</t>
        </is>
      </c>
      <c r="F672" s="29" t="inlineStr">
        <is>
          <t>2024</t>
        </is>
      </c>
      <c r="G672" s="29" t="inlineStr">
        <is>
          <t>CFS</t>
        </is>
      </c>
      <c r="H672" s="29" t="inlineStr">
        <is>
          <t>BS</t>
        </is>
      </c>
      <c r="I672" s="29" t="inlineStr">
        <is>
          <t>재무상태표</t>
        </is>
      </c>
      <c r="J672" s="29" t="inlineStr">
        <is>
          <t>ifrs-full_CurrentAssets</t>
        </is>
      </c>
      <c r="K672" s="29" t="inlineStr">
        <is>
          <t>유동자산</t>
        </is>
      </c>
      <c r="L672" s="29" t="inlineStr">
        <is>
          <t>-</t>
        </is>
      </c>
      <c r="M672" s="29" t="inlineStr">
        <is>
          <t>제 45 기</t>
        </is>
      </c>
      <c r="N672" s="29" t="inlineStr">
        <is>
          <t>407791209288.0</t>
        </is>
      </c>
      <c r="O672" s="29" t="inlineStr">
        <is>
          <t>319391328603.0</t>
        </is>
      </c>
      <c r="P672" s="29" t="inlineStr">
        <is>
          <t>KRW</t>
        </is>
      </c>
      <c r="Q672" s="29" t="inlineStr">
        <is>
          <t>8</t>
        </is>
      </c>
    </row>
    <row r="673" ht="24" customHeight="1">
      <c r="A673" s="24" t="inlineStr">
        <is>
          <t>OpenDART_fnlttSinglAcntAll</t>
        </is>
      </c>
      <c r="B673" s="24" t="inlineStr">
        <is>
          <t>00161383</t>
        </is>
      </c>
      <c r="C673" s="24" t="inlineStr">
        <is>
          <t>한미반도체</t>
        </is>
      </c>
      <c r="D673" s="24" t="inlineStr">
        <is>
          <t>hanmi</t>
        </is>
      </c>
      <c r="E673" s="24" t="inlineStr">
        <is>
          <t>042700</t>
        </is>
      </c>
      <c r="F673" s="24" t="inlineStr">
        <is>
          <t>2024</t>
        </is>
      </c>
      <c r="G673" s="24" t="inlineStr">
        <is>
          <t>CFS</t>
        </is>
      </c>
      <c r="H673" s="24" t="inlineStr">
        <is>
          <t>BS</t>
        </is>
      </c>
      <c r="I673" s="24" t="inlineStr">
        <is>
          <t>재무상태표</t>
        </is>
      </c>
      <c r="J673" s="24" t="inlineStr">
        <is>
          <t>ifrs-full_CashAndCashEquivalents</t>
        </is>
      </c>
      <c r="K673" s="24" t="inlineStr">
        <is>
          <t>현금및현금성자산</t>
        </is>
      </c>
      <c r="L673" s="24" t="inlineStr">
        <is>
          <t>-</t>
        </is>
      </c>
      <c r="M673" s="24" t="inlineStr">
        <is>
          <t>제 45 기</t>
        </is>
      </c>
      <c r="N673" s="24" t="inlineStr">
        <is>
          <t>103966003566.0</t>
        </is>
      </c>
      <c r="O673" s="24" t="inlineStr">
        <is>
          <t>179732421459.0</t>
        </is>
      </c>
      <c r="P673" s="24" t="inlineStr">
        <is>
          <t>KRW</t>
        </is>
      </c>
      <c r="Q673" s="24" t="inlineStr">
        <is>
          <t>9</t>
        </is>
      </c>
    </row>
    <row r="674" ht="24" customHeight="1">
      <c r="A674" s="29" t="inlineStr">
        <is>
          <t>OpenDART_fnlttSinglAcntAll</t>
        </is>
      </c>
      <c r="B674" s="29" t="inlineStr">
        <is>
          <t>00161383</t>
        </is>
      </c>
      <c r="C674" s="29" t="inlineStr">
        <is>
          <t>한미반도체</t>
        </is>
      </c>
      <c r="D674" s="29" t="inlineStr">
        <is>
          <t>hanmi</t>
        </is>
      </c>
      <c r="E674" s="29" t="inlineStr">
        <is>
          <t>042700</t>
        </is>
      </c>
      <c r="F674" s="29" t="inlineStr">
        <is>
          <t>2024</t>
        </is>
      </c>
      <c r="G674" s="29" t="inlineStr">
        <is>
          <t>CFS</t>
        </is>
      </c>
      <c r="H674" s="29" t="inlineStr">
        <is>
          <t>BS</t>
        </is>
      </c>
      <c r="I674" s="29" t="inlineStr">
        <is>
          <t>재무상태표</t>
        </is>
      </c>
      <c r="J674" s="29" t="inlineStr">
        <is>
          <t>ifrs-full_CurrentTradeReceivables</t>
        </is>
      </c>
      <c r="K674" s="29" t="inlineStr">
        <is>
          <t>유동매출채권</t>
        </is>
      </c>
      <c r="L674" s="29" t="inlineStr">
        <is>
          <t>-</t>
        </is>
      </c>
      <c r="M674" s="29" t="inlineStr">
        <is>
          <t>제 45 기</t>
        </is>
      </c>
      <c r="N674" s="29" t="inlineStr">
        <is>
          <t>146876971415.0</t>
        </is>
      </c>
      <c r="O674" s="29" t="inlineStr">
        <is>
          <t>40648496938.0</t>
        </is>
      </c>
      <c r="P674" s="29" t="inlineStr">
        <is>
          <t>KRW</t>
        </is>
      </c>
      <c r="Q674" s="29" t="inlineStr">
        <is>
          <t>10</t>
        </is>
      </c>
    </row>
    <row r="675" ht="24" customHeight="1">
      <c r="A675" s="24" t="inlineStr">
        <is>
          <t>OpenDART_fnlttSinglAcntAll</t>
        </is>
      </c>
      <c r="B675" s="24" t="inlineStr">
        <is>
          <t>00161383</t>
        </is>
      </c>
      <c r="C675" s="24" t="inlineStr">
        <is>
          <t>한미반도체</t>
        </is>
      </c>
      <c r="D675" s="24" t="inlineStr">
        <is>
          <t>hanmi</t>
        </is>
      </c>
      <c r="E675" s="24" t="inlineStr">
        <is>
          <t>042700</t>
        </is>
      </c>
      <c r="F675" s="24" t="inlineStr">
        <is>
          <t>2024</t>
        </is>
      </c>
      <c r="G675" s="24" t="inlineStr">
        <is>
          <t>CFS</t>
        </is>
      </c>
      <c r="H675" s="24" t="inlineStr">
        <is>
          <t>BS</t>
        </is>
      </c>
      <c r="I675" s="24" t="inlineStr">
        <is>
          <t>재무상태표</t>
        </is>
      </c>
      <c r="J675" s="24" t="inlineStr">
        <is>
          <t>ifrs-full_Inventories</t>
        </is>
      </c>
      <c r="K675" s="24" t="inlineStr">
        <is>
          <t>유동재고자산</t>
        </is>
      </c>
      <c r="L675" s="24" t="inlineStr">
        <is>
          <t>-</t>
        </is>
      </c>
      <c r="M675" s="24" t="inlineStr">
        <is>
          <t>제 45 기</t>
        </is>
      </c>
      <c r="N675" s="24" t="inlineStr">
        <is>
          <t>153401207241.0</t>
        </is>
      </c>
      <c r="O675" s="24" t="inlineStr">
        <is>
          <t>95433336170.0</t>
        </is>
      </c>
      <c r="P675" s="24" t="inlineStr">
        <is>
          <t>KRW</t>
        </is>
      </c>
      <c r="Q675" s="24" t="inlineStr">
        <is>
          <t>11</t>
        </is>
      </c>
    </row>
    <row r="676" ht="24" customHeight="1">
      <c r="A676" s="29" t="inlineStr">
        <is>
          <t>OpenDART_fnlttSinglAcntAll</t>
        </is>
      </c>
      <c r="B676" s="29" t="inlineStr">
        <is>
          <t>00161383</t>
        </is>
      </c>
      <c r="C676" s="29" t="inlineStr">
        <is>
          <t>한미반도체</t>
        </is>
      </c>
      <c r="D676" s="29" t="inlineStr">
        <is>
          <t>hanmi</t>
        </is>
      </c>
      <c r="E676" s="29" t="inlineStr">
        <is>
          <t>042700</t>
        </is>
      </c>
      <c r="F676" s="29" t="inlineStr">
        <is>
          <t>2024</t>
        </is>
      </c>
      <c r="G676" s="29" t="inlineStr">
        <is>
          <t>CFS</t>
        </is>
      </c>
      <c r="H676" s="29" t="inlineStr">
        <is>
          <t>BS</t>
        </is>
      </c>
      <c r="I676" s="29" t="inlineStr">
        <is>
          <t>재무상태표</t>
        </is>
      </c>
      <c r="J676" s="29" t="inlineStr">
        <is>
          <t>ifrs-full_OtherCurrentAssets</t>
        </is>
      </c>
      <c r="K676" s="29" t="inlineStr">
        <is>
          <t>기타유동자산</t>
        </is>
      </c>
      <c r="L676" s="29" t="inlineStr">
        <is>
          <t>-</t>
        </is>
      </c>
      <c r="M676" s="29" t="inlineStr">
        <is>
          <t>제 45 기</t>
        </is>
      </c>
      <c r="N676" s="29" t="inlineStr">
        <is>
          <t>2467827147.0</t>
        </is>
      </c>
      <c r="O676" s="29" t="inlineStr">
        <is>
          <t>2623538199.0</t>
        </is>
      </c>
      <c r="P676" s="29" t="inlineStr">
        <is>
          <t>KRW</t>
        </is>
      </c>
      <c r="Q676" s="29" t="inlineStr">
        <is>
          <t>12</t>
        </is>
      </c>
    </row>
    <row r="677" ht="24" customHeight="1">
      <c r="A677" s="24" t="inlineStr">
        <is>
          <t>OpenDART_fnlttSinglAcntAll</t>
        </is>
      </c>
      <c r="B677" s="24" t="inlineStr">
        <is>
          <t>00161383</t>
        </is>
      </c>
      <c r="C677" s="24" t="inlineStr">
        <is>
          <t>한미반도체</t>
        </is>
      </c>
      <c r="D677" s="24" t="inlineStr">
        <is>
          <t>hanmi</t>
        </is>
      </c>
      <c r="E677" s="24" t="inlineStr">
        <is>
          <t>042700</t>
        </is>
      </c>
      <c r="F677" s="24" t="inlineStr">
        <is>
          <t>2024</t>
        </is>
      </c>
      <c r="G677" s="24" t="inlineStr">
        <is>
          <t>CFS</t>
        </is>
      </c>
      <c r="H677" s="24" t="inlineStr">
        <is>
          <t>BS</t>
        </is>
      </c>
      <c r="I677" s="24" t="inlineStr">
        <is>
          <t>재무상태표</t>
        </is>
      </c>
      <c r="J677" s="24" t="inlineStr">
        <is>
          <t>ifrs-full_OtherCurrentFinancialAssets</t>
        </is>
      </c>
      <c r="K677" s="24" t="inlineStr">
        <is>
          <t>기타유동금융자산</t>
        </is>
      </c>
      <c r="L677" s="24" t="inlineStr">
        <is>
          <t>-</t>
        </is>
      </c>
      <c r="M677" s="24" t="inlineStr">
        <is>
          <t>제 45 기</t>
        </is>
      </c>
      <c r="N677" s="24" t="inlineStr">
        <is>
          <t>1079199919.0</t>
        </is>
      </c>
      <c r="O677" s="24" t="inlineStr">
        <is>
          <t>953535837.0</t>
        </is>
      </c>
      <c r="P677" s="24" t="inlineStr">
        <is>
          <t>KRW</t>
        </is>
      </c>
      <c r="Q677" s="24" t="inlineStr">
        <is>
          <t>13</t>
        </is>
      </c>
    </row>
    <row r="678" ht="24" customHeight="1">
      <c r="A678" s="29" t="inlineStr">
        <is>
          <t>OpenDART_fnlttSinglAcntAll</t>
        </is>
      </c>
      <c r="B678" s="29" t="inlineStr">
        <is>
          <t>00161383</t>
        </is>
      </c>
      <c r="C678" s="29" t="inlineStr">
        <is>
          <t>한미반도체</t>
        </is>
      </c>
      <c r="D678" s="29" t="inlineStr">
        <is>
          <t>hanmi</t>
        </is>
      </c>
      <c r="E678" s="29" t="inlineStr">
        <is>
          <t>042700</t>
        </is>
      </c>
      <c r="F678" s="29" t="inlineStr">
        <is>
          <t>2024</t>
        </is>
      </c>
      <c r="G678" s="29" t="inlineStr">
        <is>
          <t>CFS</t>
        </is>
      </c>
      <c r="H678" s="29" t="inlineStr">
        <is>
          <t>BS</t>
        </is>
      </c>
      <c r="I678" s="29" t="inlineStr">
        <is>
          <t>재무상태표</t>
        </is>
      </c>
      <c r="J678" s="29" t="inlineStr">
        <is>
          <t>ifrs-full_ShorttermDepositsNotClassifiedAsCashEquivalents</t>
        </is>
      </c>
      <c r="K678" s="29" t="inlineStr">
        <is>
          <t>단기금융상품</t>
        </is>
      </c>
      <c r="L678" s="29" t="inlineStr">
        <is>
          <t>-</t>
        </is>
      </c>
      <c r="M678" s="29" t="inlineStr">
        <is>
          <t>제 45 기</t>
        </is>
      </c>
      <c r="N678" s="29" t="inlineStr">
        <is>
          <t>해당 없음</t>
        </is>
      </c>
      <c r="O678" s="29" t="inlineStr">
        <is>
          <t>해당 없음</t>
        </is>
      </c>
      <c r="P678" s="29" t="inlineStr">
        <is>
          <t>KRW</t>
        </is>
      </c>
      <c r="Q678" s="29" t="inlineStr">
        <is>
          <t>14</t>
        </is>
      </c>
    </row>
    <row r="679" ht="24" customHeight="1">
      <c r="A679" s="24" t="inlineStr">
        <is>
          <t>OpenDART_fnlttSinglAcntAll</t>
        </is>
      </c>
      <c r="B679" s="24" t="inlineStr">
        <is>
          <t>00161383</t>
        </is>
      </c>
      <c r="C679" s="24" t="inlineStr">
        <is>
          <t>한미반도체</t>
        </is>
      </c>
      <c r="D679" s="24" t="inlineStr">
        <is>
          <t>hanmi</t>
        </is>
      </c>
      <c r="E679" s="24" t="inlineStr">
        <is>
          <t>042700</t>
        </is>
      </c>
      <c r="F679" s="24" t="inlineStr">
        <is>
          <t>2024</t>
        </is>
      </c>
      <c r="G679" s="24" t="inlineStr">
        <is>
          <t>CFS</t>
        </is>
      </c>
      <c r="H679" s="24" t="inlineStr">
        <is>
          <t>BS</t>
        </is>
      </c>
      <c r="I679" s="24" t="inlineStr">
        <is>
          <t>재무상태표</t>
        </is>
      </c>
      <c r="J679" s="24" t="inlineStr">
        <is>
          <t>ifrs-full_NoncurrentAssets</t>
        </is>
      </c>
      <c r="K679" s="24" t="inlineStr">
        <is>
          <t>비유동자산</t>
        </is>
      </c>
      <c r="L679" s="24" t="inlineStr">
        <is>
          <t>-</t>
        </is>
      </c>
      <c r="M679" s="24" t="inlineStr">
        <is>
          <t>제 45 기</t>
        </is>
      </c>
      <c r="N679" s="24" t="inlineStr">
        <is>
          <t>303081157390.0</t>
        </is>
      </c>
      <c r="O679" s="24" t="inlineStr">
        <is>
          <t>404447775138.0</t>
        </is>
      </c>
      <c r="P679" s="24" t="inlineStr">
        <is>
          <t>KRW</t>
        </is>
      </c>
      <c r="Q679" s="24" t="inlineStr">
        <is>
          <t>15</t>
        </is>
      </c>
    </row>
    <row r="680" ht="24" customHeight="1">
      <c r="A680" s="29" t="inlineStr">
        <is>
          <t>OpenDART_fnlttSinglAcntAll</t>
        </is>
      </c>
      <c r="B680" s="29" t="inlineStr">
        <is>
          <t>00161383</t>
        </is>
      </c>
      <c r="C680" s="29" t="inlineStr">
        <is>
          <t>한미반도체</t>
        </is>
      </c>
      <c r="D680" s="29" t="inlineStr">
        <is>
          <t>hanmi</t>
        </is>
      </c>
      <c r="E680" s="29" t="inlineStr">
        <is>
          <t>042700</t>
        </is>
      </c>
      <c r="F680" s="29" t="inlineStr">
        <is>
          <t>2024</t>
        </is>
      </c>
      <c r="G680" s="29" t="inlineStr">
        <is>
          <t>CFS</t>
        </is>
      </c>
      <c r="H680" s="29" t="inlineStr">
        <is>
          <t>BS</t>
        </is>
      </c>
      <c r="I680" s="29" t="inlineStr">
        <is>
          <t>재무상태표</t>
        </is>
      </c>
      <c r="J680" s="29" t="inlineStr">
        <is>
          <t>dart_EquitySecuritiesAtFairValueThroughProfitOrLoss</t>
        </is>
      </c>
      <c r="K680" s="29" t="inlineStr">
        <is>
          <t>기타투자자산</t>
        </is>
      </c>
      <c r="L680" s="29" t="inlineStr">
        <is>
          <t>-</t>
        </is>
      </c>
      <c r="M680" s="29" t="inlineStr">
        <is>
          <t>제 45 기</t>
        </is>
      </c>
      <c r="N680" s="29" t="inlineStr">
        <is>
          <t>100636884750.0</t>
        </is>
      </c>
      <c r="O680" s="29" t="inlineStr">
        <is>
          <t>250142419800.0</t>
        </is>
      </c>
      <c r="P680" s="29" t="inlineStr">
        <is>
          <t>KRW</t>
        </is>
      </c>
      <c r="Q680" s="29" t="inlineStr">
        <is>
          <t>16</t>
        </is>
      </c>
    </row>
    <row r="681" ht="24" customHeight="1">
      <c r="A681" s="24" t="inlineStr">
        <is>
          <t>OpenDART_fnlttSinglAcntAll</t>
        </is>
      </c>
      <c r="B681" s="24" t="inlineStr">
        <is>
          <t>00161383</t>
        </is>
      </c>
      <c r="C681" s="24" t="inlineStr">
        <is>
          <t>한미반도체</t>
        </is>
      </c>
      <c r="D681" s="24" t="inlineStr">
        <is>
          <t>hanmi</t>
        </is>
      </c>
      <c r="E681" s="24" t="inlineStr">
        <is>
          <t>042700</t>
        </is>
      </c>
      <c r="F681" s="24" t="inlineStr">
        <is>
          <t>2024</t>
        </is>
      </c>
      <c r="G681" s="24" t="inlineStr">
        <is>
          <t>CFS</t>
        </is>
      </c>
      <c r="H681" s="24" t="inlineStr">
        <is>
          <t>BS</t>
        </is>
      </c>
      <c r="I681" s="24" t="inlineStr">
        <is>
          <t>재무상태표</t>
        </is>
      </c>
      <c r="J681" s="24" t="inlineStr">
        <is>
          <t>dart_LongTermDepositsNotClassifiedAsCashEquivalents</t>
        </is>
      </c>
      <c r="K681" s="24" t="inlineStr">
        <is>
          <t>장기금융상품</t>
        </is>
      </c>
      <c r="L681" s="24" t="inlineStr">
        <is>
          <t>-</t>
        </is>
      </c>
      <c r="M681" s="24" t="inlineStr">
        <is>
          <t>제 45 기</t>
        </is>
      </c>
      <c r="N681" s="24" t="inlineStr">
        <is>
          <t>3494400.0</t>
        </is>
      </c>
      <c r="O681" s="24" t="inlineStr">
        <is>
          <t>3057600.0</t>
        </is>
      </c>
      <c r="P681" s="24" t="inlineStr">
        <is>
          <t>KRW</t>
        </is>
      </c>
      <c r="Q681" s="24" t="inlineStr">
        <is>
          <t>17</t>
        </is>
      </c>
    </row>
    <row r="682" ht="24" customHeight="1">
      <c r="A682" s="29" t="inlineStr">
        <is>
          <t>OpenDART_fnlttSinglAcntAll</t>
        </is>
      </c>
      <c r="B682" s="29" t="inlineStr">
        <is>
          <t>00161383</t>
        </is>
      </c>
      <c r="C682" s="29" t="inlineStr">
        <is>
          <t>한미반도체</t>
        </is>
      </c>
      <c r="D682" s="29" t="inlineStr">
        <is>
          <t>hanmi</t>
        </is>
      </c>
      <c r="E682" s="29" t="inlineStr">
        <is>
          <t>042700</t>
        </is>
      </c>
      <c r="F682" s="29" t="inlineStr">
        <is>
          <t>2024</t>
        </is>
      </c>
      <c r="G682" s="29" t="inlineStr">
        <is>
          <t>CFS</t>
        </is>
      </c>
      <c r="H682" s="29" t="inlineStr">
        <is>
          <t>BS</t>
        </is>
      </c>
      <c r="I682" s="29" t="inlineStr">
        <is>
          <t>재무상태표</t>
        </is>
      </c>
      <c r="J682" s="29" t="inlineStr">
        <is>
          <t>ifrs-full_DeferredTaxAssets</t>
        </is>
      </c>
      <c r="K682" s="29" t="inlineStr">
        <is>
          <t>이연법인세자산</t>
        </is>
      </c>
      <c r="L682" s="29" t="inlineStr">
        <is>
          <t>-</t>
        </is>
      </c>
      <c r="M682" s="29" t="inlineStr">
        <is>
          <t>제 45 기</t>
        </is>
      </c>
      <c r="N682" s="29" t="inlineStr">
        <is>
          <t>4824648.0</t>
        </is>
      </c>
      <c r="O682" s="29" t="inlineStr">
        <is>
          <t>4519945.0</t>
        </is>
      </c>
      <c r="P682" s="29" t="inlineStr">
        <is>
          <t>KRW</t>
        </is>
      </c>
      <c r="Q682" s="29" t="inlineStr">
        <is>
          <t>18</t>
        </is>
      </c>
    </row>
    <row r="683" ht="24" customHeight="1">
      <c r="A683" s="24" t="inlineStr">
        <is>
          <t>OpenDART_fnlttSinglAcntAll</t>
        </is>
      </c>
      <c r="B683" s="24" t="inlineStr">
        <is>
          <t>00161383</t>
        </is>
      </c>
      <c r="C683" s="24" t="inlineStr">
        <is>
          <t>한미반도체</t>
        </is>
      </c>
      <c r="D683" s="24" t="inlineStr">
        <is>
          <t>hanmi</t>
        </is>
      </c>
      <c r="E683" s="24" t="inlineStr">
        <is>
          <t>042700</t>
        </is>
      </c>
      <c r="F683" s="24" t="inlineStr">
        <is>
          <t>2024</t>
        </is>
      </c>
      <c r="G683" s="24" t="inlineStr">
        <is>
          <t>CFS</t>
        </is>
      </c>
      <c r="H683" s="24" t="inlineStr">
        <is>
          <t>BS</t>
        </is>
      </c>
      <c r="I683" s="24" t="inlineStr">
        <is>
          <t>재무상태표</t>
        </is>
      </c>
      <c r="J683" s="24" t="inlineStr">
        <is>
          <t>ifrs-full_IntangibleAssetsOtherThanGoodwill</t>
        </is>
      </c>
      <c r="K683" s="24" t="inlineStr">
        <is>
          <t>영업권 이외의 무형자산</t>
        </is>
      </c>
      <c r="L683" s="24" t="inlineStr">
        <is>
          <t>-</t>
        </is>
      </c>
      <c r="M683" s="24" t="inlineStr">
        <is>
          <t>제 45 기</t>
        </is>
      </c>
      <c r="N683" s="24" t="inlineStr">
        <is>
          <t>4627653813.0</t>
        </is>
      </c>
      <c r="O683" s="24" t="inlineStr">
        <is>
          <t>4458788729.0</t>
        </is>
      </c>
      <c r="P683" s="24" t="inlineStr">
        <is>
          <t>KRW</t>
        </is>
      </c>
      <c r="Q683" s="24" t="inlineStr">
        <is>
          <t>19</t>
        </is>
      </c>
    </row>
    <row r="684" ht="24" customHeight="1">
      <c r="A684" s="29" t="inlineStr">
        <is>
          <t>OpenDART_fnlttSinglAcntAll</t>
        </is>
      </c>
      <c r="B684" s="29" t="inlineStr">
        <is>
          <t>00161383</t>
        </is>
      </c>
      <c r="C684" s="29" t="inlineStr">
        <is>
          <t>한미반도체</t>
        </is>
      </c>
      <c r="D684" s="29" t="inlineStr">
        <is>
          <t>hanmi</t>
        </is>
      </c>
      <c r="E684" s="29" t="inlineStr">
        <is>
          <t>042700</t>
        </is>
      </c>
      <c r="F684" s="29" t="inlineStr">
        <is>
          <t>2024</t>
        </is>
      </c>
      <c r="G684" s="29" t="inlineStr">
        <is>
          <t>CFS</t>
        </is>
      </c>
      <c r="H684" s="29" t="inlineStr">
        <is>
          <t>BS</t>
        </is>
      </c>
      <c r="I684" s="29" t="inlineStr">
        <is>
          <t>재무상태표</t>
        </is>
      </c>
      <c r="J684" s="29" t="inlineStr">
        <is>
          <t>ifrs-full_InvestmentAccountedForUsingEquityMethod</t>
        </is>
      </c>
      <c r="K684" s="29" t="inlineStr">
        <is>
          <t>지분법적용 투자지분</t>
        </is>
      </c>
      <c r="L684" s="29" t="inlineStr">
        <is>
          <t>-</t>
        </is>
      </c>
      <c r="M684" s="29" t="inlineStr">
        <is>
          <t>제 45 기</t>
        </is>
      </c>
      <c r="N684" s="29" t="inlineStr">
        <is>
          <t>12256436422.0</t>
        </is>
      </c>
      <c r="O684" s="29" t="inlineStr">
        <is>
          <t>12138955454.0</t>
        </is>
      </c>
      <c r="P684" s="29" t="inlineStr">
        <is>
          <t>KRW</t>
        </is>
      </c>
      <c r="Q684" s="29" t="inlineStr">
        <is>
          <t>20</t>
        </is>
      </c>
    </row>
    <row r="685" ht="24" customHeight="1">
      <c r="A685" s="24" t="inlineStr">
        <is>
          <t>OpenDART_fnlttSinglAcntAll</t>
        </is>
      </c>
      <c r="B685" s="24" t="inlineStr">
        <is>
          <t>00161383</t>
        </is>
      </c>
      <c r="C685" s="24" t="inlineStr">
        <is>
          <t>한미반도체</t>
        </is>
      </c>
      <c r="D685" s="24" t="inlineStr">
        <is>
          <t>hanmi</t>
        </is>
      </c>
      <c r="E685" s="24" t="inlineStr">
        <is>
          <t>042700</t>
        </is>
      </c>
      <c r="F685" s="24" t="inlineStr">
        <is>
          <t>2024</t>
        </is>
      </c>
      <c r="G685" s="24" t="inlineStr">
        <is>
          <t>CFS</t>
        </is>
      </c>
      <c r="H685" s="24" t="inlineStr">
        <is>
          <t>BS</t>
        </is>
      </c>
      <c r="I685" s="24" t="inlineStr">
        <is>
          <t>재무상태표</t>
        </is>
      </c>
      <c r="J685" s="24" t="inlineStr">
        <is>
          <t>ifrs-full_InvestmentProperty</t>
        </is>
      </c>
      <c r="K685" s="24" t="inlineStr">
        <is>
          <t>투자부동산</t>
        </is>
      </c>
      <c r="L685" s="24" t="inlineStr">
        <is>
          <t>-</t>
        </is>
      </c>
      <c r="M685" s="24" t="inlineStr">
        <is>
          <t>제 45 기</t>
        </is>
      </c>
      <c r="N685" s="24" t="inlineStr">
        <is>
          <t>8943602285.0</t>
        </is>
      </c>
      <c r="O685" s="24" t="inlineStr">
        <is>
          <t>9137329985.0</t>
        </is>
      </c>
      <c r="P685" s="24" t="inlineStr">
        <is>
          <t>KRW</t>
        </is>
      </c>
      <c r="Q685" s="24" t="inlineStr">
        <is>
          <t>21</t>
        </is>
      </c>
    </row>
    <row r="686" ht="24" customHeight="1">
      <c r="A686" s="29" t="inlineStr">
        <is>
          <t>OpenDART_fnlttSinglAcntAll</t>
        </is>
      </c>
      <c r="B686" s="29" t="inlineStr">
        <is>
          <t>00161383</t>
        </is>
      </c>
      <c r="C686" s="29" t="inlineStr">
        <is>
          <t>한미반도체</t>
        </is>
      </c>
      <c r="D686" s="29" t="inlineStr">
        <is>
          <t>hanmi</t>
        </is>
      </c>
      <c r="E686" s="29" t="inlineStr">
        <is>
          <t>042700</t>
        </is>
      </c>
      <c r="F686" s="29" t="inlineStr">
        <is>
          <t>2024</t>
        </is>
      </c>
      <c r="G686" s="29" t="inlineStr">
        <is>
          <t>CFS</t>
        </is>
      </c>
      <c r="H686" s="29" t="inlineStr">
        <is>
          <t>BS</t>
        </is>
      </c>
      <c r="I686" s="29" t="inlineStr">
        <is>
          <t>재무상태표</t>
        </is>
      </c>
      <c r="J686" s="29" t="inlineStr">
        <is>
          <t>ifrs-full_NoncurrentRecognisedAssetsDefinedBenefitPlan</t>
        </is>
      </c>
      <c r="K686" s="29" t="inlineStr">
        <is>
          <t>비유동 순확정급여자산</t>
        </is>
      </c>
      <c r="L686" s="29" t="inlineStr">
        <is>
          <t>-</t>
        </is>
      </c>
      <c r="M686" s="29" t="inlineStr">
        <is>
          <t>제 45 기</t>
        </is>
      </c>
      <c r="N686" s="29" t="inlineStr">
        <is>
          <t>210098030.0</t>
        </is>
      </c>
      <c r="O686" s="29" t="inlineStr">
        <is>
          <t>1047642014.0</t>
        </is>
      </c>
      <c r="P686" s="29" t="inlineStr">
        <is>
          <t>KRW</t>
        </is>
      </c>
      <c r="Q686" s="29" t="inlineStr">
        <is>
          <t>22</t>
        </is>
      </c>
    </row>
    <row r="687" ht="24" customHeight="1">
      <c r="A687" s="24" t="inlineStr">
        <is>
          <t>OpenDART_fnlttSinglAcntAll</t>
        </is>
      </c>
      <c r="B687" s="24" t="inlineStr">
        <is>
          <t>00161383</t>
        </is>
      </c>
      <c r="C687" s="24" t="inlineStr">
        <is>
          <t>한미반도체</t>
        </is>
      </c>
      <c r="D687" s="24" t="inlineStr">
        <is>
          <t>hanmi</t>
        </is>
      </c>
      <c r="E687" s="24" t="inlineStr">
        <is>
          <t>042700</t>
        </is>
      </c>
      <c r="F687" s="24" t="inlineStr">
        <is>
          <t>2024</t>
        </is>
      </c>
      <c r="G687" s="24" t="inlineStr">
        <is>
          <t>CFS</t>
        </is>
      </c>
      <c r="H687" s="24" t="inlineStr">
        <is>
          <t>BS</t>
        </is>
      </c>
      <c r="I687" s="24" t="inlineStr">
        <is>
          <t>재무상태표</t>
        </is>
      </c>
      <c r="J687" s="24" t="inlineStr">
        <is>
          <t>ifrs-full_OtherNoncurrentAssets</t>
        </is>
      </c>
      <c r="K687" s="24" t="inlineStr">
        <is>
          <t>기타비유동자산</t>
        </is>
      </c>
      <c r="L687" s="24" t="inlineStr">
        <is>
          <t>-</t>
        </is>
      </c>
      <c r="M687" s="24" t="inlineStr">
        <is>
          <t>제 45 기</t>
        </is>
      </c>
      <c r="N687" s="24" t="inlineStr">
        <is>
          <t>818776726.0</t>
        </is>
      </c>
      <c r="O687" s="24" t="inlineStr">
        <is>
          <t>422854225.0</t>
        </is>
      </c>
      <c r="P687" s="24" t="inlineStr">
        <is>
          <t>KRW</t>
        </is>
      </c>
      <c r="Q687" s="24" t="inlineStr">
        <is>
          <t>23</t>
        </is>
      </c>
    </row>
    <row r="688" ht="24" customHeight="1">
      <c r="A688" s="29" t="inlineStr">
        <is>
          <t>OpenDART_fnlttSinglAcntAll</t>
        </is>
      </c>
      <c r="B688" s="29" t="inlineStr">
        <is>
          <t>00161383</t>
        </is>
      </c>
      <c r="C688" s="29" t="inlineStr">
        <is>
          <t>한미반도체</t>
        </is>
      </c>
      <c r="D688" s="29" t="inlineStr">
        <is>
          <t>hanmi</t>
        </is>
      </c>
      <c r="E688" s="29" t="inlineStr">
        <is>
          <t>042700</t>
        </is>
      </c>
      <c r="F688" s="29" t="inlineStr">
        <is>
          <t>2024</t>
        </is>
      </c>
      <c r="G688" s="29" t="inlineStr">
        <is>
          <t>CFS</t>
        </is>
      </c>
      <c r="H688" s="29" t="inlineStr">
        <is>
          <t>BS</t>
        </is>
      </c>
      <c r="I688" s="29" t="inlineStr">
        <is>
          <t>재무상태표</t>
        </is>
      </c>
      <c r="J688" s="29" t="inlineStr">
        <is>
          <t>ifrs-full_OtherNoncurrentFinancialAssets</t>
        </is>
      </c>
      <c r="K688" s="29" t="inlineStr">
        <is>
          <t>기타비유동금융자산</t>
        </is>
      </c>
      <c r="L688" s="29" t="inlineStr">
        <is>
          <t>-</t>
        </is>
      </c>
      <c r="M688" s="29" t="inlineStr">
        <is>
          <t>제 45 기</t>
        </is>
      </c>
      <c r="N688" s="29" t="inlineStr">
        <is>
          <t>848389962.0</t>
        </is>
      </c>
      <c r="O688" s="29" t="inlineStr">
        <is>
          <t>567721042.0</t>
        </is>
      </c>
      <c r="P688" s="29" t="inlineStr">
        <is>
          <t>KRW</t>
        </is>
      </c>
      <c r="Q688" s="29" t="inlineStr">
        <is>
          <t>24</t>
        </is>
      </c>
    </row>
    <row r="689" ht="24" customHeight="1">
      <c r="A689" s="24" t="inlineStr">
        <is>
          <t>OpenDART_fnlttSinglAcntAll</t>
        </is>
      </c>
      <c r="B689" s="24" t="inlineStr">
        <is>
          <t>00161383</t>
        </is>
      </c>
      <c r="C689" s="24" t="inlineStr">
        <is>
          <t>한미반도체</t>
        </is>
      </c>
      <c r="D689" s="24" t="inlineStr">
        <is>
          <t>hanmi</t>
        </is>
      </c>
      <c r="E689" s="24" t="inlineStr">
        <is>
          <t>042700</t>
        </is>
      </c>
      <c r="F689" s="24" t="inlineStr">
        <is>
          <t>2024</t>
        </is>
      </c>
      <c r="G689" s="24" t="inlineStr">
        <is>
          <t>CFS</t>
        </is>
      </c>
      <c r="H689" s="24" t="inlineStr">
        <is>
          <t>BS</t>
        </is>
      </c>
      <c r="I689" s="24" t="inlineStr">
        <is>
          <t>재무상태표</t>
        </is>
      </c>
      <c r="J689" s="24" t="inlineStr">
        <is>
          <t>ifrs-full_PropertyPlantAndEquipment</t>
        </is>
      </c>
      <c r="K689" s="24" t="inlineStr">
        <is>
          <t>유형자산</t>
        </is>
      </c>
      <c r="L689" s="24" t="inlineStr">
        <is>
          <t>-</t>
        </is>
      </c>
      <c r="M689" s="24" t="inlineStr">
        <is>
          <t>제 45 기</t>
        </is>
      </c>
      <c r="N689" s="24" t="inlineStr">
        <is>
          <t>174730996354.0</t>
        </is>
      </c>
      <c r="O689" s="24" t="inlineStr">
        <is>
          <t>126524486344.0</t>
        </is>
      </c>
      <c r="P689" s="24" t="inlineStr">
        <is>
          <t>KRW</t>
        </is>
      </c>
      <c r="Q689" s="24" t="inlineStr">
        <is>
          <t>25</t>
        </is>
      </c>
    </row>
    <row r="690" ht="24" customHeight="1">
      <c r="A690" s="29" t="inlineStr">
        <is>
          <t>OpenDART_fnlttSinglAcntAll</t>
        </is>
      </c>
      <c r="B690" s="29" t="inlineStr">
        <is>
          <t>00161383</t>
        </is>
      </c>
      <c r="C690" s="29" t="inlineStr">
        <is>
          <t>한미반도체</t>
        </is>
      </c>
      <c r="D690" s="29" t="inlineStr">
        <is>
          <t>hanmi</t>
        </is>
      </c>
      <c r="E690" s="29" t="inlineStr">
        <is>
          <t>042700</t>
        </is>
      </c>
      <c r="F690" s="29" t="inlineStr">
        <is>
          <t>2024</t>
        </is>
      </c>
      <c r="G690" s="29" t="inlineStr">
        <is>
          <t>CFS</t>
        </is>
      </c>
      <c r="H690" s="29" t="inlineStr">
        <is>
          <t>BS</t>
        </is>
      </c>
      <c r="I690" s="29" t="inlineStr">
        <is>
          <t>재무상태표</t>
        </is>
      </c>
      <c r="J690" s="29" t="inlineStr">
        <is>
          <t>ifrs-full_NoncurrentAssetsOrDisposalGroupsClassifiedAsHeldForSale</t>
        </is>
      </c>
      <c r="K690" s="29" t="inlineStr">
        <is>
          <t>매각예정비유동자산</t>
        </is>
      </c>
      <c r="L690" s="29" t="inlineStr">
        <is>
          <t>-</t>
        </is>
      </c>
      <c r="M690" s="29" t="inlineStr">
        <is>
          <t>제 45 기</t>
        </is>
      </c>
      <c r="N690" s="29" t="inlineStr">
        <is>
          <t>해당 없음</t>
        </is>
      </c>
      <c r="O690" s="29" t="inlineStr">
        <is>
          <t>해당 없음</t>
        </is>
      </c>
      <c r="P690" s="29" t="inlineStr">
        <is>
          <t>KRW</t>
        </is>
      </c>
      <c r="Q690" s="29" t="inlineStr">
        <is>
          <t>26</t>
        </is>
      </c>
    </row>
    <row r="691" ht="24" customHeight="1">
      <c r="A691" s="24" t="inlineStr">
        <is>
          <t>OpenDART_fnlttSinglAcntAll</t>
        </is>
      </c>
      <c r="B691" s="24" t="inlineStr">
        <is>
          <t>00161383</t>
        </is>
      </c>
      <c r="C691" s="24" t="inlineStr">
        <is>
          <t>한미반도체</t>
        </is>
      </c>
      <c r="D691" s="24" t="inlineStr">
        <is>
          <t>hanmi</t>
        </is>
      </c>
      <c r="E691" s="24" t="inlineStr">
        <is>
          <t>042700</t>
        </is>
      </c>
      <c r="F691" s="24" t="inlineStr">
        <is>
          <t>2024</t>
        </is>
      </c>
      <c r="G691" s="24" t="inlineStr">
        <is>
          <t>CFS</t>
        </is>
      </c>
      <c r="H691" s="24" t="inlineStr">
        <is>
          <t>BS</t>
        </is>
      </c>
      <c r="I691" s="24" t="inlineStr">
        <is>
          <t>재무상태표</t>
        </is>
      </c>
      <c r="J691" s="24" t="inlineStr">
        <is>
          <t>ifrs-full_Equity</t>
        </is>
      </c>
      <c r="K691" s="24" t="inlineStr">
        <is>
          <t>자본총계</t>
        </is>
      </c>
      <c r="L691" s="24" t="inlineStr">
        <is>
          <t>-</t>
        </is>
      </c>
      <c r="M691" s="24" t="inlineStr">
        <is>
          <t>제 45 기</t>
        </is>
      </c>
      <c r="N691" s="24" t="inlineStr">
        <is>
          <t>540887863389.0</t>
        </is>
      </c>
      <c r="O691" s="24" t="inlineStr">
        <is>
          <t>571898625127.0</t>
        </is>
      </c>
      <c r="P691" s="24" t="inlineStr">
        <is>
          <t>KRW</t>
        </is>
      </c>
      <c r="Q691" s="24" t="inlineStr">
        <is>
          <t>28</t>
        </is>
      </c>
    </row>
    <row r="692" ht="24" customHeight="1">
      <c r="A692" s="29" t="inlineStr">
        <is>
          <t>OpenDART_fnlttSinglAcntAll</t>
        </is>
      </c>
      <c r="B692" s="29" t="inlineStr">
        <is>
          <t>00161383</t>
        </is>
      </c>
      <c r="C692" s="29" t="inlineStr">
        <is>
          <t>한미반도체</t>
        </is>
      </c>
      <c r="D692" s="29" t="inlineStr">
        <is>
          <t>hanmi</t>
        </is>
      </c>
      <c r="E692" s="29" t="inlineStr">
        <is>
          <t>042700</t>
        </is>
      </c>
      <c r="F692" s="29" t="inlineStr">
        <is>
          <t>2024</t>
        </is>
      </c>
      <c r="G692" s="29" t="inlineStr">
        <is>
          <t>CFS</t>
        </is>
      </c>
      <c r="H692" s="29" t="inlineStr">
        <is>
          <t>BS</t>
        </is>
      </c>
      <c r="I692" s="29" t="inlineStr">
        <is>
          <t>재무상태표</t>
        </is>
      </c>
      <c r="J692" s="29" t="inlineStr">
        <is>
          <t>ifrs-full_EquityAttributableToOwnersOfParent</t>
        </is>
      </c>
      <c r="K692" s="29" t="inlineStr">
        <is>
          <t>지배기업의 소유주에게 귀속되는 자본</t>
        </is>
      </c>
      <c r="L692" s="29" t="inlineStr">
        <is>
          <t>-</t>
        </is>
      </c>
      <c r="M692" s="29" t="inlineStr">
        <is>
          <t>제 45 기</t>
        </is>
      </c>
      <c r="N692" s="29" t="inlineStr">
        <is>
          <t>540887863389.0</t>
        </is>
      </c>
      <c r="O692" s="29" t="inlineStr">
        <is>
          <t>571898625127.0</t>
        </is>
      </c>
      <c r="P692" s="29" t="inlineStr">
        <is>
          <t>KRW</t>
        </is>
      </c>
      <c r="Q692" s="29" t="inlineStr">
        <is>
          <t>29</t>
        </is>
      </c>
    </row>
    <row r="693" ht="24" customHeight="1">
      <c r="A693" s="24" t="inlineStr">
        <is>
          <t>OpenDART_fnlttSinglAcntAll</t>
        </is>
      </c>
      <c r="B693" s="24" t="inlineStr">
        <is>
          <t>00161383</t>
        </is>
      </c>
      <c r="C693" s="24" t="inlineStr">
        <is>
          <t>한미반도체</t>
        </is>
      </c>
      <c r="D693" s="24" t="inlineStr">
        <is>
          <t>hanmi</t>
        </is>
      </c>
      <c r="E693" s="24" t="inlineStr">
        <is>
          <t>042700</t>
        </is>
      </c>
      <c r="F693" s="24" t="inlineStr">
        <is>
          <t>2024</t>
        </is>
      </c>
      <c r="G693" s="24" t="inlineStr">
        <is>
          <t>CFS</t>
        </is>
      </c>
      <c r="H693" s="24" t="inlineStr">
        <is>
          <t>BS</t>
        </is>
      </c>
      <c r="I693" s="24" t="inlineStr">
        <is>
          <t>재무상태표</t>
        </is>
      </c>
      <c r="J693" s="24" t="inlineStr">
        <is>
          <t>dart_ElementsOfOtherStockholdersEquity</t>
        </is>
      </c>
      <c r="K693" s="24" t="inlineStr">
        <is>
          <t>기타자본구성요소</t>
        </is>
      </c>
      <c r="L693" s="24" t="inlineStr">
        <is>
          <t>-</t>
        </is>
      </c>
      <c r="M693" s="24" t="inlineStr">
        <is>
          <t>제 45 기</t>
        </is>
      </c>
      <c r="N693" s="24" t="inlineStr">
        <is>
          <t>-138594816411.0</t>
        </is>
      </c>
      <c r="O693" s="24" t="inlineStr">
        <is>
          <t>-29542433975.0</t>
        </is>
      </c>
      <c r="P693" s="24" t="inlineStr">
        <is>
          <t>KRW</t>
        </is>
      </c>
      <c r="Q693" s="24" t="inlineStr">
        <is>
          <t>30</t>
        </is>
      </c>
    </row>
    <row r="694" ht="24" customHeight="1">
      <c r="A694" s="29" t="inlineStr">
        <is>
          <t>OpenDART_fnlttSinglAcntAll</t>
        </is>
      </c>
      <c r="B694" s="29" t="inlineStr">
        <is>
          <t>00161383</t>
        </is>
      </c>
      <c r="C694" s="29" t="inlineStr">
        <is>
          <t>한미반도체</t>
        </is>
      </c>
      <c r="D694" s="29" t="inlineStr">
        <is>
          <t>hanmi</t>
        </is>
      </c>
      <c r="E694" s="29" t="inlineStr">
        <is>
          <t>042700</t>
        </is>
      </c>
      <c r="F694" s="29" t="inlineStr">
        <is>
          <t>2024</t>
        </is>
      </c>
      <c r="G694" s="29" t="inlineStr">
        <is>
          <t>CFS</t>
        </is>
      </c>
      <c r="H694" s="29" t="inlineStr">
        <is>
          <t>BS</t>
        </is>
      </c>
      <c r="I694" s="29" t="inlineStr">
        <is>
          <t>재무상태표</t>
        </is>
      </c>
      <c r="J694" s="29" t="inlineStr">
        <is>
          <t>dart_OtherComprehensiveIncomeLossAccumulatedAmount</t>
        </is>
      </c>
      <c r="K694" s="29" t="inlineStr">
        <is>
          <t>기타포괄손익누계액</t>
        </is>
      </c>
      <c r="L694" s="29" t="inlineStr">
        <is>
          <t>-</t>
        </is>
      </c>
      <c r="M694" s="29" t="inlineStr">
        <is>
          <t>제 45 기</t>
        </is>
      </c>
      <c r="N694" s="29" t="inlineStr">
        <is>
          <t>334222965.0</t>
        </is>
      </c>
      <c r="O694" s="29" t="inlineStr">
        <is>
          <t>93591495.0</t>
        </is>
      </c>
      <c r="P694" s="29" t="inlineStr">
        <is>
          <t>KRW</t>
        </is>
      </c>
      <c r="Q694" s="29" t="inlineStr">
        <is>
          <t>31</t>
        </is>
      </c>
    </row>
    <row r="695" ht="24" customHeight="1">
      <c r="A695" s="24" t="inlineStr">
        <is>
          <t>OpenDART_fnlttSinglAcntAll</t>
        </is>
      </c>
      <c r="B695" s="24" t="inlineStr">
        <is>
          <t>00161383</t>
        </is>
      </c>
      <c r="C695" s="24" t="inlineStr">
        <is>
          <t>한미반도체</t>
        </is>
      </c>
      <c r="D695" s="24" t="inlineStr">
        <is>
          <t>hanmi</t>
        </is>
      </c>
      <c r="E695" s="24" t="inlineStr">
        <is>
          <t>042700</t>
        </is>
      </c>
      <c r="F695" s="24" t="inlineStr">
        <is>
          <t>2024</t>
        </is>
      </c>
      <c r="G695" s="24" t="inlineStr">
        <is>
          <t>CFS</t>
        </is>
      </c>
      <c r="H695" s="24" t="inlineStr">
        <is>
          <t>BS</t>
        </is>
      </c>
      <c r="I695" s="24" t="inlineStr">
        <is>
          <t>재무상태표</t>
        </is>
      </c>
      <c r="J695" s="24" t="inlineStr">
        <is>
          <t>ifrs-full_IssuedCapital</t>
        </is>
      </c>
      <c r="K695" s="24" t="inlineStr">
        <is>
          <t>자본금</t>
        </is>
      </c>
      <c r="L695" s="24" t="inlineStr">
        <is>
          <t>-</t>
        </is>
      </c>
      <c r="M695" s="24" t="inlineStr">
        <is>
          <t>제 45 기</t>
        </is>
      </c>
      <c r="N695" s="24" t="inlineStr">
        <is>
          <t>12716420500.0</t>
        </is>
      </c>
      <c r="O695" s="24" t="inlineStr">
        <is>
          <t>12716420500.0</t>
        </is>
      </c>
      <c r="P695" s="24" t="inlineStr">
        <is>
          <t>KRW</t>
        </is>
      </c>
      <c r="Q695" s="24" t="inlineStr">
        <is>
          <t>32</t>
        </is>
      </c>
    </row>
    <row r="696" ht="24" customHeight="1">
      <c r="A696" s="29" t="inlineStr">
        <is>
          <t>OpenDART_fnlttSinglAcntAll</t>
        </is>
      </c>
      <c r="B696" s="29" t="inlineStr">
        <is>
          <t>00161383</t>
        </is>
      </c>
      <c r="C696" s="29" t="inlineStr">
        <is>
          <t>한미반도체</t>
        </is>
      </c>
      <c r="D696" s="29" t="inlineStr">
        <is>
          <t>hanmi</t>
        </is>
      </c>
      <c r="E696" s="29" t="inlineStr">
        <is>
          <t>042700</t>
        </is>
      </c>
      <c r="F696" s="29" t="inlineStr">
        <is>
          <t>2024</t>
        </is>
      </c>
      <c r="G696" s="29" t="inlineStr">
        <is>
          <t>CFS</t>
        </is>
      </c>
      <c r="H696" s="29" t="inlineStr">
        <is>
          <t>BS</t>
        </is>
      </c>
      <c r="I696" s="29" t="inlineStr">
        <is>
          <t>재무상태표</t>
        </is>
      </c>
      <c r="J696" s="29" t="inlineStr">
        <is>
          <t>ifrs-full_RetainedEarnings</t>
        </is>
      </c>
      <c r="K696" s="29" t="inlineStr">
        <is>
          <t>이익잉여금(결손금)</t>
        </is>
      </c>
      <c r="L696" s="29" t="inlineStr">
        <is>
          <t>-</t>
        </is>
      </c>
      <c r="M696" s="29" t="inlineStr">
        <is>
          <t>제 45 기</t>
        </is>
      </c>
      <c r="N696" s="29" t="inlineStr">
        <is>
          <t>610049963397.0</t>
        </is>
      </c>
      <c r="O696" s="29" t="inlineStr">
        <is>
          <t>532248974169.0</t>
        </is>
      </c>
      <c r="P696" s="29" t="inlineStr">
        <is>
          <t>KRW</t>
        </is>
      </c>
      <c r="Q696" s="29" t="inlineStr">
        <is>
          <t>33</t>
        </is>
      </c>
    </row>
    <row r="697" ht="24" customHeight="1">
      <c r="A697" s="24" t="inlineStr">
        <is>
          <t>OpenDART_fnlttSinglAcntAll</t>
        </is>
      </c>
      <c r="B697" s="24" t="inlineStr">
        <is>
          <t>00161383</t>
        </is>
      </c>
      <c r="C697" s="24" t="inlineStr">
        <is>
          <t>한미반도체</t>
        </is>
      </c>
      <c r="D697" s="24" t="inlineStr">
        <is>
          <t>hanmi</t>
        </is>
      </c>
      <c r="E697" s="24" t="inlineStr">
        <is>
          <t>042700</t>
        </is>
      </c>
      <c r="F697" s="24" t="inlineStr">
        <is>
          <t>2024</t>
        </is>
      </c>
      <c r="G697" s="24" t="inlineStr">
        <is>
          <t>CFS</t>
        </is>
      </c>
      <c r="H697" s="24" t="inlineStr">
        <is>
          <t>BS</t>
        </is>
      </c>
      <c r="I697" s="24" t="inlineStr">
        <is>
          <t>재무상태표</t>
        </is>
      </c>
      <c r="J697" s="24" t="inlineStr">
        <is>
          <t>ifrs-full_SharePremium</t>
        </is>
      </c>
      <c r="K697" s="24" t="inlineStr">
        <is>
          <t>주식발행초과금</t>
        </is>
      </c>
      <c r="L697" s="24" t="inlineStr">
        <is>
          <t>-</t>
        </is>
      </c>
      <c r="M697" s="24" t="inlineStr">
        <is>
          <t>제 45 기</t>
        </is>
      </c>
      <c r="N697" s="24" t="inlineStr">
        <is>
          <t>56382072938.0</t>
        </is>
      </c>
      <c r="O697" s="24" t="inlineStr">
        <is>
          <t>56382072938.0</t>
        </is>
      </c>
      <c r="P697" s="24" t="inlineStr">
        <is>
          <t>KRW</t>
        </is>
      </c>
      <c r="Q697" s="24" t="inlineStr">
        <is>
          <t>34</t>
        </is>
      </c>
    </row>
    <row r="698" ht="24" customHeight="1">
      <c r="A698" s="29" t="inlineStr">
        <is>
          <t>OpenDART_fnlttSinglAcntAll</t>
        </is>
      </c>
      <c r="B698" s="29" t="inlineStr">
        <is>
          <t>00161383</t>
        </is>
      </c>
      <c r="C698" s="29" t="inlineStr">
        <is>
          <t>한미반도체</t>
        </is>
      </c>
      <c r="D698" s="29" t="inlineStr">
        <is>
          <t>hanmi</t>
        </is>
      </c>
      <c r="E698" s="29" t="inlineStr">
        <is>
          <t>042700</t>
        </is>
      </c>
      <c r="F698" s="29" t="inlineStr">
        <is>
          <t>2024</t>
        </is>
      </c>
      <c r="G698" s="29" t="inlineStr">
        <is>
          <t>CFS</t>
        </is>
      </c>
      <c r="H698" s="29" t="inlineStr">
        <is>
          <t>BS</t>
        </is>
      </c>
      <c r="I698" s="29" t="inlineStr">
        <is>
          <t>재무상태표</t>
        </is>
      </c>
      <c r="J698" s="29" t="inlineStr">
        <is>
          <t>ifrs-full_EquityAndLiabilities</t>
        </is>
      </c>
      <c r="K698" s="29" t="inlineStr">
        <is>
          <t>자본과부채총계</t>
        </is>
      </c>
      <c r="L698" s="29" t="inlineStr">
        <is>
          <t>-</t>
        </is>
      </c>
      <c r="M698" s="29" t="inlineStr">
        <is>
          <t>제 45 기</t>
        </is>
      </c>
      <c r="N698" s="29" t="inlineStr">
        <is>
          <t>710872366678.0</t>
        </is>
      </c>
      <c r="O698" s="29" t="inlineStr">
        <is>
          <t>723839103741.0</t>
        </is>
      </c>
      <c r="P698" s="29" t="inlineStr">
        <is>
          <t>KRW</t>
        </is>
      </c>
      <c r="Q698" s="29" t="inlineStr">
        <is>
          <t>36</t>
        </is>
      </c>
    </row>
    <row r="699" ht="24" customHeight="1">
      <c r="A699" s="24" t="inlineStr">
        <is>
          <t>OpenDART_fnlttSinglAcntAll</t>
        </is>
      </c>
      <c r="B699" s="24" t="inlineStr">
        <is>
          <t>00161383</t>
        </is>
      </c>
      <c r="C699" s="24" t="inlineStr">
        <is>
          <t>한미반도체</t>
        </is>
      </c>
      <c r="D699" s="24" t="inlineStr">
        <is>
          <t>hanmi</t>
        </is>
      </c>
      <c r="E699" s="24" t="inlineStr">
        <is>
          <t>042700</t>
        </is>
      </c>
      <c r="F699" s="24" t="inlineStr">
        <is>
          <t>2024</t>
        </is>
      </c>
      <c r="G699" s="24" t="inlineStr">
        <is>
          <t>CFS</t>
        </is>
      </c>
      <c r="H699" s="24" t="inlineStr">
        <is>
          <t>BS</t>
        </is>
      </c>
      <c r="I699" s="24" t="inlineStr">
        <is>
          <t>재무상태표</t>
        </is>
      </c>
      <c r="J699" s="24" t="inlineStr">
        <is>
          <t>ifrs-full_CurrentLiabilities</t>
        </is>
      </c>
      <c r="K699" s="24" t="inlineStr">
        <is>
          <t>유동부채</t>
        </is>
      </c>
      <c r="L699" s="24" t="inlineStr">
        <is>
          <t>-</t>
        </is>
      </c>
      <c r="M699" s="24" t="inlineStr">
        <is>
          <t>제 45 기</t>
        </is>
      </c>
      <c r="N699" s="24" t="inlineStr">
        <is>
          <t>160040613379.0</t>
        </is>
      </c>
      <c r="O699" s="24" t="inlineStr">
        <is>
          <t>105009650585.0</t>
        </is>
      </c>
      <c r="P699" s="24" t="inlineStr">
        <is>
          <t>KRW</t>
        </is>
      </c>
      <c r="Q699" s="24" t="inlineStr">
        <is>
          <t>38</t>
        </is>
      </c>
    </row>
    <row r="700" ht="24" customHeight="1">
      <c r="A700" s="29" t="inlineStr">
        <is>
          <t>OpenDART_fnlttSinglAcntAll</t>
        </is>
      </c>
      <c r="B700" s="29" t="inlineStr">
        <is>
          <t>00161383</t>
        </is>
      </c>
      <c r="C700" s="29" t="inlineStr">
        <is>
          <t>한미반도체</t>
        </is>
      </c>
      <c r="D700" s="29" t="inlineStr">
        <is>
          <t>hanmi</t>
        </is>
      </c>
      <c r="E700" s="29" t="inlineStr">
        <is>
          <t>042700</t>
        </is>
      </c>
      <c r="F700" s="29" t="inlineStr">
        <is>
          <t>2024</t>
        </is>
      </c>
      <c r="G700" s="29" t="inlineStr">
        <is>
          <t>CFS</t>
        </is>
      </c>
      <c r="H700" s="29" t="inlineStr">
        <is>
          <t>BS</t>
        </is>
      </c>
      <c r="I700" s="29" t="inlineStr">
        <is>
          <t>재무상태표</t>
        </is>
      </c>
      <c r="J700" s="29" t="inlineStr">
        <is>
          <t>ifrs-full_CurrentLeaseLiabilities</t>
        </is>
      </c>
      <c r="K700" s="29" t="inlineStr">
        <is>
          <t>유동 리스부채</t>
        </is>
      </c>
      <c r="L700" s="29" t="inlineStr">
        <is>
          <t>-</t>
        </is>
      </c>
      <c r="M700" s="29" t="inlineStr">
        <is>
          <t>제 45 기</t>
        </is>
      </c>
      <c r="N700" s="29" t="inlineStr">
        <is>
          <t>1446065944.0</t>
        </is>
      </c>
      <c r="O700" s="29" t="inlineStr">
        <is>
          <t>648109209.0</t>
        </is>
      </c>
      <c r="P700" s="29" t="inlineStr">
        <is>
          <t>KRW</t>
        </is>
      </c>
      <c r="Q700" s="29" t="inlineStr">
        <is>
          <t>39</t>
        </is>
      </c>
    </row>
    <row r="701" ht="24" customHeight="1">
      <c r="A701" s="24" t="inlineStr">
        <is>
          <t>OpenDART_fnlttSinglAcntAll</t>
        </is>
      </c>
      <c r="B701" s="24" t="inlineStr">
        <is>
          <t>00161383</t>
        </is>
      </c>
      <c r="C701" s="24" t="inlineStr">
        <is>
          <t>한미반도체</t>
        </is>
      </c>
      <c r="D701" s="24" t="inlineStr">
        <is>
          <t>hanmi</t>
        </is>
      </c>
      <c r="E701" s="24" t="inlineStr">
        <is>
          <t>042700</t>
        </is>
      </c>
      <c r="F701" s="24" t="inlineStr">
        <is>
          <t>2024</t>
        </is>
      </c>
      <c r="G701" s="24" t="inlineStr">
        <is>
          <t>CFS</t>
        </is>
      </c>
      <c r="H701" s="24" t="inlineStr">
        <is>
          <t>BS</t>
        </is>
      </c>
      <c r="I701" s="24" t="inlineStr">
        <is>
          <t>재무상태표</t>
        </is>
      </c>
      <c r="J701" s="24" t="inlineStr">
        <is>
          <t>ifrs-full_CurrentProvisions</t>
        </is>
      </c>
      <c r="K701" s="24" t="inlineStr">
        <is>
          <t>유동충당부채</t>
        </is>
      </c>
      <c r="L701" s="24" t="inlineStr">
        <is>
          <t>-</t>
        </is>
      </c>
      <c r="M701" s="24" t="inlineStr">
        <is>
          <t>제 45 기</t>
        </is>
      </c>
      <c r="N701" s="24" t="inlineStr">
        <is>
          <t>7661643573.0</t>
        </is>
      </c>
      <c r="O701" s="24" t="inlineStr">
        <is>
          <t>3148476867.0</t>
        </is>
      </c>
      <c r="P701" s="24" t="inlineStr">
        <is>
          <t>KRW</t>
        </is>
      </c>
      <c r="Q701" s="24" t="inlineStr">
        <is>
          <t>40</t>
        </is>
      </c>
    </row>
    <row r="702" ht="24" customHeight="1">
      <c r="A702" s="29" t="inlineStr">
        <is>
          <t>OpenDART_fnlttSinglAcntAll</t>
        </is>
      </c>
      <c r="B702" s="29" t="inlineStr">
        <is>
          <t>00161383</t>
        </is>
      </c>
      <c r="C702" s="29" t="inlineStr">
        <is>
          <t>한미반도체</t>
        </is>
      </c>
      <c r="D702" s="29" t="inlineStr">
        <is>
          <t>hanmi</t>
        </is>
      </c>
      <c r="E702" s="29" t="inlineStr">
        <is>
          <t>042700</t>
        </is>
      </c>
      <c r="F702" s="29" t="inlineStr">
        <is>
          <t>2024</t>
        </is>
      </c>
      <c r="G702" s="29" t="inlineStr">
        <is>
          <t>CFS</t>
        </is>
      </c>
      <c r="H702" s="29" t="inlineStr">
        <is>
          <t>BS</t>
        </is>
      </c>
      <c r="I702" s="29" t="inlineStr">
        <is>
          <t>재무상태표</t>
        </is>
      </c>
      <c r="J702" s="29" t="inlineStr">
        <is>
          <t>ifrs-full_CurrentTaxLiabilities</t>
        </is>
      </c>
      <c r="K702" s="29" t="inlineStr">
        <is>
          <t>당기법인세부채</t>
        </is>
      </c>
      <c r="L702" s="29" t="inlineStr">
        <is>
          <t>-</t>
        </is>
      </c>
      <c r="M702" s="29" t="inlineStr">
        <is>
          <t>제 45 기</t>
        </is>
      </c>
      <c r="N702" s="29" t="inlineStr">
        <is>
          <t>71678767604.0</t>
        </is>
      </c>
      <c r="O702" s="29" t="inlineStr">
        <is>
          <t>24544806512.0</t>
        </is>
      </c>
      <c r="P702" s="29" t="inlineStr">
        <is>
          <t>KRW</t>
        </is>
      </c>
      <c r="Q702" s="29" t="inlineStr">
        <is>
          <t>41</t>
        </is>
      </c>
    </row>
    <row r="703" ht="24" customHeight="1">
      <c r="A703" s="24" t="inlineStr">
        <is>
          <t>OpenDART_fnlttSinglAcntAll</t>
        </is>
      </c>
      <c r="B703" s="24" t="inlineStr">
        <is>
          <t>00161383</t>
        </is>
      </c>
      <c r="C703" s="24" t="inlineStr">
        <is>
          <t>한미반도체</t>
        </is>
      </c>
      <c r="D703" s="24" t="inlineStr">
        <is>
          <t>hanmi</t>
        </is>
      </c>
      <c r="E703" s="24" t="inlineStr">
        <is>
          <t>042700</t>
        </is>
      </c>
      <c r="F703" s="24" t="inlineStr">
        <is>
          <t>2024</t>
        </is>
      </c>
      <c r="G703" s="24" t="inlineStr">
        <is>
          <t>CFS</t>
        </is>
      </c>
      <c r="H703" s="24" t="inlineStr">
        <is>
          <t>BS</t>
        </is>
      </c>
      <c r="I703" s="24" t="inlineStr">
        <is>
          <t>재무상태표</t>
        </is>
      </c>
      <c r="J703" s="24" t="inlineStr">
        <is>
          <t>ifrs-full_OtherCurrentFinancialLiabilities</t>
        </is>
      </c>
      <c r="K703" s="24" t="inlineStr">
        <is>
          <t>기타유동금융부채</t>
        </is>
      </c>
      <c r="L703" s="24" t="inlineStr">
        <is>
          <t>-</t>
        </is>
      </c>
      <c r="M703" s="24" t="inlineStr">
        <is>
          <t>제 45 기</t>
        </is>
      </c>
      <c r="N703" s="24" t="inlineStr">
        <is>
          <t>13930004103.0</t>
        </is>
      </c>
      <c r="O703" s="24" t="inlineStr">
        <is>
          <t>49275267324.0</t>
        </is>
      </c>
      <c r="P703" s="24" t="inlineStr">
        <is>
          <t>KRW</t>
        </is>
      </c>
      <c r="Q703" s="24" t="inlineStr">
        <is>
          <t>42</t>
        </is>
      </c>
    </row>
    <row r="704" ht="24" customHeight="1">
      <c r="A704" s="29" t="inlineStr">
        <is>
          <t>OpenDART_fnlttSinglAcntAll</t>
        </is>
      </c>
      <c r="B704" s="29" t="inlineStr">
        <is>
          <t>00161383</t>
        </is>
      </c>
      <c r="C704" s="29" t="inlineStr">
        <is>
          <t>한미반도체</t>
        </is>
      </c>
      <c r="D704" s="29" t="inlineStr">
        <is>
          <t>hanmi</t>
        </is>
      </c>
      <c r="E704" s="29" t="inlineStr">
        <is>
          <t>042700</t>
        </is>
      </c>
      <c r="F704" s="29" t="inlineStr">
        <is>
          <t>2024</t>
        </is>
      </c>
      <c r="G704" s="29" t="inlineStr">
        <is>
          <t>CFS</t>
        </is>
      </c>
      <c r="H704" s="29" t="inlineStr">
        <is>
          <t>BS</t>
        </is>
      </c>
      <c r="I704" s="29" t="inlineStr">
        <is>
          <t>재무상태표</t>
        </is>
      </c>
      <c r="J704" s="29" t="inlineStr">
        <is>
          <t>ifrs-full_OtherCurrentLiabilities</t>
        </is>
      </c>
      <c r="K704" s="29" t="inlineStr">
        <is>
          <t>기타 유동부채</t>
        </is>
      </c>
      <c r="L704" s="29" t="inlineStr">
        <is>
          <t>-</t>
        </is>
      </c>
      <c r="M704" s="29" t="inlineStr">
        <is>
          <t>제 45 기</t>
        </is>
      </c>
      <c r="N704" s="29" t="inlineStr">
        <is>
          <t>11717099878.0</t>
        </is>
      </c>
      <c r="O704" s="29" t="inlineStr">
        <is>
          <t>9017317584.0</t>
        </is>
      </c>
      <c r="P704" s="29" t="inlineStr">
        <is>
          <t>KRW</t>
        </is>
      </c>
      <c r="Q704" s="29" t="inlineStr">
        <is>
          <t>43</t>
        </is>
      </c>
    </row>
    <row r="705" ht="24" customHeight="1">
      <c r="A705" s="24" t="inlineStr">
        <is>
          <t>OpenDART_fnlttSinglAcntAll</t>
        </is>
      </c>
      <c r="B705" s="24" t="inlineStr">
        <is>
          <t>00161383</t>
        </is>
      </c>
      <c r="C705" s="24" t="inlineStr">
        <is>
          <t>한미반도체</t>
        </is>
      </c>
      <c r="D705" s="24" t="inlineStr">
        <is>
          <t>hanmi</t>
        </is>
      </c>
      <c r="E705" s="24" t="inlineStr">
        <is>
          <t>042700</t>
        </is>
      </c>
      <c r="F705" s="24" t="inlineStr">
        <is>
          <t>2024</t>
        </is>
      </c>
      <c r="G705" s="24" t="inlineStr">
        <is>
          <t>CFS</t>
        </is>
      </c>
      <c r="H705" s="24" t="inlineStr">
        <is>
          <t>BS</t>
        </is>
      </c>
      <c r="I705" s="24" t="inlineStr">
        <is>
          <t>재무상태표</t>
        </is>
      </c>
      <c r="J705" s="24" t="inlineStr">
        <is>
          <t>ifrs-full_TradeAndOtherCurrentPayablesToTradeSuppliers</t>
        </is>
      </c>
      <c r="K705" s="24" t="inlineStr">
        <is>
          <t>유동매입채무</t>
        </is>
      </c>
      <c r="L705" s="24" t="inlineStr">
        <is>
          <t>-</t>
        </is>
      </c>
      <c r="M705" s="24" t="inlineStr">
        <is>
          <t>제 45 기</t>
        </is>
      </c>
      <c r="N705" s="24" t="inlineStr">
        <is>
          <t>53607032277.0</t>
        </is>
      </c>
      <c r="O705" s="24" t="inlineStr">
        <is>
          <t>18375673089.0</t>
        </is>
      </c>
      <c r="P705" s="24" t="inlineStr">
        <is>
          <t>KRW</t>
        </is>
      </c>
      <c r="Q705" s="24" t="inlineStr">
        <is>
          <t>44</t>
        </is>
      </c>
    </row>
    <row r="706" ht="24" customHeight="1">
      <c r="A706" s="29" t="inlineStr">
        <is>
          <t>OpenDART_fnlttSinglAcntAll</t>
        </is>
      </c>
      <c r="B706" s="29" t="inlineStr">
        <is>
          <t>00161383</t>
        </is>
      </c>
      <c r="C706" s="29" t="inlineStr">
        <is>
          <t>한미반도체</t>
        </is>
      </c>
      <c r="D706" s="29" t="inlineStr">
        <is>
          <t>hanmi</t>
        </is>
      </c>
      <c r="E706" s="29" t="inlineStr">
        <is>
          <t>042700</t>
        </is>
      </c>
      <c r="F706" s="29" t="inlineStr">
        <is>
          <t>2024</t>
        </is>
      </c>
      <c r="G706" s="29" t="inlineStr">
        <is>
          <t>CFS</t>
        </is>
      </c>
      <c r="H706" s="29" t="inlineStr">
        <is>
          <t>BS</t>
        </is>
      </c>
      <c r="I706" s="29" t="inlineStr">
        <is>
          <t>재무상태표</t>
        </is>
      </c>
      <c r="J706" s="29" t="inlineStr">
        <is>
          <t>ifrs-full_Liabilities</t>
        </is>
      </c>
      <c r="K706" s="29" t="inlineStr">
        <is>
          <t>부채총계</t>
        </is>
      </c>
      <c r="L706" s="29" t="inlineStr">
        <is>
          <t>-</t>
        </is>
      </c>
      <c r="M706" s="29" t="inlineStr">
        <is>
          <t>제 45 기</t>
        </is>
      </c>
      <c r="N706" s="29" t="inlineStr">
        <is>
          <t>169984503289.0</t>
        </is>
      </c>
      <c r="O706" s="29" t="inlineStr">
        <is>
          <t>151940478614.0</t>
        </is>
      </c>
      <c r="P706" s="29" t="inlineStr">
        <is>
          <t>KRW</t>
        </is>
      </c>
      <c r="Q706" s="29" t="inlineStr">
        <is>
          <t>45</t>
        </is>
      </c>
    </row>
    <row r="707" ht="24" customHeight="1">
      <c r="A707" s="24" t="inlineStr">
        <is>
          <t>OpenDART_fnlttSinglAcntAll</t>
        </is>
      </c>
      <c r="B707" s="24" t="inlineStr">
        <is>
          <t>00161383</t>
        </is>
      </c>
      <c r="C707" s="24" t="inlineStr">
        <is>
          <t>한미반도체</t>
        </is>
      </c>
      <c r="D707" s="24" t="inlineStr">
        <is>
          <t>hanmi</t>
        </is>
      </c>
      <c r="E707" s="24" t="inlineStr">
        <is>
          <t>042700</t>
        </is>
      </c>
      <c r="F707" s="24" t="inlineStr">
        <is>
          <t>2024</t>
        </is>
      </c>
      <c r="G707" s="24" t="inlineStr">
        <is>
          <t>CFS</t>
        </is>
      </c>
      <c r="H707" s="24" t="inlineStr">
        <is>
          <t>BS</t>
        </is>
      </c>
      <c r="I707" s="24" t="inlineStr">
        <is>
          <t>재무상태표</t>
        </is>
      </c>
      <c r="J707" s="24" t="inlineStr">
        <is>
          <t>ifrs-full_NoncurrentLiabilities</t>
        </is>
      </c>
      <c r="K707" s="24" t="inlineStr">
        <is>
          <t>비유동부채</t>
        </is>
      </c>
      <c r="L707" s="24" t="inlineStr">
        <is>
          <t>-</t>
        </is>
      </c>
      <c r="M707" s="24" t="inlineStr">
        <is>
          <t>제 45 기</t>
        </is>
      </c>
      <c r="N707" s="24" t="inlineStr">
        <is>
          <t>9943889910.0</t>
        </is>
      </c>
      <c r="O707" s="24" t="inlineStr">
        <is>
          <t>46930828029.0</t>
        </is>
      </c>
      <c r="P707" s="24" t="inlineStr">
        <is>
          <t>KRW</t>
        </is>
      </c>
      <c r="Q707" s="24" t="inlineStr">
        <is>
          <t>46</t>
        </is>
      </c>
    </row>
    <row r="708" ht="24" customHeight="1">
      <c r="A708" s="29" t="inlineStr">
        <is>
          <t>OpenDART_fnlttSinglAcntAll</t>
        </is>
      </c>
      <c r="B708" s="29" t="inlineStr">
        <is>
          <t>00161383</t>
        </is>
      </c>
      <c r="C708" s="29" t="inlineStr">
        <is>
          <t>한미반도체</t>
        </is>
      </c>
      <c r="D708" s="29" t="inlineStr">
        <is>
          <t>hanmi</t>
        </is>
      </c>
      <c r="E708" s="29" t="inlineStr">
        <is>
          <t>042700</t>
        </is>
      </c>
      <c r="F708" s="29" t="inlineStr">
        <is>
          <t>2024</t>
        </is>
      </c>
      <c r="G708" s="29" t="inlineStr">
        <is>
          <t>CFS</t>
        </is>
      </c>
      <c r="H708" s="29" t="inlineStr">
        <is>
          <t>BS</t>
        </is>
      </c>
      <c r="I708" s="29" t="inlineStr">
        <is>
          <t>재무상태표</t>
        </is>
      </c>
      <c r="J708" s="29" t="inlineStr">
        <is>
          <t>ifrs-full_DeferredTaxLiabilities</t>
        </is>
      </c>
      <c r="K708" s="29" t="inlineStr">
        <is>
          <t>이연법인세부채</t>
        </is>
      </c>
      <c r="L708" s="29" t="inlineStr">
        <is>
          <t>-</t>
        </is>
      </c>
      <c r="M708" s="29" t="inlineStr">
        <is>
          <t>제 45 기</t>
        </is>
      </c>
      <c r="N708" s="29" t="inlineStr">
        <is>
          <t>7076065011.0</t>
        </is>
      </c>
      <c r="O708" s="29" t="inlineStr">
        <is>
          <t>45422230348.0</t>
        </is>
      </c>
      <c r="P708" s="29" t="inlineStr">
        <is>
          <t>KRW</t>
        </is>
      </c>
      <c r="Q708" s="29" t="inlineStr">
        <is>
          <t>47</t>
        </is>
      </c>
    </row>
    <row r="709" ht="24" customHeight="1">
      <c r="A709" s="24" t="inlineStr">
        <is>
          <t>OpenDART_fnlttSinglAcntAll</t>
        </is>
      </c>
      <c r="B709" s="24" t="inlineStr">
        <is>
          <t>00161383</t>
        </is>
      </c>
      <c r="C709" s="24" t="inlineStr">
        <is>
          <t>한미반도체</t>
        </is>
      </c>
      <c r="D709" s="24" t="inlineStr">
        <is>
          <t>hanmi</t>
        </is>
      </c>
      <c r="E709" s="24" t="inlineStr">
        <is>
          <t>042700</t>
        </is>
      </c>
      <c r="F709" s="24" t="inlineStr">
        <is>
          <t>2024</t>
        </is>
      </c>
      <c r="G709" s="24" t="inlineStr">
        <is>
          <t>CFS</t>
        </is>
      </c>
      <c r="H709" s="24" t="inlineStr">
        <is>
          <t>BS</t>
        </is>
      </c>
      <c r="I709" s="24" t="inlineStr">
        <is>
          <t>재무상태표</t>
        </is>
      </c>
      <c r="J709" s="24" t="inlineStr">
        <is>
          <t>ifrs-full_NoncurrentLeaseLiabilities</t>
        </is>
      </c>
      <c r="K709" s="24" t="inlineStr">
        <is>
          <t>비유동 리스부채</t>
        </is>
      </c>
      <c r="L709" s="24" t="inlineStr">
        <is>
          <t>-</t>
        </is>
      </c>
      <c r="M709" s="24" t="inlineStr">
        <is>
          <t>제 45 기</t>
        </is>
      </c>
      <c r="N709" s="24" t="inlineStr">
        <is>
          <t>1462969932.0</t>
        </is>
      </c>
      <c r="O709" s="24" t="inlineStr">
        <is>
          <t>467410377.0</t>
        </is>
      </c>
      <c r="P709" s="24" t="inlineStr">
        <is>
          <t>KRW</t>
        </is>
      </c>
      <c r="Q709" s="24" t="inlineStr">
        <is>
          <t>48</t>
        </is>
      </c>
    </row>
    <row r="710" ht="24" customHeight="1">
      <c r="A710" s="29" t="inlineStr">
        <is>
          <t>OpenDART_fnlttSinglAcntAll</t>
        </is>
      </c>
      <c r="B710" s="29" t="inlineStr">
        <is>
          <t>00161383</t>
        </is>
      </c>
      <c r="C710" s="29" t="inlineStr">
        <is>
          <t>한미반도체</t>
        </is>
      </c>
      <c r="D710" s="29" t="inlineStr">
        <is>
          <t>hanmi</t>
        </is>
      </c>
      <c r="E710" s="29" t="inlineStr">
        <is>
          <t>042700</t>
        </is>
      </c>
      <c r="F710" s="29" t="inlineStr">
        <is>
          <t>2024</t>
        </is>
      </c>
      <c r="G710" s="29" t="inlineStr">
        <is>
          <t>CFS</t>
        </is>
      </c>
      <c r="H710" s="29" t="inlineStr">
        <is>
          <t>BS</t>
        </is>
      </c>
      <c r="I710" s="29" t="inlineStr">
        <is>
          <t>재무상태표</t>
        </is>
      </c>
      <c r="J710" s="29" t="inlineStr">
        <is>
          <t>ifrs-full_NoncurrentProvisions</t>
        </is>
      </c>
      <c r="K710" s="29" t="inlineStr">
        <is>
          <t>비유동충당부채</t>
        </is>
      </c>
      <c r="L710" s="29" t="inlineStr">
        <is>
          <t>-</t>
        </is>
      </c>
      <c r="M710" s="29" t="inlineStr">
        <is>
          <t>제 45 기</t>
        </is>
      </c>
      <c r="N710" s="29" t="inlineStr">
        <is>
          <t>15522064.0</t>
        </is>
      </c>
      <c r="O710" s="29" t="inlineStr">
        <is>
          <t>40371029.0</t>
        </is>
      </c>
      <c r="P710" s="29" t="inlineStr">
        <is>
          <t>KRW</t>
        </is>
      </c>
      <c r="Q710" s="29" t="inlineStr">
        <is>
          <t>49</t>
        </is>
      </c>
    </row>
    <row r="711" ht="24" customHeight="1">
      <c r="A711" s="24" t="inlineStr">
        <is>
          <t>OpenDART_fnlttSinglAcntAll</t>
        </is>
      </c>
      <c r="B711" s="24" t="inlineStr">
        <is>
          <t>00161383</t>
        </is>
      </c>
      <c r="C711" s="24" t="inlineStr">
        <is>
          <t>한미반도체</t>
        </is>
      </c>
      <c r="D711" s="24" t="inlineStr">
        <is>
          <t>hanmi</t>
        </is>
      </c>
      <c r="E711" s="24" t="inlineStr">
        <is>
          <t>042700</t>
        </is>
      </c>
      <c r="F711" s="24" t="inlineStr">
        <is>
          <t>2024</t>
        </is>
      </c>
      <c r="G711" s="24" t="inlineStr">
        <is>
          <t>CFS</t>
        </is>
      </c>
      <c r="H711" s="24" t="inlineStr">
        <is>
          <t>BS</t>
        </is>
      </c>
      <c r="I711" s="24" t="inlineStr">
        <is>
          <t>재무상태표</t>
        </is>
      </c>
      <c r="J711" s="24" t="inlineStr">
        <is>
          <t>ifrs-full_OtherNoncurrentFinancialLiabilities</t>
        </is>
      </c>
      <c r="K711" s="24" t="inlineStr">
        <is>
          <t>기타비유동금융부채</t>
        </is>
      </c>
      <c r="L711" s="24" t="inlineStr">
        <is>
          <t>-</t>
        </is>
      </c>
      <c r="M711" s="24" t="inlineStr">
        <is>
          <t>제 45 기</t>
        </is>
      </c>
      <c r="N711" s="24" t="inlineStr">
        <is>
          <t>448550134.0</t>
        </is>
      </c>
      <c r="O711" s="24" t="inlineStr">
        <is>
          <t>440694089.0</t>
        </is>
      </c>
      <c r="P711" s="24" t="inlineStr">
        <is>
          <t>KRW</t>
        </is>
      </c>
      <c r="Q711" s="24" t="inlineStr">
        <is>
          <t>50</t>
        </is>
      </c>
    </row>
    <row r="712" ht="24" customHeight="1">
      <c r="A712" s="29" t="inlineStr">
        <is>
          <t>OpenDART_fnlttSinglAcntAll</t>
        </is>
      </c>
      <c r="B712" s="29" t="inlineStr">
        <is>
          <t>00161383</t>
        </is>
      </c>
      <c r="C712" s="29" t="inlineStr">
        <is>
          <t>한미반도체</t>
        </is>
      </c>
      <c r="D712" s="29" t="inlineStr">
        <is>
          <t>hanmi</t>
        </is>
      </c>
      <c r="E712" s="29" t="inlineStr">
        <is>
          <t>042700</t>
        </is>
      </c>
      <c r="F712" s="29" t="inlineStr">
        <is>
          <t>2024</t>
        </is>
      </c>
      <c r="G712" s="29" t="inlineStr">
        <is>
          <t>CFS</t>
        </is>
      </c>
      <c r="H712" s="29" t="inlineStr">
        <is>
          <t>BS</t>
        </is>
      </c>
      <c r="I712" s="29" t="inlineStr">
        <is>
          <t>재무상태표</t>
        </is>
      </c>
      <c r="J712" s="29" t="inlineStr">
        <is>
          <t>ifrs-full_OtherNoncurrentLiabilities</t>
        </is>
      </c>
      <c r="K712" s="29" t="inlineStr">
        <is>
          <t>기타 비유동 부채</t>
        </is>
      </c>
      <c r="L712" s="29" t="inlineStr">
        <is>
          <t>-</t>
        </is>
      </c>
      <c r="M712" s="29" t="inlineStr">
        <is>
          <t>제 45 기</t>
        </is>
      </c>
      <c r="N712" s="29" t="inlineStr">
        <is>
          <t>940782769.0</t>
        </is>
      </c>
      <c r="O712" s="29" t="inlineStr">
        <is>
          <t>560122186.0</t>
        </is>
      </c>
      <c r="P712" s="29" t="inlineStr">
        <is>
          <t>KRW</t>
        </is>
      </c>
      <c r="Q712" s="29" t="inlineStr">
        <is>
          <t>51</t>
        </is>
      </c>
    </row>
    <row r="713" ht="24" customHeight="1">
      <c r="A713" s="24" t="inlineStr">
        <is>
          <t>OpenDART_fnlttSinglAcntAll</t>
        </is>
      </c>
      <c r="B713" s="24" t="inlineStr">
        <is>
          <t>00161383</t>
        </is>
      </c>
      <c r="C713" s="24" t="inlineStr">
        <is>
          <t>한미반도체</t>
        </is>
      </c>
      <c r="D713" s="24" t="inlineStr">
        <is>
          <t>hanmi</t>
        </is>
      </c>
      <c r="E713" s="24" t="inlineStr">
        <is>
          <t>042700</t>
        </is>
      </c>
      <c r="F713" s="24" t="inlineStr">
        <is>
          <t>2024</t>
        </is>
      </c>
      <c r="G713" s="24" t="inlineStr">
        <is>
          <t>CFS</t>
        </is>
      </c>
      <c r="H713" s="24" t="inlineStr">
        <is>
          <t>CIS</t>
        </is>
      </c>
      <c r="I713" s="24" t="inlineStr">
        <is>
          <t>포괄손익계산서</t>
        </is>
      </c>
      <c r="J713" s="24" t="inlineStr">
        <is>
          <t>dart_NonOperatingExpense</t>
        </is>
      </c>
      <c r="K713" s="24" t="inlineStr">
        <is>
          <t>영업외비용</t>
        </is>
      </c>
      <c r="L713" s="24" t="inlineStr">
        <is>
          <t>-</t>
        </is>
      </c>
      <c r="M713" s="24" t="inlineStr">
        <is>
          <t>제 45 기</t>
        </is>
      </c>
      <c r="N713" s="24" t="inlineStr">
        <is>
          <t>88370636180.0</t>
        </is>
      </c>
      <c r="O713" s="24" t="inlineStr">
        <is>
          <t>1634208906.0</t>
        </is>
      </c>
      <c r="P713" s="24" t="inlineStr">
        <is>
          <t>KRW</t>
        </is>
      </c>
      <c r="Q713" s="24" t="inlineStr">
        <is>
          <t>6</t>
        </is>
      </c>
    </row>
    <row r="714" ht="24" customHeight="1">
      <c r="A714" s="29" t="inlineStr">
        <is>
          <t>OpenDART_fnlttSinglAcntAll</t>
        </is>
      </c>
      <c r="B714" s="29" t="inlineStr">
        <is>
          <t>00161383</t>
        </is>
      </c>
      <c r="C714" s="29" t="inlineStr">
        <is>
          <t>한미반도체</t>
        </is>
      </c>
      <c r="D714" s="29" t="inlineStr">
        <is>
          <t>hanmi</t>
        </is>
      </c>
      <c r="E714" s="29" t="inlineStr">
        <is>
          <t>042700</t>
        </is>
      </c>
      <c r="F714" s="29" t="inlineStr">
        <is>
          <t>2024</t>
        </is>
      </c>
      <c r="G714" s="29" t="inlineStr">
        <is>
          <t>CFS</t>
        </is>
      </c>
      <c r="H714" s="29" t="inlineStr">
        <is>
          <t>CIS</t>
        </is>
      </c>
      <c r="I714" s="29" t="inlineStr">
        <is>
          <t>포괄손익계산서</t>
        </is>
      </c>
      <c r="J714" s="29" t="inlineStr">
        <is>
          <t>dart_NonOperatingIncome</t>
        </is>
      </c>
      <c r="K714" s="29" t="inlineStr">
        <is>
          <t>영업외수익</t>
        </is>
      </c>
      <c r="L714" s="29" t="inlineStr">
        <is>
          <t>-</t>
        </is>
      </c>
      <c r="M714" s="29" t="inlineStr">
        <is>
          <t>제 45 기</t>
        </is>
      </c>
      <c r="N714" s="29" t="inlineStr">
        <is>
          <t>2822640774.0</t>
        </is>
      </c>
      <c r="O714" s="29" t="inlineStr">
        <is>
          <t>300256406809.0</t>
        </is>
      </c>
      <c r="P714" s="29" t="inlineStr">
        <is>
          <t>KRW</t>
        </is>
      </c>
      <c r="Q714" s="29" t="inlineStr">
        <is>
          <t>7</t>
        </is>
      </c>
    </row>
    <row r="715" ht="24" customHeight="1">
      <c r="A715" s="24" t="inlineStr">
        <is>
          <t>OpenDART_fnlttSinglAcntAll</t>
        </is>
      </c>
      <c r="B715" s="24" t="inlineStr">
        <is>
          <t>00161383</t>
        </is>
      </c>
      <c r="C715" s="24" t="inlineStr">
        <is>
          <t>한미반도체</t>
        </is>
      </c>
      <c r="D715" s="24" t="inlineStr">
        <is>
          <t>hanmi</t>
        </is>
      </c>
      <c r="E715" s="24" t="inlineStr">
        <is>
          <t>042700</t>
        </is>
      </c>
      <c r="F715" s="24" t="inlineStr">
        <is>
          <t>2024</t>
        </is>
      </c>
      <c r="G715" s="24" t="inlineStr">
        <is>
          <t>CFS</t>
        </is>
      </c>
      <c r="H715" s="24" t="inlineStr">
        <is>
          <t>CIS</t>
        </is>
      </c>
      <c r="I715" s="24" t="inlineStr">
        <is>
          <t>포괄손익계산서</t>
        </is>
      </c>
      <c r="J715" s="24" t="inlineStr">
        <is>
          <t>dart_OperatingIncomeLoss</t>
        </is>
      </c>
      <c r="K715" s="24" t="inlineStr">
        <is>
          <t>영업이익(손실)</t>
        </is>
      </c>
      <c r="L715" s="24" t="inlineStr">
        <is>
          <t>-</t>
        </is>
      </c>
      <c r="M715" s="24" t="inlineStr">
        <is>
          <t>제 45 기</t>
        </is>
      </c>
      <c r="N715" s="24" t="inlineStr">
        <is>
          <t>255391604854.0</t>
        </is>
      </c>
      <c r="O715" s="24" t="inlineStr">
        <is>
          <t>34571410992.0</t>
        </is>
      </c>
      <c r="P715" s="24" t="inlineStr">
        <is>
          <t>KRW</t>
        </is>
      </c>
      <c r="Q715" s="24" t="inlineStr">
        <is>
          <t>8</t>
        </is>
      </c>
    </row>
    <row r="716" ht="24" customHeight="1">
      <c r="A716" s="29" t="inlineStr">
        <is>
          <t>OpenDART_fnlttSinglAcntAll</t>
        </is>
      </c>
      <c r="B716" s="29" t="inlineStr">
        <is>
          <t>00161383</t>
        </is>
      </c>
      <c r="C716" s="29" t="inlineStr">
        <is>
          <t>한미반도체</t>
        </is>
      </c>
      <c r="D716" s="29" t="inlineStr">
        <is>
          <t>hanmi</t>
        </is>
      </c>
      <c r="E716" s="29" t="inlineStr">
        <is>
          <t>042700</t>
        </is>
      </c>
      <c r="F716" s="29" t="inlineStr">
        <is>
          <t>2024</t>
        </is>
      </c>
      <c r="G716" s="29" t="inlineStr">
        <is>
          <t>CFS</t>
        </is>
      </c>
      <c r="H716" s="29" t="inlineStr">
        <is>
          <t>CIS</t>
        </is>
      </c>
      <c r="I716" s="29" t="inlineStr">
        <is>
          <t>포괄손익계산서</t>
        </is>
      </c>
      <c r="J716" s="29" t="inlineStr">
        <is>
          <t>dart_TotalSellingGeneralAdministrativeExpenses</t>
        </is>
      </c>
      <c r="K716" s="29" t="inlineStr">
        <is>
          <t>판매비와관리비</t>
        </is>
      </c>
      <c r="L716" s="29" t="inlineStr">
        <is>
          <t>-</t>
        </is>
      </c>
      <c r="M716" s="29" t="inlineStr">
        <is>
          <t>제 45 기</t>
        </is>
      </c>
      <c r="N716" s="29" t="inlineStr">
        <is>
          <t>41275747991.0</t>
        </is>
      </c>
      <c r="O716" s="29" t="inlineStr">
        <is>
          <t>28972848032.0</t>
        </is>
      </c>
      <c r="P716" s="29" t="inlineStr">
        <is>
          <t>KRW</t>
        </is>
      </c>
      <c r="Q716" s="29" t="inlineStr">
        <is>
          <t>9</t>
        </is>
      </c>
    </row>
    <row r="717" ht="24" customHeight="1">
      <c r="A717" s="24" t="inlineStr">
        <is>
          <t>OpenDART_fnlttSinglAcntAll</t>
        </is>
      </c>
      <c r="B717" s="24" t="inlineStr">
        <is>
          <t>00161383</t>
        </is>
      </c>
      <c r="C717" s="24" t="inlineStr">
        <is>
          <t>한미반도체</t>
        </is>
      </c>
      <c r="D717" s="24" t="inlineStr">
        <is>
          <t>hanmi</t>
        </is>
      </c>
      <c r="E717" s="24" t="inlineStr">
        <is>
          <t>042700</t>
        </is>
      </c>
      <c r="F717" s="24" t="inlineStr">
        <is>
          <t>2024</t>
        </is>
      </c>
      <c r="G717" s="24" t="inlineStr">
        <is>
          <t>CFS</t>
        </is>
      </c>
      <c r="H717" s="24" t="inlineStr">
        <is>
          <t>CIS</t>
        </is>
      </c>
      <c r="I717" s="24" t="inlineStr">
        <is>
          <t>포괄손익계산서</t>
        </is>
      </c>
      <c r="J717" s="24" t="inlineStr">
        <is>
          <t>ifrs-full_ComprehensiveIncome</t>
        </is>
      </c>
      <c r="K717" s="24" t="inlineStr">
        <is>
          <t>총포괄손익</t>
        </is>
      </c>
      <c r="L717" s="24" t="inlineStr">
        <is>
          <t>-</t>
        </is>
      </c>
      <c r="M717" s="24" t="inlineStr">
        <is>
          <t>제 45 기</t>
        </is>
      </c>
      <c r="N717" s="24" t="inlineStr">
        <is>
          <t>150500341186.0</t>
        </is>
      </c>
      <c r="O717" s="24" t="inlineStr">
        <is>
          <t>266416214999.0</t>
        </is>
      </c>
      <c r="P717" s="24" t="inlineStr">
        <is>
          <t>KRW</t>
        </is>
      </c>
      <c r="Q717" s="24" t="inlineStr">
        <is>
          <t>10</t>
        </is>
      </c>
    </row>
    <row r="718" ht="24" customHeight="1">
      <c r="A718" s="29" t="inlineStr">
        <is>
          <t>OpenDART_fnlttSinglAcntAll</t>
        </is>
      </c>
      <c r="B718" s="29" t="inlineStr">
        <is>
          <t>00161383</t>
        </is>
      </c>
      <c r="C718" s="29" t="inlineStr">
        <is>
          <t>한미반도체</t>
        </is>
      </c>
      <c r="D718" s="29" t="inlineStr">
        <is>
          <t>hanmi</t>
        </is>
      </c>
      <c r="E718" s="29" t="inlineStr">
        <is>
          <t>042700</t>
        </is>
      </c>
      <c r="F718" s="29" t="inlineStr">
        <is>
          <t>2024</t>
        </is>
      </c>
      <c r="G718" s="29" t="inlineStr">
        <is>
          <t>CFS</t>
        </is>
      </c>
      <c r="H718" s="29" t="inlineStr">
        <is>
          <t>CIS</t>
        </is>
      </c>
      <c r="I718" s="29" t="inlineStr">
        <is>
          <t>포괄손익계산서</t>
        </is>
      </c>
      <c r="J718" s="29" t="inlineStr">
        <is>
          <t>ifrs-full_ComprehensiveIncomeAttributableToOwnersOfParent</t>
        </is>
      </c>
      <c r="K718" s="29" t="inlineStr">
        <is>
          <t>포괄손익, 지배기업의 소유주에게 귀속되는 지분</t>
        </is>
      </c>
      <c r="L718" s="29" t="inlineStr">
        <is>
          <t>-</t>
        </is>
      </c>
      <c r="M718" s="29" t="inlineStr">
        <is>
          <t>제 45 기</t>
        </is>
      </c>
      <c r="N718" s="29" t="inlineStr">
        <is>
          <t>150500341186.0</t>
        </is>
      </c>
      <c r="O718" s="29" t="inlineStr">
        <is>
          <t>266416214999.0</t>
        </is>
      </c>
      <c r="P718" s="29" t="inlineStr">
        <is>
          <t>KRW</t>
        </is>
      </c>
      <c r="Q718" s="29" t="inlineStr">
        <is>
          <t>13</t>
        </is>
      </c>
    </row>
    <row r="719" ht="24" customHeight="1">
      <c r="A719" s="24" t="inlineStr">
        <is>
          <t>OpenDART_fnlttSinglAcntAll</t>
        </is>
      </c>
      <c r="B719" s="24" t="inlineStr">
        <is>
          <t>00161383</t>
        </is>
      </c>
      <c r="C719" s="24" t="inlineStr">
        <is>
          <t>한미반도체</t>
        </is>
      </c>
      <c r="D719" s="24" t="inlineStr">
        <is>
          <t>hanmi</t>
        </is>
      </c>
      <c r="E719" s="24" t="inlineStr">
        <is>
          <t>042700</t>
        </is>
      </c>
      <c r="F719" s="24" t="inlineStr">
        <is>
          <t>2024</t>
        </is>
      </c>
      <c r="G719" s="24" t="inlineStr">
        <is>
          <t>CFS</t>
        </is>
      </c>
      <c r="H719" s="24" t="inlineStr">
        <is>
          <t>CIS</t>
        </is>
      </c>
      <c r="I719" s="24" t="inlineStr">
        <is>
          <t>포괄손익계산서</t>
        </is>
      </c>
      <c r="J719" s="24" t="inlineStr">
        <is>
          <t>ifrs-full_CostOfSales</t>
        </is>
      </c>
      <c r="K719" s="24" t="inlineStr">
        <is>
          <t>매출원가</t>
        </is>
      </c>
      <c r="L719" s="24" t="inlineStr">
        <is>
          <t>-</t>
        </is>
      </c>
      <c r="M719" s="24" t="inlineStr">
        <is>
          <t>제 45 기</t>
        </is>
      </c>
      <c r="N719" s="24" t="inlineStr">
        <is>
          <t>244394994634.0</t>
        </is>
      </c>
      <c r="O719" s="24" t="inlineStr">
        <is>
          <t>79604579238.0</t>
        </is>
      </c>
      <c r="P719" s="24" t="inlineStr">
        <is>
          <t>KRW</t>
        </is>
      </c>
      <c r="Q719" s="24" t="inlineStr">
        <is>
          <t>14</t>
        </is>
      </c>
    </row>
    <row r="720" ht="24" customHeight="1">
      <c r="A720" s="29" t="inlineStr">
        <is>
          <t>OpenDART_fnlttSinglAcntAll</t>
        </is>
      </c>
      <c r="B720" s="29" t="inlineStr">
        <is>
          <t>00161383</t>
        </is>
      </c>
      <c r="C720" s="29" t="inlineStr">
        <is>
          <t>한미반도체</t>
        </is>
      </c>
      <c r="D720" s="29" t="inlineStr">
        <is>
          <t>hanmi</t>
        </is>
      </c>
      <c r="E720" s="29" t="inlineStr">
        <is>
          <t>042700</t>
        </is>
      </c>
      <c r="F720" s="29" t="inlineStr">
        <is>
          <t>2024</t>
        </is>
      </c>
      <c r="G720" s="29" t="inlineStr">
        <is>
          <t>CFS</t>
        </is>
      </c>
      <c r="H720" s="29" t="inlineStr">
        <is>
          <t>CIS</t>
        </is>
      </c>
      <c r="I720" s="29" t="inlineStr">
        <is>
          <t>포괄손익계산서</t>
        </is>
      </c>
      <c r="J720" s="29" t="inlineStr">
        <is>
          <t>ifrs-full_BasicEarningsLossPerShare</t>
        </is>
      </c>
      <c r="K720" s="29" t="inlineStr">
        <is>
          <t>기본주당이익(손실)</t>
        </is>
      </c>
      <c r="L720" s="29" t="inlineStr">
        <is>
          <t>-</t>
        </is>
      </c>
      <c r="M720" s="29" t="inlineStr">
        <is>
          <t>제 45 기</t>
        </is>
      </c>
      <c r="N720" s="29" t="inlineStr">
        <is>
          <t>1589.0</t>
        </is>
      </c>
      <c r="O720" s="29" t="inlineStr">
        <is>
          <t>2753.0</t>
        </is>
      </c>
      <c r="P720" s="29" t="inlineStr">
        <is>
          <t>KRW</t>
        </is>
      </c>
      <c r="Q720" s="29" t="inlineStr">
        <is>
          <t>16</t>
        </is>
      </c>
    </row>
    <row r="721" ht="24" customHeight="1">
      <c r="A721" s="24" t="inlineStr">
        <is>
          <t>OpenDART_fnlttSinglAcntAll</t>
        </is>
      </c>
      <c r="B721" s="24" t="inlineStr">
        <is>
          <t>00161383</t>
        </is>
      </c>
      <c r="C721" s="24" t="inlineStr">
        <is>
          <t>한미반도체</t>
        </is>
      </c>
      <c r="D721" s="24" t="inlineStr">
        <is>
          <t>hanmi</t>
        </is>
      </c>
      <c r="E721" s="24" t="inlineStr">
        <is>
          <t>042700</t>
        </is>
      </c>
      <c r="F721" s="24" t="inlineStr">
        <is>
          <t>2024</t>
        </is>
      </c>
      <c r="G721" s="24" t="inlineStr">
        <is>
          <t>CFS</t>
        </is>
      </c>
      <c r="H721" s="24" t="inlineStr">
        <is>
          <t>CIS</t>
        </is>
      </c>
      <c r="I721" s="24" t="inlineStr">
        <is>
          <t>포괄손익계산서</t>
        </is>
      </c>
      <c r="J721" s="24" t="inlineStr">
        <is>
          <t>ifrs-full_DilutedEarningsLossPerShare</t>
        </is>
      </c>
      <c r="K721" s="24" t="inlineStr">
        <is>
          <t>희석주당이익(손실)</t>
        </is>
      </c>
      <c r="L721" s="24" t="inlineStr">
        <is>
          <t>-</t>
        </is>
      </c>
      <c r="M721" s="24" t="inlineStr">
        <is>
          <t>제 45 기</t>
        </is>
      </c>
      <c r="N721" s="24" t="inlineStr">
        <is>
          <t>1584.0</t>
        </is>
      </c>
      <c r="O721" s="24" t="inlineStr">
        <is>
          <t>2753.0</t>
        </is>
      </c>
      <c r="P721" s="24" t="inlineStr">
        <is>
          <t>KRW</t>
        </is>
      </c>
      <c r="Q721" s="24" t="inlineStr">
        <is>
          <t>17</t>
        </is>
      </c>
    </row>
    <row r="722" ht="24" customHeight="1">
      <c r="A722" s="29" t="inlineStr">
        <is>
          <t>OpenDART_fnlttSinglAcntAll</t>
        </is>
      </c>
      <c r="B722" s="29" t="inlineStr">
        <is>
          <t>00161383</t>
        </is>
      </c>
      <c r="C722" s="29" t="inlineStr">
        <is>
          <t>한미반도체</t>
        </is>
      </c>
      <c r="D722" s="29" t="inlineStr">
        <is>
          <t>hanmi</t>
        </is>
      </c>
      <c r="E722" s="29" t="inlineStr">
        <is>
          <t>042700</t>
        </is>
      </c>
      <c r="F722" s="29" t="inlineStr">
        <is>
          <t>2024</t>
        </is>
      </c>
      <c r="G722" s="29" t="inlineStr">
        <is>
          <t>CFS</t>
        </is>
      </c>
      <c r="H722" s="29" t="inlineStr">
        <is>
          <t>CIS</t>
        </is>
      </c>
      <c r="I722" s="29" t="inlineStr">
        <is>
          <t>포괄손익계산서</t>
        </is>
      </c>
      <c r="J722" s="29" t="inlineStr">
        <is>
          <t>ifrs-full_FinanceCosts</t>
        </is>
      </c>
      <c r="K722" s="29" t="inlineStr">
        <is>
          <t>금융원가</t>
        </is>
      </c>
      <c r="L722" s="29" t="inlineStr">
        <is>
          <t>-</t>
        </is>
      </c>
      <c r="M722" s="29" t="inlineStr">
        <is>
          <t>제 45 기</t>
        </is>
      </c>
      <c r="N722" s="29" t="inlineStr">
        <is>
          <t>6078237057.0</t>
        </is>
      </c>
      <c r="O722" s="29" t="inlineStr">
        <is>
          <t>10157405048.0</t>
        </is>
      </c>
      <c r="P722" s="29" t="inlineStr">
        <is>
          <t>KRW</t>
        </is>
      </c>
      <c r="Q722" s="29" t="inlineStr">
        <is>
          <t>18</t>
        </is>
      </c>
    </row>
    <row r="723" ht="24" customHeight="1">
      <c r="A723" s="24" t="inlineStr">
        <is>
          <t>OpenDART_fnlttSinglAcntAll</t>
        </is>
      </c>
      <c r="B723" s="24" t="inlineStr">
        <is>
          <t>00161383</t>
        </is>
      </c>
      <c r="C723" s="24" t="inlineStr">
        <is>
          <t>한미반도체</t>
        </is>
      </c>
      <c r="D723" s="24" t="inlineStr">
        <is>
          <t>hanmi</t>
        </is>
      </c>
      <c r="E723" s="24" t="inlineStr">
        <is>
          <t>042700</t>
        </is>
      </c>
      <c r="F723" s="24" t="inlineStr">
        <is>
          <t>2024</t>
        </is>
      </c>
      <c r="G723" s="24" t="inlineStr">
        <is>
          <t>CFS</t>
        </is>
      </c>
      <c r="H723" s="24" t="inlineStr">
        <is>
          <t>CIS</t>
        </is>
      </c>
      <c r="I723" s="24" t="inlineStr">
        <is>
          <t>포괄손익계산서</t>
        </is>
      </c>
      <c r="J723" s="24" t="inlineStr">
        <is>
          <t>ifrs-full_FinanceIncome</t>
        </is>
      </c>
      <c r="K723" s="24" t="inlineStr">
        <is>
          <t>금융수익</t>
        </is>
      </c>
      <c r="L723" s="24" t="inlineStr">
        <is>
          <t>-</t>
        </is>
      </c>
      <c r="M723" s="24" t="inlineStr">
        <is>
          <t>제 45 기</t>
        </is>
      </c>
      <c r="N723" s="24" t="inlineStr">
        <is>
          <t>34491545262.0</t>
        </is>
      </c>
      <c r="O723" s="24" t="inlineStr">
        <is>
          <t>17869000863.0</t>
        </is>
      </c>
      <c r="P723" s="24" t="inlineStr">
        <is>
          <t>KRW</t>
        </is>
      </c>
      <c r="Q723" s="24" t="inlineStr">
        <is>
          <t>19</t>
        </is>
      </c>
    </row>
    <row r="724" ht="24" customHeight="1">
      <c r="A724" s="29" t="inlineStr">
        <is>
          <t>OpenDART_fnlttSinglAcntAll</t>
        </is>
      </c>
      <c r="B724" s="29" t="inlineStr">
        <is>
          <t>00161383</t>
        </is>
      </c>
      <c r="C724" s="29" t="inlineStr">
        <is>
          <t>한미반도체</t>
        </is>
      </c>
      <c r="D724" s="29" t="inlineStr">
        <is>
          <t>hanmi</t>
        </is>
      </c>
      <c r="E724" s="29" t="inlineStr">
        <is>
          <t>042700</t>
        </is>
      </c>
      <c r="F724" s="29" t="inlineStr">
        <is>
          <t>2024</t>
        </is>
      </c>
      <c r="G724" s="29" t="inlineStr">
        <is>
          <t>CFS</t>
        </is>
      </c>
      <c r="H724" s="29" t="inlineStr">
        <is>
          <t>CIS</t>
        </is>
      </c>
      <c r="I724" s="29" t="inlineStr">
        <is>
          <t>포괄손익계산서</t>
        </is>
      </c>
      <c r="J724" s="29" t="inlineStr">
        <is>
          <t>ifrs-full_GrossProfit</t>
        </is>
      </c>
      <c r="K724" s="29" t="inlineStr">
        <is>
          <t>매출총이익</t>
        </is>
      </c>
      <c r="L724" s="29" t="inlineStr">
        <is>
          <t>-</t>
        </is>
      </c>
      <c r="M724" s="29" t="inlineStr">
        <is>
          <t>제 45 기</t>
        </is>
      </c>
      <c r="N724" s="29" t="inlineStr">
        <is>
          <t>314522196913.0</t>
        </is>
      </c>
      <c r="O724" s="29" t="inlineStr">
        <is>
          <t>79403949128.0</t>
        </is>
      </c>
      <c r="P724" s="29" t="inlineStr">
        <is>
          <t>KRW</t>
        </is>
      </c>
      <c r="Q724" s="29" t="inlineStr">
        <is>
          <t>20</t>
        </is>
      </c>
    </row>
    <row r="725" ht="24" customHeight="1">
      <c r="A725" s="24" t="inlineStr">
        <is>
          <t>OpenDART_fnlttSinglAcntAll</t>
        </is>
      </c>
      <c r="B725" s="24" t="inlineStr">
        <is>
          <t>00161383</t>
        </is>
      </c>
      <c r="C725" s="24" t="inlineStr">
        <is>
          <t>한미반도체</t>
        </is>
      </c>
      <c r="D725" s="24" t="inlineStr">
        <is>
          <t>hanmi</t>
        </is>
      </c>
      <c r="E725" s="24" t="inlineStr">
        <is>
          <t>042700</t>
        </is>
      </c>
      <c r="F725" s="24" t="inlineStr">
        <is>
          <t>2024</t>
        </is>
      </c>
      <c r="G725" s="24" t="inlineStr">
        <is>
          <t>CFS</t>
        </is>
      </c>
      <c r="H725" s="24" t="inlineStr">
        <is>
          <t>CIS</t>
        </is>
      </c>
      <c r="I725" s="24" t="inlineStr">
        <is>
          <t>포괄손익계산서</t>
        </is>
      </c>
      <c r="J725" s="24" t="inlineStr">
        <is>
          <t>ifrs-full_IncomeTaxExpenseContinuingOperations</t>
        </is>
      </c>
      <c r="K725" s="24" t="inlineStr">
        <is>
          <t>법인세비용(수익)</t>
        </is>
      </c>
      <c r="L725" s="24" t="inlineStr">
        <is>
          <t>-</t>
        </is>
      </c>
      <c r="M725" s="24" t="inlineStr">
        <is>
          <t>제 45 기</t>
        </is>
      </c>
      <c r="N725" s="24" t="inlineStr">
        <is>
          <t>45759900620.0</t>
        </is>
      </c>
      <c r="O725" s="24" t="inlineStr">
        <is>
          <t>78112045929.0</t>
        </is>
      </c>
      <c r="P725" s="24" t="inlineStr">
        <is>
          <t>KRW</t>
        </is>
      </c>
      <c r="Q725" s="24" t="inlineStr">
        <is>
          <t>21</t>
        </is>
      </c>
    </row>
    <row r="726" ht="24" customHeight="1">
      <c r="A726" s="29" t="inlineStr">
        <is>
          <t>OpenDART_fnlttSinglAcntAll</t>
        </is>
      </c>
      <c r="B726" s="29" t="inlineStr">
        <is>
          <t>00161383</t>
        </is>
      </c>
      <c r="C726" s="29" t="inlineStr">
        <is>
          <t>한미반도체</t>
        </is>
      </c>
      <c r="D726" s="29" t="inlineStr">
        <is>
          <t>hanmi</t>
        </is>
      </c>
      <c r="E726" s="29" t="inlineStr">
        <is>
          <t>042700</t>
        </is>
      </c>
      <c r="F726" s="29" t="inlineStr">
        <is>
          <t>2024</t>
        </is>
      </c>
      <c r="G726" s="29" t="inlineStr">
        <is>
          <t>CFS</t>
        </is>
      </c>
      <c r="H726" s="29" t="inlineStr">
        <is>
          <t>CIS</t>
        </is>
      </c>
      <c r="I726" s="29" t="inlineStr">
        <is>
          <t>포괄손익계산서</t>
        </is>
      </c>
      <c r="J726" s="29" t="inlineStr">
        <is>
          <t>ifrs-full_OtherComprehensiveIncome</t>
        </is>
      </c>
      <c r="K726" s="29" t="inlineStr">
        <is>
          <t>기타포괄손익</t>
        </is>
      </c>
      <c r="L726" s="29" t="inlineStr">
        <is>
          <t>-</t>
        </is>
      </c>
      <c r="M726" s="29" t="inlineStr">
        <is>
          <t>제 45 기</t>
        </is>
      </c>
      <c r="N726" s="29" t="inlineStr">
        <is>
          <t>-2114156815.0</t>
        </is>
      </c>
      <c r="O726" s="29" t="inlineStr">
        <is>
          <t>-751300859.0</t>
        </is>
      </c>
      <c r="P726" s="29" t="inlineStr">
        <is>
          <t>KRW</t>
        </is>
      </c>
      <c r="Q726" s="29" t="inlineStr">
        <is>
          <t>22</t>
        </is>
      </c>
    </row>
    <row r="727" ht="24" customHeight="1">
      <c r="A727" s="24" t="inlineStr">
        <is>
          <t>OpenDART_fnlttSinglAcntAll</t>
        </is>
      </c>
      <c r="B727" s="24" t="inlineStr">
        <is>
          <t>00161383</t>
        </is>
      </c>
      <c r="C727" s="24" t="inlineStr">
        <is>
          <t>한미반도체</t>
        </is>
      </c>
      <c r="D727" s="24" t="inlineStr">
        <is>
          <t>hanmi</t>
        </is>
      </c>
      <c r="E727" s="24" t="inlineStr">
        <is>
          <t>042700</t>
        </is>
      </c>
      <c r="F727" s="24" t="inlineStr">
        <is>
          <t>2024</t>
        </is>
      </c>
      <c r="G727" s="24" t="inlineStr">
        <is>
          <t>CFS</t>
        </is>
      </c>
      <c r="H727" s="24" t="inlineStr">
        <is>
          <t>CIS</t>
        </is>
      </c>
      <c r="I727" s="24" t="inlineStr">
        <is>
          <t>포괄손익계산서</t>
        </is>
      </c>
      <c r="J727" s="24" t="inlineStr">
        <is>
          <t>ifrs-full_OtherComprehensiveIncomeThatWillBeReclassifiedToProfitOrLossNetOfTax</t>
        </is>
      </c>
      <c r="K727" s="24" t="inlineStr">
        <is>
          <t>당기손익으로 재분류될 수 있는 항목(세후기타포괄손익)</t>
        </is>
      </c>
      <c r="L727" s="24" t="inlineStr">
        <is>
          <t>-</t>
        </is>
      </c>
      <c r="M727" s="24" t="inlineStr">
        <is>
          <t>제 45 기</t>
        </is>
      </c>
      <c r="N727" s="24" t="inlineStr">
        <is>
          <t>240631470.0</t>
        </is>
      </c>
      <c r="O727" s="24" t="inlineStr">
        <is>
          <t>-696225481.0</t>
        </is>
      </c>
      <c r="P727" s="24" t="inlineStr">
        <is>
          <t>KRW</t>
        </is>
      </c>
      <c r="Q727" s="24" t="inlineStr">
        <is>
          <t>23</t>
        </is>
      </c>
    </row>
    <row r="728" ht="24" customHeight="1">
      <c r="A728" s="29" t="inlineStr">
        <is>
          <t>OpenDART_fnlttSinglAcntAll</t>
        </is>
      </c>
      <c r="B728" s="29" t="inlineStr">
        <is>
          <t>00161383</t>
        </is>
      </c>
      <c r="C728" s="29" t="inlineStr">
        <is>
          <t>한미반도체</t>
        </is>
      </c>
      <c r="D728" s="29" t="inlineStr">
        <is>
          <t>hanmi</t>
        </is>
      </c>
      <c r="E728" s="29" t="inlineStr">
        <is>
          <t>042700</t>
        </is>
      </c>
      <c r="F728" s="29" t="inlineStr">
        <is>
          <t>2024</t>
        </is>
      </c>
      <c r="G728" s="29" t="inlineStr">
        <is>
          <t>CFS</t>
        </is>
      </c>
      <c r="H728" s="29" t="inlineStr">
        <is>
          <t>CIS</t>
        </is>
      </c>
      <c r="I728" s="29" t="inlineStr">
        <is>
          <t>포괄손익계산서</t>
        </is>
      </c>
      <c r="J728" s="29" t="inlineStr">
        <is>
          <t>ifrs-full_GainsLossesOnExchangeDifferencesOnTranslationNetOfTax</t>
        </is>
      </c>
      <c r="K728" s="29" t="inlineStr">
        <is>
          <t>해외사업장환산외환차이(세후기타포괄손익)</t>
        </is>
      </c>
      <c r="L728" s="29" t="inlineStr">
        <is>
          <t>-</t>
        </is>
      </c>
      <c r="M728" s="29" t="inlineStr">
        <is>
          <t>제 45 기</t>
        </is>
      </c>
      <c r="N728" s="29" t="inlineStr">
        <is>
          <t>240631470.0</t>
        </is>
      </c>
      <c r="O728" s="29" t="inlineStr">
        <is>
          <t>72723652.0</t>
        </is>
      </c>
      <c r="P728" s="29" t="inlineStr">
        <is>
          <t>KRW</t>
        </is>
      </c>
      <c r="Q728" s="29" t="inlineStr">
        <is>
          <t>24</t>
        </is>
      </c>
    </row>
    <row r="729" ht="24" customHeight="1">
      <c r="A729" s="24" t="inlineStr">
        <is>
          <t>OpenDART_fnlttSinglAcntAll</t>
        </is>
      </c>
      <c r="B729" s="24" t="inlineStr">
        <is>
          <t>00161383</t>
        </is>
      </c>
      <c r="C729" s="24" t="inlineStr">
        <is>
          <t>한미반도체</t>
        </is>
      </c>
      <c r="D729" s="24" t="inlineStr">
        <is>
          <t>hanmi</t>
        </is>
      </c>
      <c r="E729" s="24" t="inlineStr">
        <is>
          <t>042700</t>
        </is>
      </c>
      <c r="F729" s="24" t="inlineStr">
        <is>
          <t>2024</t>
        </is>
      </c>
      <c r="G729" s="24" t="inlineStr">
        <is>
          <t>CFS</t>
        </is>
      </c>
      <c r="H729" s="24" t="inlineStr">
        <is>
          <t>CIS</t>
        </is>
      </c>
      <c r="I729" s="24" t="inlineStr">
        <is>
          <t>포괄손익계산서</t>
        </is>
      </c>
      <c r="J729" s="24" t="inlineStr">
        <is>
          <t>ifrs-full_ShareOfOtherComprehensiveIncomeOfAssociatesAndJointVenturesAccountedForUsingEquityMethodThatWillBeReclassifiedToProfitOrLossNetOfTax</t>
        </is>
      </c>
      <c r="K729" s="24" t="inlineStr">
        <is>
          <t>지분법 적용대상 관계기업과 공동기업의 기타포괄손익에 대한 지분(세후기타포괄손익)</t>
        </is>
      </c>
      <c r="L729" s="24" t="inlineStr">
        <is>
          <t>-</t>
        </is>
      </c>
      <c r="M729" s="24" t="inlineStr">
        <is>
          <t>제 45 기</t>
        </is>
      </c>
      <c r="N729" s="24" t="inlineStr">
        <is>
          <t>해당 없음</t>
        </is>
      </c>
      <c r="O729" s="24" t="inlineStr">
        <is>
          <t>-768949133.0</t>
        </is>
      </c>
      <c r="P729" s="24" t="inlineStr">
        <is>
          <t>KRW</t>
        </is>
      </c>
      <c r="Q729" s="24" t="inlineStr">
        <is>
          <t>25</t>
        </is>
      </c>
    </row>
    <row r="730" ht="24" customHeight="1">
      <c r="A730" s="29" t="inlineStr">
        <is>
          <t>OpenDART_fnlttSinglAcntAll</t>
        </is>
      </c>
      <c r="B730" s="29" t="inlineStr">
        <is>
          <t>00161383</t>
        </is>
      </c>
      <c r="C730" s="29" t="inlineStr">
        <is>
          <t>한미반도체</t>
        </is>
      </c>
      <c r="D730" s="29" t="inlineStr">
        <is>
          <t>hanmi</t>
        </is>
      </c>
      <c r="E730" s="29" t="inlineStr">
        <is>
          <t>042700</t>
        </is>
      </c>
      <c r="F730" s="29" t="inlineStr">
        <is>
          <t>2024</t>
        </is>
      </c>
      <c r="G730" s="29" t="inlineStr">
        <is>
          <t>CFS</t>
        </is>
      </c>
      <c r="H730" s="29" t="inlineStr">
        <is>
          <t>CIS</t>
        </is>
      </c>
      <c r="I730" s="29" t="inlineStr">
        <is>
          <t>포괄손익계산서</t>
        </is>
      </c>
      <c r="J730" s="29" t="inlineStr">
        <is>
          <t>ifrs-full_OtherComprehensiveIncomeThatWillNotBeReclassifiedToProfitOrLossNetOfTax</t>
        </is>
      </c>
      <c r="K730" s="29" t="inlineStr">
        <is>
          <t>당기손익으로 재분류되지 않는항목(세후기타포괄손익)</t>
        </is>
      </c>
      <c r="L730" s="29" t="inlineStr">
        <is>
          <t>-</t>
        </is>
      </c>
      <c r="M730" s="29" t="inlineStr">
        <is>
          <t>제 45 기</t>
        </is>
      </c>
      <c r="N730" s="29" t="inlineStr">
        <is>
          <t>-2354788285.0</t>
        </is>
      </c>
      <c r="O730" s="29" t="inlineStr">
        <is>
          <t>-55075378.0</t>
        </is>
      </c>
      <c r="P730" s="29" t="inlineStr">
        <is>
          <t>KRW</t>
        </is>
      </c>
      <c r="Q730" s="29" t="inlineStr">
        <is>
          <t>26</t>
        </is>
      </c>
    </row>
    <row r="731" ht="24" customHeight="1">
      <c r="A731" s="24" t="inlineStr">
        <is>
          <t>OpenDART_fnlttSinglAcntAll</t>
        </is>
      </c>
      <c r="B731" s="24" t="inlineStr">
        <is>
          <t>00161383</t>
        </is>
      </c>
      <c r="C731" s="24" t="inlineStr">
        <is>
          <t>한미반도체</t>
        </is>
      </c>
      <c r="D731" s="24" t="inlineStr">
        <is>
          <t>hanmi</t>
        </is>
      </c>
      <c r="E731" s="24" t="inlineStr">
        <is>
          <t>042700</t>
        </is>
      </c>
      <c r="F731" s="24" t="inlineStr">
        <is>
          <t>2024</t>
        </is>
      </c>
      <c r="G731" s="24" t="inlineStr">
        <is>
          <t>CFS</t>
        </is>
      </c>
      <c r="H731" s="24" t="inlineStr">
        <is>
          <t>CIS</t>
        </is>
      </c>
      <c r="I731" s="24" t="inlineStr">
        <is>
          <t>포괄손익계산서</t>
        </is>
      </c>
      <c r="J731" s="24" t="inlineStr">
        <is>
          <t>ifrs-full_IncomeTaxRelatingToComponentsOfOtherComprehensiveIncomeThatWillNotBeReclassifiedToProfitOrLoss</t>
        </is>
      </c>
      <c r="K731" s="24" t="inlineStr">
        <is>
          <t>당기손익으로 재분류되지 않는 항목과 관련된 법인세</t>
        </is>
      </c>
      <c r="L731" s="24" t="inlineStr">
        <is>
          <t>-</t>
        </is>
      </c>
      <c r="M731" s="24" t="inlineStr">
        <is>
          <t>제 45 기</t>
        </is>
      </c>
      <c r="N731" s="24" t="inlineStr">
        <is>
          <t>-707355129.0</t>
        </is>
      </c>
      <c r="O731" s="24" t="inlineStr">
        <is>
          <t>-16544100.0</t>
        </is>
      </c>
      <c r="P731" s="24" t="inlineStr">
        <is>
          <t>KRW</t>
        </is>
      </c>
      <c r="Q731" s="24" t="inlineStr">
        <is>
          <t>27</t>
        </is>
      </c>
    </row>
    <row r="732" ht="24" customHeight="1">
      <c r="A732" s="29" t="inlineStr">
        <is>
          <t>OpenDART_fnlttSinglAcntAll</t>
        </is>
      </c>
      <c r="B732" s="29" t="inlineStr">
        <is>
          <t>00161383</t>
        </is>
      </c>
      <c r="C732" s="29" t="inlineStr">
        <is>
          <t>한미반도체</t>
        </is>
      </c>
      <c r="D732" s="29" t="inlineStr">
        <is>
          <t>hanmi</t>
        </is>
      </c>
      <c r="E732" s="29" t="inlineStr">
        <is>
          <t>042700</t>
        </is>
      </c>
      <c r="F732" s="29" t="inlineStr">
        <is>
          <t>2024</t>
        </is>
      </c>
      <c r="G732" s="29" t="inlineStr">
        <is>
          <t>CFS</t>
        </is>
      </c>
      <c r="H732" s="29" t="inlineStr">
        <is>
          <t>CIS</t>
        </is>
      </c>
      <c r="I732" s="29" t="inlineStr">
        <is>
          <t>포괄손익계산서</t>
        </is>
      </c>
      <c r="J732" s="29" t="inlineStr">
        <is>
          <t>ifrs-full_OtherComprehensiveIncomeBeforeTaxGainsLossesOnRemeasurementsOfDefinedBenefitPlans</t>
        </is>
      </c>
      <c r="K732" s="29" t="inlineStr">
        <is>
          <t>확정급여제도의 재측정손익(세전기타포괄손익)</t>
        </is>
      </c>
      <c r="L732" s="29" t="inlineStr">
        <is>
          <t>-</t>
        </is>
      </c>
      <c r="M732" s="29" t="inlineStr">
        <is>
          <t>제 45 기</t>
        </is>
      </c>
      <c r="N732" s="29" t="inlineStr">
        <is>
          <t>-3062143414.0</t>
        </is>
      </c>
      <c r="O732" s="29" t="inlineStr">
        <is>
          <t>-71619478.0</t>
        </is>
      </c>
      <c r="P732" s="29" t="inlineStr">
        <is>
          <t>KRW</t>
        </is>
      </c>
      <c r="Q732" s="29" t="inlineStr">
        <is>
          <t>28</t>
        </is>
      </c>
    </row>
    <row r="733" ht="24" customHeight="1">
      <c r="A733" s="24" t="inlineStr">
        <is>
          <t>OpenDART_fnlttSinglAcntAll</t>
        </is>
      </c>
      <c r="B733" s="24" t="inlineStr">
        <is>
          <t>00161383</t>
        </is>
      </c>
      <c r="C733" s="24" t="inlineStr">
        <is>
          <t>한미반도체</t>
        </is>
      </c>
      <c r="D733" s="24" t="inlineStr">
        <is>
          <t>hanmi</t>
        </is>
      </c>
      <c r="E733" s="24" t="inlineStr">
        <is>
          <t>042700</t>
        </is>
      </c>
      <c r="F733" s="24" t="inlineStr">
        <is>
          <t>2024</t>
        </is>
      </c>
      <c r="G733" s="24" t="inlineStr">
        <is>
          <t>CFS</t>
        </is>
      </c>
      <c r="H733" s="24" t="inlineStr">
        <is>
          <t>CIS</t>
        </is>
      </c>
      <c r="I733" s="24" t="inlineStr">
        <is>
          <t>포괄손익계산서</t>
        </is>
      </c>
      <c r="J733" s="24" t="inlineStr">
        <is>
          <t>ifrs-full_ProfitLoss</t>
        </is>
      </c>
      <c r="K733" s="24" t="inlineStr">
        <is>
          <t>당기순이익(손실)</t>
        </is>
      </c>
      <c r="L733" s="24" t="inlineStr">
        <is>
          <t>-</t>
        </is>
      </c>
      <c r="M733" s="24" t="inlineStr">
        <is>
          <t>제 45 기</t>
        </is>
      </c>
      <c r="N733" s="24" t="inlineStr">
        <is>
          <t>152614498001.0</t>
        </is>
      </c>
      <c r="O733" s="24" t="inlineStr">
        <is>
          <t>267167515858.0</t>
        </is>
      </c>
      <c r="P733" s="24" t="inlineStr">
        <is>
          <t>KRW</t>
        </is>
      </c>
      <c r="Q733" s="24" t="inlineStr">
        <is>
          <t>29</t>
        </is>
      </c>
    </row>
    <row r="734" ht="24" customHeight="1">
      <c r="A734" s="29" t="inlineStr">
        <is>
          <t>OpenDART_fnlttSinglAcntAll</t>
        </is>
      </c>
      <c r="B734" s="29" t="inlineStr">
        <is>
          <t>00161383</t>
        </is>
      </c>
      <c r="C734" s="29" t="inlineStr">
        <is>
          <t>한미반도체</t>
        </is>
      </c>
      <c r="D734" s="29" t="inlineStr">
        <is>
          <t>hanmi</t>
        </is>
      </c>
      <c r="E734" s="29" t="inlineStr">
        <is>
          <t>042700</t>
        </is>
      </c>
      <c r="F734" s="29" t="inlineStr">
        <is>
          <t>2024</t>
        </is>
      </c>
      <c r="G734" s="29" t="inlineStr">
        <is>
          <t>CFS</t>
        </is>
      </c>
      <c r="H734" s="29" t="inlineStr">
        <is>
          <t>CIS</t>
        </is>
      </c>
      <c r="I734" s="29" t="inlineStr">
        <is>
          <t>포괄손익계산서</t>
        </is>
      </c>
      <c r="J734" s="29" t="inlineStr">
        <is>
          <t>ifrs-full_ProfitLossAttributableToOwnersOfParent</t>
        </is>
      </c>
      <c r="K734" s="29" t="inlineStr">
        <is>
          <t>지배기업의 소유주에게 귀속되는 당기순이익(손실)</t>
        </is>
      </c>
      <c r="L734" s="29" t="inlineStr">
        <is>
          <t>-</t>
        </is>
      </c>
      <c r="M734" s="29" t="inlineStr">
        <is>
          <t>제 45 기</t>
        </is>
      </c>
      <c r="N734" s="29" t="inlineStr">
        <is>
          <t>152614498001.0</t>
        </is>
      </c>
      <c r="O734" s="29" t="inlineStr">
        <is>
          <t>267167515858.0</t>
        </is>
      </c>
      <c r="P734" s="29" t="inlineStr">
        <is>
          <t>KRW</t>
        </is>
      </c>
      <c r="Q734" s="29" t="inlineStr">
        <is>
          <t>32</t>
        </is>
      </c>
    </row>
    <row r="735" ht="24" customHeight="1">
      <c r="A735" s="24" t="inlineStr">
        <is>
          <t>OpenDART_fnlttSinglAcntAll</t>
        </is>
      </c>
      <c r="B735" s="24" t="inlineStr">
        <is>
          <t>00161383</t>
        </is>
      </c>
      <c r="C735" s="24" t="inlineStr">
        <is>
          <t>한미반도체</t>
        </is>
      </c>
      <c r="D735" s="24" t="inlineStr">
        <is>
          <t>hanmi</t>
        </is>
      </c>
      <c r="E735" s="24" t="inlineStr">
        <is>
          <t>042700</t>
        </is>
      </c>
      <c r="F735" s="24" t="inlineStr">
        <is>
          <t>2024</t>
        </is>
      </c>
      <c r="G735" s="24" t="inlineStr">
        <is>
          <t>CFS</t>
        </is>
      </c>
      <c r="H735" s="24" t="inlineStr">
        <is>
          <t>CIS</t>
        </is>
      </c>
      <c r="I735" s="24" t="inlineStr">
        <is>
          <t>포괄손익계산서</t>
        </is>
      </c>
      <c r="J735" s="24" t="inlineStr">
        <is>
          <t>ifrs-full_ProfitLossBeforeTax</t>
        </is>
      </c>
      <c r="K735" s="24" t="inlineStr">
        <is>
          <t>법인세비용차감전순이익(손실)</t>
        </is>
      </c>
      <c r="L735" s="24" t="inlineStr">
        <is>
          <t>-</t>
        </is>
      </c>
      <c r="M735" s="24" t="inlineStr">
        <is>
          <t>제 45 기</t>
        </is>
      </c>
      <c r="N735" s="24" t="inlineStr">
        <is>
          <t>198374398621.0</t>
        </is>
      </c>
      <c r="O735" s="24" t="inlineStr">
        <is>
          <t>345279561787.0</t>
        </is>
      </c>
      <c r="P735" s="24" t="inlineStr">
        <is>
          <t>KRW</t>
        </is>
      </c>
      <c r="Q735" s="24" t="inlineStr">
        <is>
          <t>33</t>
        </is>
      </c>
    </row>
    <row r="736" ht="24" customHeight="1">
      <c r="A736" s="29" t="inlineStr">
        <is>
          <t>OpenDART_fnlttSinglAcntAll</t>
        </is>
      </c>
      <c r="B736" s="29" t="inlineStr">
        <is>
          <t>00161383</t>
        </is>
      </c>
      <c r="C736" s="29" t="inlineStr">
        <is>
          <t>한미반도체</t>
        </is>
      </c>
      <c r="D736" s="29" t="inlineStr">
        <is>
          <t>hanmi</t>
        </is>
      </c>
      <c r="E736" s="29" t="inlineStr">
        <is>
          <t>042700</t>
        </is>
      </c>
      <c r="F736" s="29" t="inlineStr">
        <is>
          <t>2024</t>
        </is>
      </c>
      <c r="G736" s="29" t="inlineStr">
        <is>
          <t>CFS</t>
        </is>
      </c>
      <c r="H736" s="29" t="inlineStr">
        <is>
          <t>CIS</t>
        </is>
      </c>
      <c r="I736" s="29" t="inlineStr">
        <is>
          <t>포괄손익계산서</t>
        </is>
      </c>
      <c r="J736" s="29" t="inlineStr">
        <is>
          <t>ifrs-full_ResearchAndDevelopmentExpense</t>
        </is>
      </c>
      <c r="K736" s="29" t="inlineStr">
        <is>
          <t>연구와 개발 비용</t>
        </is>
      </c>
      <c r="L736" s="29" t="inlineStr">
        <is>
          <t>-</t>
        </is>
      </c>
      <c r="M736" s="29" t="inlineStr">
        <is>
          <t>제 45 기</t>
        </is>
      </c>
      <c r="N736" s="29" t="inlineStr">
        <is>
          <t>17854844068.0</t>
        </is>
      </c>
      <c r="O736" s="29" t="inlineStr">
        <is>
          <t>15859690104.0</t>
        </is>
      </c>
      <c r="P736" s="29" t="inlineStr">
        <is>
          <t>KRW</t>
        </is>
      </c>
      <c r="Q736" s="29" t="inlineStr">
        <is>
          <t>34</t>
        </is>
      </c>
    </row>
    <row r="737" ht="24" customHeight="1">
      <c r="A737" s="24" t="inlineStr">
        <is>
          <t>OpenDART_fnlttSinglAcntAll</t>
        </is>
      </c>
      <c r="B737" s="24" t="inlineStr">
        <is>
          <t>00161383</t>
        </is>
      </c>
      <c r="C737" s="24" t="inlineStr">
        <is>
          <t>한미반도체</t>
        </is>
      </c>
      <c r="D737" s="24" t="inlineStr">
        <is>
          <t>hanmi</t>
        </is>
      </c>
      <c r="E737" s="24" t="inlineStr">
        <is>
          <t>042700</t>
        </is>
      </c>
      <c r="F737" s="24" t="inlineStr">
        <is>
          <t>2024</t>
        </is>
      </c>
      <c r="G737" s="24" t="inlineStr">
        <is>
          <t>CFS</t>
        </is>
      </c>
      <c r="H737" s="24" t="inlineStr">
        <is>
          <t>CIS</t>
        </is>
      </c>
      <c r="I737" s="24" t="inlineStr">
        <is>
          <t>포괄손익계산서</t>
        </is>
      </c>
      <c r="J737" s="24" t="inlineStr">
        <is>
          <t>ifrs-full_Revenue</t>
        </is>
      </c>
      <c r="K737" s="24" t="inlineStr">
        <is>
          <t>수익(매출액)</t>
        </is>
      </c>
      <c r="L737" s="24" t="inlineStr">
        <is>
          <t>-</t>
        </is>
      </c>
      <c r="M737" s="24" t="inlineStr">
        <is>
          <t>제 45 기</t>
        </is>
      </c>
      <c r="N737" s="24" t="inlineStr">
        <is>
          <t>558917191547.0</t>
        </is>
      </c>
      <c r="O737" s="24" t="inlineStr">
        <is>
          <t>159008528366.0</t>
        </is>
      </c>
      <c r="P737" s="24" t="inlineStr">
        <is>
          <t>KRW</t>
        </is>
      </c>
      <c r="Q737" s="24" t="inlineStr">
        <is>
          <t>35</t>
        </is>
      </c>
    </row>
    <row r="738" ht="24" customHeight="1">
      <c r="A738" s="29" t="inlineStr">
        <is>
          <t>OpenDART_fnlttSinglAcntAll</t>
        </is>
      </c>
      <c r="B738" s="29" t="inlineStr">
        <is>
          <t>00161383</t>
        </is>
      </c>
      <c r="C738" s="29" t="inlineStr">
        <is>
          <t>한미반도체</t>
        </is>
      </c>
      <c r="D738" s="29" t="inlineStr">
        <is>
          <t>hanmi</t>
        </is>
      </c>
      <c r="E738" s="29" t="inlineStr">
        <is>
          <t>042700</t>
        </is>
      </c>
      <c r="F738" s="29" t="inlineStr">
        <is>
          <t>2024</t>
        </is>
      </c>
      <c r="G738" s="29" t="inlineStr">
        <is>
          <t>CFS</t>
        </is>
      </c>
      <c r="H738" s="29" t="inlineStr">
        <is>
          <t>CIS</t>
        </is>
      </c>
      <c r="I738" s="29" t="inlineStr">
        <is>
          <t>포괄손익계산서</t>
        </is>
      </c>
      <c r="J738" s="29" t="inlineStr">
        <is>
          <t>ifrs-full_ShareOfProfitLossOfAssociatesAndJointVenturesAccountedForUsingEquityMethod</t>
        </is>
      </c>
      <c r="K738" s="29" t="inlineStr">
        <is>
          <t>지분법 적용대상인 관계기업과 공동기업의 당기순손익에 대한 지분</t>
        </is>
      </c>
      <c r="L738" s="29" t="inlineStr">
        <is>
          <t>-</t>
        </is>
      </c>
      <c r="M738" s="29" t="inlineStr">
        <is>
          <t>제 45 기</t>
        </is>
      </c>
      <c r="N738" s="29" t="inlineStr">
        <is>
          <t>117480968.0</t>
        </is>
      </c>
      <c r="O738" s="29" t="inlineStr">
        <is>
          <t>4374357077.0</t>
        </is>
      </c>
      <c r="P738" s="29" t="inlineStr">
        <is>
          <t>KRW</t>
        </is>
      </c>
      <c r="Q738" s="29" t="inlineStr">
        <is>
          <t>36</t>
        </is>
      </c>
    </row>
    <row r="739" ht="24" customHeight="1">
      <c r="A739" s="24" t="inlineStr">
        <is>
          <t>OpenDART_fnlttSinglAcntAll</t>
        </is>
      </c>
      <c r="B739" s="24" t="inlineStr">
        <is>
          <t>00161383</t>
        </is>
      </c>
      <c r="C739" s="24" t="inlineStr">
        <is>
          <t>한미반도체</t>
        </is>
      </c>
      <c r="D739" s="24" t="inlineStr">
        <is>
          <t>hanmi</t>
        </is>
      </c>
      <c r="E739" s="24" t="inlineStr">
        <is>
          <t>042700</t>
        </is>
      </c>
      <c r="F739" s="24" t="inlineStr">
        <is>
          <t>2024</t>
        </is>
      </c>
      <c r="G739" s="24" t="inlineStr">
        <is>
          <t>CFS</t>
        </is>
      </c>
      <c r="H739" s="24" t="inlineStr">
        <is>
          <t>CF</t>
        </is>
      </c>
      <c r="I739" s="24" t="inlineStr">
        <is>
          <t>현금흐름표</t>
        </is>
      </c>
      <c r="J739" s="24" t="inlineStr">
        <is>
          <t>dart_CashAndCashEquivalentsAtBeginningOfPeriodCf</t>
        </is>
      </c>
      <c r="K739" s="24" t="inlineStr">
        <is>
          <t>기초현금및현금성자산</t>
        </is>
      </c>
      <c r="L739" s="24" t="inlineStr">
        <is>
          <t>-</t>
        </is>
      </c>
      <c r="M739" s="24" t="inlineStr">
        <is>
          <t>제 45 기</t>
        </is>
      </c>
      <c r="N739" s="24" t="inlineStr">
        <is>
          <t>179732421459.0</t>
        </is>
      </c>
      <c r="O739" s="24" t="inlineStr">
        <is>
          <t>90895691895.0</t>
        </is>
      </c>
      <c r="P739" s="24" t="inlineStr">
        <is>
          <t>KRW</t>
        </is>
      </c>
      <c r="Q739" s="24" t="inlineStr">
        <is>
          <t>2</t>
        </is>
      </c>
    </row>
    <row r="740" ht="24" customHeight="1">
      <c r="A740" s="29" t="inlineStr">
        <is>
          <t>OpenDART_fnlttSinglAcntAll</t>
        </is>
      </c>
      <c r="B740" s="29" t="inlineStr">
        <is>
          <t>00161383</t>
        </is>
      </c>
      <c r="C740" s="29" t="inlineStr">
        <is>
          <t>한미반도체</t>
        </is>
      </c>
      <c r="D740" s="29" t="inlineStr">
        <is>
          <t>hanmi</t>
        </is>
      </c>
      <c r="E740" s="29" t="inlineStr">
        <is>
          <t>042700</t>
        </is>
      </c>
      <c r="F740" s="29" t="inlineStr">
        <is>
          <t>2024</t>
        </is>
      </c>
      <c r="G740" s="29" t="inlineStr">
        <is>
          <t>CFS</t>
        </is>
      </c>
      <c r="H740" s="29" t="inlineStr">
        <is>
          <t>CF</t>
        </is>
      </c>
      <c r="I740" s="29" t="inlineStr">
        <is>
          <t>현금흐름표</t>
        </is>
      </c>
      <c r="J740" s="29" t="inlineStr">
        <is>
          <t>dart_CashAndCashEquivalentsAtEndOfPeriodCf</t>
        </is>
      </c>
      <c r="K740" s="29" t="inlineStr">
        <is>
          <t>기말현금및현금성자산</t>
        </is>
      </c>
      <c r="L740" s="29" t="inlineStr">
        <is>
          <t>-</t>
        </is>
      </c>
      <c r="M740" s="29" t="inlineStr">
        <is>
          <t>제 45 기</t>
        </is>
      </c>
      <c r="N740" s="29" t="inlineStr">
        <is>
          <t>103966003566.0</t>
        </is>
      </c>
      <c r="O740" s="29" t="inlineStr">
        <is>
          <t>179732421459.0</t>
        </is>
      </c>
      <c r="P740" s="29" t="inlineStr">
        <is>
          <t>KRW</t>
        </is>
      </c>
      <c r="Q740" s="29" t="inlineStr">
        <is>
          <t>3</t>
        </is>
      </c>
    </row>
    <row r="741" ht="24" customHeight="1">
      <c r="A741" s="24" t="inlineStr">
        <is>
          <t>OpenDART_fnlttSinglAcntAll</t>
        </is>
      </c>
      <c r="B741" s="24" t="inlineStr">
        <is>
          <t>00161383</t>
        </is>
      </c>
      <c r="C741" s="24" t="inlineStr">
        <is>
          <t>한미반도체</t>
        </is>
      </c>
      <c r="D741" s="24" t="inlineStr">
        <is>
          <t>hanmi</t>
        </is>
      </c>
      <c r="E741" s="24" t="inlineStr">
        <is>
          <t>042700</t>
        </is>
      </c>
      <c r="F741" s="24" t="inlineStr">
        <is>
          <t>2024</t>
        </is>
      </c>
      <c r="G741" s="24" t="inlineStr">
        <is>
          <t>CFS</t>
        </is>
      </c>
      <c r="H741" s="24" t="inlineStr">
        <is>
          <t>CF</t>
        </is>
      </c>
      <c r="I741" s="24" t="inlineStr">
        <is>
          <t>현금흐름표</t>
        </is>
      </c>
      <c r="J741" s="24" t="inlineStr">
        <is>
          <t>ifrs-full_CashFlowsFromUsedInFinancingActivities</t>
        </is>
      </c>
      <c r="K741" s="24" t="inlineStr">
        <is>
          <t>재무활동현금흐름</t>
        </is>
      </c>
      <c r="L741" s="24" t="inlineStr">
        <is>
          <t>-</t>
        </is>
      </c>
      <c r="M741" s="24" t="inlineStr">
        <is>
          <t>제 45 기</t>
        </is>
      </c>
      <c r="N741" s="24" t="inlineStr">
        <is>
          <t>-231725385169.0</t>
        </is>
      </c>
      <c r="O741" s="24" t="inlineStr">
        <is>
          <t>-43622103656.0</t>
        </is>
      </c>
      <c r="P741" s="24" t="inlineStr">
        <is>
          <t>KRW</t>
        </is>
      </c>
      <c r="Q741" s="24" t="inlineStr">
        <is>
          <t>8</t>
        </is>
      </c>
    </row>
    <row r="742" ht="24" customHeight="1">
      <c r="A742" s="29" t="inlineStr">
        <is>
          <t>OpenDART_fnlttSinglAcntAll</t>
        </is>
      </c>
      <c r="B742" s="29" t="inlineStr">
        <is>
          <t>00161383</t>
        </is>
      </c>
      <c r="C742" s="29" t="inlineStr">
        <is>
          <t>한미반도체</t>
        </is>
      </c>
      <c r="D742" s="29" t="inlineStr">
        <is>
          <t>hanmi</t>
        </is>
      </c>
      <c r="E742" s="29" t="inlineStr">
        <is>
          <t>042700</t>
        </is>
      </c>
      <c r="F742" s="29" t="inlineStr">
        <is>
          <t>2024</t>
        </is>
      </c>
      <c r="G742" s="29" t="inlineStr">
        <is>
          <t>CFS</t>
        </is>
      </c>
      <c r="H742" s="29" t="inlineStr">
        <is>
          <t>CF</t>
        </is>
      </c>
      <c r="I742" s="29" t="inlineStr">
        <is>
          <t>현금흐름표</t>
        </is>
      </c>
      <c r="J742" s="29" t="inlineStr">
        <is>
          <t>dart_AcquisitionOfTreasuryShares</t>
        </is>
      </c>
      <c r="K742" s="29" t="inlineStr">
        <is>
          <t>자기주식의 취득으로 인한 현금의 유출</t>
        </is>
      </c>
      <c r="L742" s="29" t="inlineStr">
        <is>
          <t>-</t>
        </is>
      </c>
      <c r="M742" s="29" t="inlineStr">
        <is>
          <t>제 45 기</t>
        </is>
      </c>
      <c r="N742" s="29" t="inlineStr">
        <is>
          <t>189887013600.0</t>
        </is>
      </c>
      <c r="O742" s="29" t="inlineStr">
        <is>
          <t>50503615450.0</t>
        </is>
      </c>
      <c r="P742" s="29" t="inlineStr">
        <is>
          <t>KRW</t>
        </is>
      </c>
      <c r="Q742" s="29" t="inlineStr">
        <is>
          <t>9</t>
        </is>
      </c>
    </row>
    <row r="743" ht="24" customHeight="1">
      <c r="A743" s="24" t="inlineStr">
        <is>
          <t>OpenDART_fnlttSinglAcntAll</t>
        </is>
      </c>
      <c r="B743" s="24" t="inlineStr">
        <is>
          <t>00161383</t>
        </is>
      </c>
      <c r="C743" s="24" t="inlineStr">
        <is>
          <t>한미반도체</t>
        </is>
      </c>
      <c r="D743" s="24" t="inlineStr">
        <is>
          <t>hanmi</t>
        </is>
      </c>
      <c r="E743" s="24" t="inlineStr">
        <is>
          <t>042700</t>
        </is>
      </c>
      <c r="F743" s="24" t="inlineStr">
        <is>
          <t>2024</t>
        </is>
      </c>
      <c r="G743" s="24" t="inlineStr">
        <is>
          <t>CFS</t>
        </is>
      </c>
      <c r="H743" s="24" t="inlineStr">
        <is>
          <t>CF</t>
        </is>
      </c>
      <c r="I743" s="24" t="inlineStr">
        <is>
          <t>현금흐름표</t>
        </is>
      </c>
      <c r="J743" s="24" t="inlineStr">
        <is>
          <t>dart_DispositionOfTreasuryShares</t>
        </is>
      </c>
      <c r="K743" s="24" t="inlineStr">
        <is>
          <t>자기주식의 처분</t>
        </is>
      </c>
      <c r="L743" s="24" t="inlineStr">
        <is>
          <t>-</t>
        </is>
      </c>
      <c r="M743" s="24" t="inlineStr">
        <is>
          <t>제 45 기</t>
        </is>
      </c>
      <c r="N743" s="24" t="inlineStr">
        <is>
          <t>해당 없음</t>
        </is>
      </c>
      <c r="O743" s="24" t="inlineStr">
        <is>
          <t>27638206583.0</t>
        </is>
      </c>
      <c r="P743" s="24" t="inlineStr">
        <is>
          <t>KRW</t>
        </is>
      </c>
      <c r="Q743" s="24" t="inlineStr">
        <is>
          <t>10</t>
        </is>
      </c>
    </row>
    <row r="744" ht="24" customHeight="1">
      <c r="A744" s="29" t="inlineStr">
        <is>
          <t>OpenDART_fnlttSinglAcntAll</t>
        </is>
      </c>
      <c r="B744" s="29" t="inlineStr">
        <is>
          <t>00161383</t>
        </is>
      </c>
      <c r="C744" s="29" t="inlineStr">
        <is>
          <t>한미반도체</t>
        </is>
      </c>
      <c r="D744" s="29" t="inlineStr">
        <is>
          <t>hanmi</t>
        </is>
      </c>
      <c r="E744" s="29" t="inlineStr">
        <is>
          <t>042700</t>
        </is>
      </c>
      <c r="F744" s="29" t="inlineStr">
        <is>
          <t>2024</t>
        </is>
      </c>
      <c r="G744" s="29" t="inlineStr">
        <is>
          <t>CFS</t>
        </is>
      </c>
      <c r="H744" s="29" t="inlineStr">
        <is>
          <t>CF</t>
        </is>
      </c>
      <c r="I744" s="29" t="inlineStr">
        <is>
          <t>현금흐름표</t>
        </is>
      </c>
      <c r="J744" s="29" t="inlineStr">
        <is>
          <t>dart_ProceedsFromShortTermBorrowings</t>
        </is>
      </c>
      <c r="K744" s="29" t="inlineStr">
        <is>
          <t>단기차입금의 증가</t>
        </is>
      </c>
      <c r="L744" s="29" t="inlineStr">
        <is>
          <t>-</t>
        </is>
      </c>
      <c r="M744" s="29" t="inlineStr">
        <is>
          <t>제 45 기</t>
        </is>
      </c>
      <c r="N744" s="29" t="inlineStr">
        <is>
          <t>해당 없음</t>
        </is>
      </c>
      <c r="O744" s="29" t="inlineStr">
        <is>
          <t>해당 없음</t>
        </is>
      </c>
      <c r="P744" s="29" t="inlineStr">
        <is>
          <t>KRW</t>
        </is>
      </c>
      <c r="Q744" s="29" t="inlineStr">
        <is>
          <t>11</t>
        </is>
      </c>
    </row>
    <row r="745" ht="24" customHeight="1">
      <c r="A745" s="24" t="inlineStr">
        <is>
          <t>OpenDART_fnlttSinglAcntAll</t>
        </is>
      </c>
      <c r="B745" s="24" t="inlineStr">
        <is>
          <t>00161383</t>
        </is>
      </c>
      <c r="C745" s="24" t="inlineStr">
        <is>
          <t>한미반도체</t>
        </is>
      </c>
      <c r="D745" s="24" t="inlineStr">
        <is>
          <t>hanmi</t>
        </is>
      </c>
      <c r="E745" s="24" t="inlineStr">
        <is>
          <t>042700</t>
        </is>
      </c>
      <c r="F745" s="24" t="inlineStr">
        <is>
          <t>2024</t>
        </is>
      </c>
      <c r="G745" s="24" t="inlineStr">
        <is>
          <t>CFS</t>
        </is>
      </c>
      <c r="H745" s="24" t="inlineStr">
        <is>
          <t>CF</t>
        </is>
      </c>
      <c r="I745" s="24" t="inlineStr">
        <is>
          <t>현금흐름표</t>
        </is>
      </c>
      <c r="J745" s="24" t="inlineStr">
        <is>
          <t>dart_RepaymentsOfShortTermBorrowings</t>
        </is>
      </c>
      <c r="K745" s="24" t="inlineStr">
        <is>
          <t>단기차입금의 상환</t>
        </is>
      </c>
      <c r="L745" s="24" t="inlineStr">
        <is>
          <t>-</t>
        </is>
      </c>
      <c r="M745" s="24" t="inlineStr">
        <is>
          <t>제 45 기</t>
        </is>
      </c>
      <c r="N745" s="24" t="inlineStr">
        <is>
          <t>해당 없음</t>
        </is>
      </c>
      <c r="O745" s="24" t="inlineStr">
        <is>
          <t>해당 없음</t>
        </is>
      </c>
      <c r="P745" s="24" t="inlineStr">
        <is>
          <t>KRW</t>
        </is>
      </c>
      <c r="Q745" s="24" t="inlineStr">
        <is>
          <t>12</t>
        </is>
      </c>
    </row>
    <row r="746" ht="24" customHeight="1">
      <c r="A746" s="29" t="inlineStr">
        <is>
          <t>OpenDART_fnlttSinglAcntAll</t>
        </is>
      </c>
      <c r="B746" s="29" t="inlineStr">
        <is>
          <t>00161383</t>
        </is>
      </c>
      <c r="C746" s="29" t="inlineStr">
        <is>
          <t>한미반도체</t>
        </is>
      </c>
      <c r="D746" s="29" t="inlineStr">
        <is>
          <t>hanmi</t>
        </is>
      </c>
      <c r="E746" s="29" t="inlineStr">
        <is>
          <t>042700</t>
        </is>
      </c>
      <c r="F746" s="29" t="inlineStr">
        <is>
          <t>2024</t>
        </is>
      </c>
      <c r="G746" s="29" t="inlineStr">
        <is>
          <t>CFS</t>
        </is>
      </c>
      <c r="H746" s="29" t="inlineStr">
        <is>
          <t>CF</t>
        </is>
      </c>
      <c r="I746" s="29" t="inlineStr">
        <is>
          <t>현금흐름표</t>
        </is>
      </c>
      <c r="J746" s="29" t="inlineStr">
        <is>
          <t>ifrs-full_DividendsPaidClassifiedAsFinancingActivities</t>
        </is>
      </c>
      <c r="K746" s="29" t="inlineStr">
        <is>
          <t>배당금지급</t>
        </is>
      </c>
      <c r="L746" s="29" t="inlineStr">
        <is>
          <t>-</t>
        </is>
      </c>
      <c r="M746" s="29" t="inlineStr">
        <is>
          <t>제 45 기</t>
        </is>
      </c>
      <c r="N746" s="29" t="inlineStr">
        <is>
          <t>40521474840.0</t>
        </is>
      </c>
      <c r="O746" s="29" t="inlineStr">
        <is>
          <t>19467860400.0</t>
        </is>
      </c>
      <c r="P746" s="29" t="inlineStr">
        <is>
          <t>KRW</t>
        </is>
      </c>
      <c r="Q746" s="29" t="inlineStr">
        <is>
          <t>13</t>
        </is>
      </c>
    </row>
    <row r="747" ht="24" customHeight="1">
      <c r="A747" s="24" t="inlineStr">
        <is>
          <t>OpenDART_fnlttSinglAcntAll</t>
        </is>
      </c>
      <c r="B747" s="24" t="inlineStr">
        <is>
          <t>00161383</t>
        </is>
      </c>
      <c r="C747" s="24" t="inlineStr">
        <is>
          <t>한미반도체</t>
        </is>
      </c>
      <c r="D747" s="24" t="inlineStr">
        <is>
          <t>hanmi</t>
        </is>
      </c>
      <c r="E747" s="24" t="inlineStr">
        <is>
          <t>042700</t>
        </is>
      </c>
      <c r="F747" s="24" t="inlineStr">
        <is>
          <t>2024</t>
        </is>
      </c>
      <c r="G747" s="24" t="inlineStr">
        <is>
          <t>CFS</t>
        </is>
      </c>
      <c r="H747" s="24" t="inlineStr">
        <is>
          <t>CF</t>
        </is>
      </c>
      <c r="I747" s="24" t="inlineStr">
        <is>
          <t>현금흐름표</t>
        </is>
      </c>
      <c r="J747" s="24" t="inlineStr">
        <is>
          <t>ifrs-full_PaymentsOfLeaseLiabilitiesClassifiedAsFinancingActivities</t>
        </is>
      </c>
      <c r="K747" s="24" t="inlineStr">
        <is>
          <t>리스부채의 지급</t>
        </is>
      </c>
      <c r="L747" s="24" t="inlineStr">
        <is>
          <t>-</t>
        </is>
      </c>
      <c r="M747" s="24" t="inlineStr">
        <is>
          <t>제 45 기</t>
        </is>
      </c>
      <c r="N747" s="24" t="inlineStr">
        <is>
          <t>1316896729.0</t>
        </is>
      </c>
      <c r="O747" s="24" t="inlineStr">
        <is>
          <t>1288834389.0</t>
        </is>
      </c>
      <c r="P747" s="24" t="inlineStr">
        <is>
          <t>KRW</t>
        </is>
      </c>
      <c r="Q747" s="24" t="inlineStr">
        <is>
          <t>14</t>
        </is>
      </c>
    </row>
    <row r="748" ht="24" customHeight="1">
      <c r="A748" s="29" t="inlineStr">
        <is>
          <t>OpenDART_fnlttSinglAcntAll</t>
        </is>
      </c>
      <c r="B748" s="29" t="inlineStr">
        <is>
          <t>00161383</t>
        </is>
      </c>
      <c r="C748" s="29" t="inlineStr">
        <is>
          <t>한미반도체</t>
        </is>
      </c>
      <c r="D748" s="29" t="inlineStr">
        <is>
          <t>hanmi</t>
        </is>
      </c>
      <c r="E748" s="29" t="inlineStr">
        <is>
          <t>042700</t>
        </is>
      </c>
      <c r="F748" s="29" t="inlineStr">
        <is>
          <t>2024</t>
        </is>
      </c>
      <c r="G748" s="29" t="inlineStr">
        <is>
          <t>CFS</t>
        </is>
      </c>
      <c r="H748" s="29" t="inlineStr">
        <is>
          <t>CF</t>
        </is>
      </c>
      <c r="I748" s="29" t="inlineStr">
        <is>
          <t>현금흐름표</t>
        </is>
      </c>
      <c r="J748" s="29" t="inlineStr">
        <is>
          <t>ifrs-full_CashFlowsFromUsedInInvestingActivities</t>
        </is>
      </c>
      <c r="K748" s="29" t="inlineStr">
        <is>
          <t>투자활동현금흐름</t>
        </is>
      </c>
      <c r="L748" s="29" t="inlineStr">
        <is>
          <t>-</t>
        </is>
      </c>
      <c r="M748" s="29" t="inlineStr">
        <is>
          <t>제 45 기</t>
        </is>
      </c>
      <c r="N748" s="29" t="inlineStr">
        <is>
          <t>9424530414.0</t>
        </is>
      </c>
      <c r="O748" s="29" t="inlineStr">
        <is>
          <t>84636164574.0</t>
        </is>
      </c>
      <c r="P748" s="29" t="inlineStr">
        <is>
          <t>KRW</t>
        </is>
      </c>
      <c r="Q748" s="29" t="inlineStr">
        <is>
          <t>15</t>
        </is>
      </c>
    </row>
    <row r="749" ht="24" customHeight="1">
      <c r="A749" s="24" t="inlineStr">
        <is>
          <t>OpenDART_fnlttSinglAcntAll</t>
        </is>
      </c>
      <c r="B749" s="24" t="inlineStr">
        <is>
          <t>00161383</t>
        </is>
      </c>
      <c r="C749" s="24" t="inlineStr">
        <is>
          <t>한미반도체</t>
        </is>
      </c>
      <c r="D749" s="24" t="inlineStr">
        <is>
          <t>hanmi</t>
        </is>
      </c>
      <c r="E749" s="24" t="inlineStr">
        <is>
          <t>042700</t>
        </is>
      </c>
      <c r="F749" s="24" t="inlineStr">
        <is>
          <t>2024</t>
        </is>
      </c>
      <c r="G749" s="24" t="inlineStr">
        <is>
          <t>CFS</t>
        </is>
      </c>
      <c r="H749" s="24" t="inlineStr">
        <is>
          <t>CF</t>
        </is>
      </c>
      <c r="I749" s="24" t="inlineStr">
        <is>
          <t>현금흐름표</t>
        </is>
      </c>
      <c r="J749" s="24" t="inlineStr">
        <is>
          <t>dart_DecreaseInGuaranteeDeposits</t>
        </is>
      </c>
      <c r="K749" s="24" t="inlineStr">
        <is>
          <t>임차보증금의 감소</t>
        </is>
      </c>
      <c r="L749" s="24" t="inlineStr">
        <is>
          <t>-</t>
        </is>
      </c>
      <c r="M749" s="24" t="inlineStr">
        <is>
          <t>제 45 기</t>
        </is>
      </c>
      <c r="N749" s="24" t="inlineStr">
        <is>
          <t>302983011.0</t>
        </is>
      </c>
      <c r="O749" s="24" t="inlineStr">
        <is>
          <t>1322197783.0</t>
        </is>
      </c>
      <c r="P749" s="24" t="inlineStr">
        <is>
          <t>KRW</t>
        </is>
      </c>
      <c r="Q749" s="24" t="inlineStr">
        <is>
          <t>16</t>
        </is>
      </c>
    </row>
    <row r="750" ht="24" customHeight="1">
      <c r="A750" s="29" t="inlineStr">
        <is>
          <t>OpenDART_fnlttSinglAcntAll</t>
        </is>
      </c>
      <c r="B750" s="29" t="inlineStr">
        <is>
          <t>00161383</t>
        </is>
      </c>
      <c r="C750" s="29" t="inlineStr">
        <is>
          <t>한미반도체</t>
        </is>
      </c>
      <c r="D750" s="29" t="inlineStr">
        <is>
          <t>hanmi</t>
        </is>
      </c>
      <c r="E750" s="29" t="inlineStr">
        <is>
          <t>042700</t>
        </is>
      </c>
      <c r="F750" s="29" t="inlineStr">
        <is>
          <t>2024</t>
        </is>
      </c>
      <c r="G750" s="29" t="inlineStr">
        <is>
          <t>CFS</t>
        </is>
      </c>
      <c r="H750" s="29" t="inlineStr">
        <is>
          <t>CF</t>
        </is>
      </c>
      <c r="I750" s="29" t="inlineStr">
        <is>
          <t>현금흐름표</t>
        </is>
      </c>
      <c r="J750" s="29" t="inlineStr">
        <is>
          <t>dart_IncreaseInGuaranteeDeposits</t>
        </is>
      </c>
      <c r="K750" s="29" t="inlineStr">
        <is>
          <t>임차보증금의 증가</t>
        </is>
      </c>
      <c r="L750" s="29" t="inlineStr">
        <is>
          <t>-</t>
        </is>
      </c>
      <c r="M750" s="29" t="inlineStr">
        <is>
          <t>제 45 기</t>
        </is>
      </c>
      <c r="N750" s="29" t="inlineStr">
        <is>
          <t>863394680.0</t>
        </is>
      </c>
      <c r="O750" s="29" t="inlineStr">
        <is>
          <t>294341739.0</t>
        </is>
      </c>
      <c r="P750" s="29" t="inlineStr">
        <is>
          <t>KRW</t>
        </is>
      </c>
      <c r="Q750" s="29" t="inlineStr">
        <is>
          <t>17</t>
        </is>
      </c>
    </row>
    <row r="751" ht="24" customHeight="1">
      <c r="A751" s="24" t="inlineStr">
        <is>
          <t>OpenDART_fnlttSinglAcntAll</t>
        </is>
      </c>
      <c r="B751" s="24" t="inlineStr">
        <is>
          <t>00161383</t>
        </is>
      </c>
      <c r="C751" s="24" t="inlineStr">
        <is>
          <t>한미반도체</t>
        </is>
      </c>
      <c r="D751" s="24" t="inlineStr">
        <is>
          <t>hanmi</t>
        </is>
      </c>
      <c r="E751" s="24" t="inlineStr">
        <is>
          <t>042700</t>
        </is>
      </c>
      <c r="F751" s="24" t="inlineStr">
        <is>
          <t>2024</t>
        </is>
      </c>
      <c r="G751" s="24" t="inlineStr">
        <is>
          <t>CFS</t>
        </is>
      </c>
      <c r="H751" s="24" t="inlineStr">
        <is>
          <t>CF</t>
        </is>
      </c>
      <c r="I751" s="24" t="inlineStr">
        <is>
          <t>현금흐름표</t>
        </is>
      </c>
      <c r="J751" s="24" t="inlineStr">
        <is>
          <t>dart_ProceedsFromSalesOfFairValueFinancialAsset</t>
        </is>
      </c>
      <c r="K751" s="24" t="inlineStr">
        <is>
          <t>당기손익인식금융자산의 처분</t>
        </is>
      </c>
      <c r="L751" s="24" t="inlineStr">
        <is>
          <t>-</t>
        </is>
      </c>
      <c r="M751" s="24" t="inlineStr">
        <is>
          <t>제 45 기</t>
        </is>
      </c>
      <c r="N751" s="24" t="inlineStr">
        <is>
          <t>63361976673.0</t>
        </is>
      </c>
      <c r="O751" s="24" t="inlineStr">
        <is>
          <t>92877484355.0</t>
        </is>
      </c>
      <c r="P751" s="24" t="inlineStr">
        <is>
          <t>KRW</t>
        </is>
      </c>
      <c r="Q751" s="24" t="inlineStr">
        <is>
          <t>18</t>
        </is>
      </c>
    </row>
    <row r="752" ht="24" customHeight="1">
      <c r="A752" s="29" t="inlineStr">
        <is>
          <t>OpenDART_fnlttSinglAcntAll</t>
        </is>
      </c>
      <c r="B752" s="29" t="inlineStr">
        <is>
          <t>00161383</t>
        </is>
      </c>
      <c r="C752" s="29" t="inlineStr">
        <is>
          <t>한미반도체</t>
        </is>
      </c>
      <c r="D752" s="29" t="inlineStr">
        <is>
          <t>hanmi</t>
        </is>
      </c>
      <c r="E752" s="29" t="inlineStr">
        <is>
          <t>042700</t>
        </is>
      </c>
      <c r="F752" s="29" t="inlineStr">
        <is>
          <t>2024</t>
        </is>
      </c>
      <c r="G752" s="29" t="inlineStr">
        <is>
          <t>CFS</t>
        </is>
      </c>
      <c r="H752" s="29" t="inlineStr">
        <is>
          <t>CF</t>
        </is>
      </c>
      <c r="I752" s="29" t="inlineStr">
        <is>
          <t>현금흐름표</t>
        </is>
      </c>
      <c r="J752" s="29" t="inlineStr">
        <is>
          <t>dart_ProceedsFromSalesOfNonCurrentAssetsOrDisposalGroupsClassifiedAsHeldForSale</t>
        </is>
      </c>
      <c r="K752" s="29" t="inlineStr">
        <is>
          <t>매각예정으로 분류된 비유동자산이나 처분자산집단의 처분</t>
        </is>
      </c>
      <c r="L752" s="29" t="inlineStr">
        <is>
          <t>-</t>
        </is>
      </c>
      <c r="M752" s="29" t="inlineStr">
        <is>
          <t>제 45 기</t>
        </is>
      </c>
      <c r="N752" s="29" t="inlineStr">
        <is>
          <t>해당 없음</t>
        </is>
      </c>
      <c r="O752" s="29" t="inlineStr">
        <is>
          <t>3387767680.0</t>
        </is>
      </c>
      <c r="P752" s="29" t="inlineStr">
        <is>
          <t>KRW</t>
        </is>
      </c>
      <c r="Q752" s="29" t="inlineStr">
        <is>
          <t>19</t>
        </is>
      </c>
    </row>
    <row r="753" ht="24" customHeight="1">
      <c r="A753" s="24" t="inlineStr">
        <is>
          <t>OpenDART_fnlttSinglAcntAll</t>
        </is>
      </c>
      <c r="B753" s="24" t="inlineStr">
        <is>
          <t>00161383</t>
        </is>
      </c>
      <c r="C753" s="24" t="inlineStr">
        <is>
          <t>한미반도체</t>
        </is>
      </c>
      <c r="D753" s="24" t="inlineStr">
        <is>
          <t>hanmi</t>
        </is>
      </c>
      <c r="E753" s="24" t="inlineStr">
        <is>
          <t>042700</t>
        </is>
      </c>
      <c r="F753" s="24" t="inlineStr">
        <is>
          <t>2024</t>
        </is>
      </c>
      <c r="G753" s="24" t="inlineStr">
        <is>
          <t>CFS</t>
        </is>
      </c>
      <c r="H753" s="24" t="inlineStr">
        <is>
          <t>CF</t>
        </is>
      </c>
      <c r="I753" s="24" t="inlineStr">
        <is>
          <t>현금흐름표</t>
        </is>
      </c>
      <c r="J753" s="24" t="inlineStr">
        <is>
          <t>dart_ProceedsFromSalesOfShortTermFinancialInstruments</t>
        </is>
      </c>
      <c r="K753" s="24" t="inlineStr">
        <is>
          <t>단기금융상품의 처분</t>
        </is>
      </c>
      <c r="L753" s="24" t="inlineStr">
        <is>
          <t>-</t>
        </is>
      </c>
      <c r="M753" s="24" t="inlineStr">
        <is>
          <t>제 45 기</t>
        </is>
      </c>
      <c r="N753" s="24" t="inlineStr">
        <is>
          <t>해당 없음</t>
        </is>
      </c>
      <c r="O753" s="24" t="inlineStr">
        <is>
          <t>13399000000.0</t>
        </is>
      </c>
      <c r="P753" s="24" t="inlineStr">
        <is>
          <t>KRW</t>
        </is>
      </c>
      <c r="Q753" s="24" t="inlineStr">
        <is>
          <t>20</t>
        </is>
      </c>
    </row>
    <row r="754" ht="24" customHeight="1">
      <c r="A754" s="29" t="inlineStr">
        <is>
          <t>OpenDART_fnlttSinglAcntAll</t>
        </is>
      </c>
      <c r="B754" s="29" t="inlineStr">
        <is>
          <t>00161383</t>
        </is>
      </c>
      <c r="C754" s="29" t="inlineStr">
        <is>
          <t>한미반도체</t>
        </is>
      </c>
      <c r="D754" s="29" t="inlineStr">
        <is>
          <t>hanmi</t>
        </is>
      </c>
      <c r="E754" s="29" t="inlineStr">
        <is>
          <t>042700</t>
        </is>
      </c>
      <c r="F754" s="29" t="inlineStr">
        <is>
          <t>2024</t>
        </is>
      </c>
      <c r="G754" s="29" t="inlineStr">
        <is>
          <t>CFS</t>
        </is>
      </c>
      <c r="H754" s="29" t="inlineStr">
        <is>
          <t>CF</t>
        </is>
      </c>
      <c r="I754" s="29" t="inlineStr">
        <is>
          <t>현금흐름표</t>
        </is>
      </c>
      <c r="J754" s="29" t="inlineStr">
        <is>
          <t>dart_PurchaseOfLongTermFinancialInstruments</t>
        </is>
      </c>
      <c r="K754" s="29" t="inlineStr">
        <is>
          <t>장기금융상품의 취득</t>
        </is>
      </c>
      <c r="L754" s="29" t="inlineStr">
        <is>
          <t>-</t>
        </is>
      </c>
      <c r="M754" s="29" t="inlineStr">
        <is>
          <t>제 45 기</t>
        </is>
      </c>
      <c r="N754" s="29" t="inlineStr">
        <is>
          <t>436800.0</t>
        </is>
      </c>
      <c r="O754" s="29" t="inlineStr">
        <is>
          <t>해당 없음</t>
        </is>
      </c>
      <c r="P754" s="29" t="inlineStr">
        <is>
          <t>KRW</t>
        </is>
      </c>
      <c r="Q754" s="29" t="inlineStr">
        <is>
          <t>21</t>
        </is>
      </c>
    </row>
    <row r="755" ht="24" customHeight="1">
      <c r="A755" s="24" t="inlineStr">
        <is>
          <t>OpenDART_fnlttSinglAcntAll</t>
        </is>
      </c>
      <c r="B755" s="24" t="inlineStr">
        <is>
          <t>00161383</t>
        </is>
      </c>
      <c r="C755" s="24" t="inlineStr">
        <is>
          <t>한미반도체</t>
        </is>
      </c>
      <c r="D755" s="24" t="inlineStr">
        <is>
          <t>hanmi</t>
        </is>
      </c>
      <c r="E755" s="24" t="inlineStr">
        <is>
          <t>042700</t>
        </is>
      </c>
      <c r="F755" s="24" t="inlineStr">
        <is>
          <t>2024</t>
        </is>
      </c>
      <c r="G755" s="24" t="inlineStr">
        <is>
          <t>CFS</t>
        </is>
      </c>
      <c r="H755" s="24" t="inlineStr">
        <is>
          <t>CF</t>
        </is>
      </c>
      <c r="I755" s="24" t="inlineStr">
        <is>
          <t>현금흐름표</t>
        </is>
      </c>
      <c r="J755" s="24" t="inlineStr">
        <is>
          <t>dart_PurchaseOfShortTermFinancialInstruments</t>
        </is>
      </c>
      <c r="K755" s="24" t="inlineStr">
        <is>
          <t>단기금융상품의 취득</t>
        </is>
      </c>
      <c r="L755" s="24" t="inlineStr">
        <is>
          <t>-</t>
        </is>
      </c>
      <c r="M755" s="24" t="inlineStr">
        <is>
          <t>제 45 기</t>
        </is>
      </c>
      <c r="N755" s="24" t="inlineStr">
        <is>
          <t>해당 없음</t>
        </is>
      </c>
      <c r="O755" s="24" t="inlineStr">
        <is>
          <t>해당 없음</t>
        </is>
      </c>
      <c r="P755" s="24" t="inlineStr">
        <is>
          <t>KRW</t>
        </is>
      </c>
      <c r="Q755" s="24" t="inlineStr">
        <is>
          <t>22</t>
        </is>
      </c>
    </row>
    <row r="756" ht="24" customHeight="1">
      <c r="A756" s="29" t="inlineStr">
        <is>
          <t>OpenDART_fnlttSinglAcntAll</t>
        </is>
      </c>
      <c r="B756" s="29" t="inlineStr">
        <is>
          <t>00161383</t>
        </is>
      </c>
      <c r="C756" s="29" t="inlineStr">
        <is>
          <t>한미반도체</t>
        </is>
      </c>
      <c r="D756" s="29" t="inlineStr">
        <is>
          <t>hanmi</t>
        </is>
      </c>
      <c r="E756" s="29" t="inlineStr">
        <is>
          <t>042700</t>
        </is>
      </c>
      <c r="F756" s="29" t="inlineStr">
        <is>
          <t>2024</t>
        </is>
      </c>
      <c r="G756" s="29" t="inlineStr">
        <is>
          <t>CFS</t>
        </is>
      </c>
      <c r="H756" s="29" t="inlineStr">
        <is>
          <t>CF</t>
        </is>
      </c>
      <c r="I756" s="29" t="inlineStr">
        <is>
          <t>현금흐름표</t>
        </is>
      </c>
      <c r="J756" s="29" t="inlineStr">
        <is>
          <t>ifrs-full_ProceedsFromSalesOfPropertyPlantAndEquipmentClassifiedAsInvestingActivities</t>
        </is>
      </c>
      <c r="K756" s="29" t="inlineStr">
        <is>
          <t>유형자산의 처분</t>
        </is>
      </c>
      <c r="L756" s="29" t="inlineStr">
        <is>
          <t>-</t>
        </is>
      </c>
      <c r="M756" s="29" t="inlineStr">
        <is>
          <t>제 45 기</t>
        </is>
      </c>
      <c r="N756" s="29" t="inlineStr">
        <is>
          <t>410380900.0</t>
        </is>
      </c>
      <c r="O756" s="29" t="inlineStr">
        <is>
          <t>1559401457.0</t>
        </is>
      </c>
      <c r="P756" s="29" t="inlineStr">
        <is>
          <t>KRW</t>
        </is>
      </c>
      <c r="Q756" s="29" t="inlineStr">
        <is>
          <t>23</t>
        </is>
      </c>
    </row>
    <row r="757" ht="24" customHeight="1">
      <c r="A757" s="24" t="inlineStr">
        <is>
          <t>OpenDART_fnlttSinglAcntAll</t>
        </is>
      </c>
      <c r="B757" s="24" t="inlineStr">
        <is>
          <t>00161383</t>
        </is>
      </c>
      <c r="C757" s="24" t="inlineStr">
        <is>
          <t>한미반도체</t>
        </is>
      </c>
      <c r="D757" s="24" t="inlineStr">
        <is>
          <t>hanmi</t>
        </is>
      </c>
      <c r="E757" s="24" t="inlineStr">
        <is>
          <t>042700</t>
        </is>
      </c>
      <c r="F757" s="24" t="inlineStr">
        <is>
          <t>2024</t>
        </is>
      </c>
      <c r="G757" s="24" t="inlineStr">
        <is>
          <t>CFS</t>
        </is>
      </c>
      <c r="H757" s="24" t="inlineStr">
        <is>
          <t>CF</t>
        </is>
      </c>
      <c r="I757" s="24" t="inlineStr">
        <is>
          <t>현금흐름표</t>
        </is>
      </c>
      <c r="J757" s="24" t="inlineStr">
        <is>
          <t>ifrs-full_PurchaseOfIntangibleAssetsClassifiedAsInvestingActivities</t>
        </is>
      </c>
      <c r="K757" s="24" t="inlineStr">
        <is>
          <t>무형자산의 취득</t>
        </is>
      </c>
      <c r="L757" s="24" t="inlineStr">
        <is>
          <t>-</t>
        </is>
      </c>
      <c r="M757" s="24" t="inlineStr">
        <is>
          <t>제 45 기</t>
        </is>
      </c>
      <c r="N757" s="24" t="inlineStr">
        <is>
          <t>249917598.0</t>
        </is>
      </c>
      <c r="O757" s="24" t="inlineStr">
        <is>
          <t>83934608.0</t>
        </is>
      </c>
      <c r="P757" s="24" t="inlineStr">
        <is>
          <t>KRW</t>
        </is>
      </c>
      <c r="Q757" s="24" t="inlineStr">
        <is>
          <t>24</t>
        </is>
      </c>
    </row>
    <row r="758" ht="24" customHeight="1">
      <c r="A758" s="29" t="inlineStr">
        <is>
          <t>OpenDART_fnlttSinglAcntAll</t>
        </is>
      </c>
      <c r="B758" s="29" t="inlineStr">
        <is>
          <t>00161383</t>
        </is>
      </c>
      <c r="C758" s="29" t="inlineStr">
        <is>
          <t>한미반도체</t>
        </is>
      </c>
      <c r="D758" s="29" t="inlineStr">
        <is>
          <t>hanmi</t>
        </is>
      </c>
      <c r="E758" s="29" t="inlineStr">
        <is>
          <t>042700</t>
        </is>
      </c>
      <c r="F758" s="29" t="inlineStr">
        <is>
          <t>2024</t>
        </is>
      </c>
      <c r="G758" s="29" t="inlineStr">
        <is>
          <t>CFS</t>
        </is>
      </c>
      <c r="H758" s="29" t="inlineStr">
        <is>
          <t>CF</t>
        </is>
      </c>
      <c r="I758" s="29" t="inlineStr">
        <is>
          <t>현금흐름표</t>
        </is>
      </c>
      <c r="J758" s="29" t="inlineStr">
        <is>
          <t>ifrs-full_PurchaseOfPropertyPlantAndEquipmentClassifiedAsInvestingActivities</t>
        </is>
      </c>
      <c r="K758" s="29" t="inlineStr">
        <is>
          <t>유형자산의 취득</t>
        </is>
      </c>
      <c r="L758" s="29" t="inlineStr">
        <is>
          <t>-</t>
        </is>
      </c>
      <c r="M758" s="29" t="inlineStr">
        <is>
          <t>제 45 기</t>
        </is>
      </c>
      <c r="N758" s="29" t="inlineStr">
        <is>
          <t>53537061092.0</t>
        </is>
      </c>
      <c r="O758" s="29" t="inlineStr">
        <is>
          <t>27531410354.0</t>
        </is>
      </c>
      <c r="P758" s="29" t="inlineStr">
        <is>
          <t>KRW</t>
        </is>
      </c>
      <c r="Q758" s="29" t="inlineStr">
        <is>
          <t>25</t>
        </is>
      </c>
    </row>
    <row r="759" ht="24" customHeight="1">
      <c r="A759" s="24" t="inlineStr">
        <is>
          <t>OpenDART_fnlttSinglAcntAll</t>
        </is>
      </c>
      <c r="B759" s="24" t="inlineStr">
        <is>
          <t>00161383</t>
        </is>
      </c>
      <c r="C759" s="24" t="inlineStr">
        <is>
          <t>한미반도체</t>
        </is>
      </c>
      <c r="D759" s="24" t="inlineStr">
        <is>
          <t>hanmi</t>
        </is>
      </c>
      <c r="E759" s="24" t="inlineStr">
        <is>
          <t>042700</t>
        </is>
      </c>
      <c r="F759" s="24" t="inlineStr">
        <is>
          <t>2024</t>
        </is>
      </c>
      <c r="G759" s="24" t="inlineStr">
        <is>
          <t>CFS</t>
        </is>
      </c>
      <c r="H759" s="24" t="inlineStr">
        <is>
          <t>CF</t>
        </is>
      </c>
      <c r="I759" s="24" t="inlineStr">
        <is>
          <t>현금흐름표</t>
        </is>
      </c>
      <c r="J759" s="24" t="inlineStr">
        <is>
          <t>ifrs-full_CashFlowsFromUsedInOperatingActivities</t>
        </is>
      </c>
      <c r="K759" s="24" t="inlineStr">
        <is>
          <t>영업활동현금흐름</t>
        </is>
      </c>
      <c r="L759" s="24" t="inlineStr">
        <is>
          <t>-</t>
        </is>
      </c>
      <c r="M759" s="24" t="inlineStr">
        <is>
          <t>제 45 기</t>
        </is>
      </c>
      <c r="N759" s="24" t="inlineStr">
        <is>
          <t>141363819580.0</t>
        </is>
      </c>
      <c r="O759" s="24" t="inlineStr">
        <is>
          <t>44990807438.0</t>
        </is>
      </c>
      <c r="P759" s="24" t="inlineStr">
        <is>
          <t>KRW</t>
        </is>
      </c>
      <c r="Q759" s="24" t="inlineStr">
        <is>
          <t>26</t>
        </is>
      </c>
    </row>
    <row r="760" ht="24" customHeight="1">
      <c r="A760" s="29" t="inlineStr">
        <is>
          <t>OpenDART_fnlttSinglAcntAll</t>
        </is>
      </c>
      <c r="B760" s="29" t="inlineStr">
        <is>
          <t>00161383</t>
        </is>
      </c>
      <c r="C760" s="29" t="inlineStr">
        <is>
          <t>한미반도체</t>
        </is>
      </c>
      <c r="D760" s="29" t="inlineStr">
        <is>
          <t>hanmi</t>
        </is>
      </c>
      <c r="E760" s="29" t="inlineStr">
        <is>
          <t>042700</t>
        </is>
      </c>
      <c r="F760" s="29" t="inlineStr">
        <is>
          <t>2024</t>
        </is>
      </c>
      <c r="G760" s="29" t="inlineStr">
        <is>
          <t>CFS</t>
        </is>
      </c>
      <c r="H760" s="29" t="inlineStr">
        <is>
          <t>CF</t>
        </is>
      </c>
      <c r="I760" s="29" t="inlineStr">
        <is>
          <t>현금흐름표</t>
        </is>
      </c>
      <c r="J760" s="29" t="inlineStr">
        <is>
          <t>dart_AdjustmentsForAssetsLiabilitiesOfOperatingActivities</t>
        </is>
      </c>
      <c r="K760" s="29" t="inlineStr">
        <is>
          <t>영업활동으로 인한 자산 부채의 변동</t>
        </is>
      </c>
      <c r="L760" s="29" t="inlineStr">
        <is>
          <t>-</t>
        </is>
      </c>
      <c r="M760" s="29" t="inlineStr">
        <is>
          <t>제 45 기</t>
        </is>
      </c>
      <c r="N760" s="29" t="inlineStr">
        <is>
          <t>-121285668498.0</t>
        </is>
      </c>
      <c r="O760" s="29" t="inlineStr">
        <is>
          <t>26833228280.0</t>
        </is>
      </c>
      <c r="P760" s="29" t="inlineStr">
        <is>
          <t>KRW</t>
        </is>
      </c>
      <c r="Q760" s="29" t="inlineStr">
        <is>
          <t>27</t>
        </is>
      </c>
    </row>
    <row r="761" ht="24" customHeight="1">
      <c r="A761" s="24" t="inlineStr">
        <is>
          <t>OpenDART_fnlttSinglAcntAll</t>
        </is>
      </c>
      <c r="B761" s="24" t="inlineStr">
        <is>
          <t>00161383</t>
        </is>
      </c>
      <c r="C761" s="24" t="inlineStr">
        <is>
          <t>한미반도체</t>
        </is>
      </c>
      <c r="D761" s="24" t="inlineStr">
        <is>
          <t>hanmi</t>
        </is>
      </c>
      <c r="E761" s="24" t="inlineStr">
        <is>
          <t>042700</t>
        </is>
      </c>
      <c r="F761" s="24" t="inlineStr">
        <is>
          <t>2024</t>
        </is>
      </c>
      <c r="G761" s="24" t="inlineStr">
        <is>
          <t>CFS</t>
        </is>
      </c>
      <c r="H761" s="24" t="inlineStr">
        <is>
          <t>CF</t>
        </is>
      </c>
      <c r="I761" s="24" t="inlineStr">
        <is>
          <t>현금흐름표</t>
        </is>
      </c>
      <c r="J761" s="24" t="inlineStr">
        <is>
          <t>dart_AdjustmentsForDecreaseincreaseInOtherCurrentFinancialAssets</t>
        </is>
      </c>
      <c r="K761" s="24" t="inlineStr">
        <is>
          <t>기타유동금융자산의 감소(증가)</t>
        </is>
      </c>
      <c r="L761" s="24" t="inlineStr">
        <is>
          <t>-</t>
        </is>
      </c>
      <c r="M761" s="24" t="inlineStr">
        <is>
          <t>제 45 기</t>
        </is>
      </c>
      <c r="N761" s="24" t="inlineStr">
        <is>
          <t>-255432995.0</t>
        </is>
      </c>
      <c r="O761" s="24" t="inlineStr">
        <is>
          <t>-124374871.0</t>
        </is>
      </c>
      <c r="P761" s="24" t="inlineStr">
        <is>
          <t>KRW</t>
        </is>
      </c>
      <c r="Q761" s="24" t="inlineStr">
        <is>
          <t>28</t>
        </is>
      </c>
    </row>
    <row r="762" ht="24" customHeight="1">
      <c r="A762" s="29" t="inlineStr">
        <is>
          <t>OpenDART_fnlttSinglAcntAll</t>
        </is>
      </c>
      <c r="B762" s="29" t="inlineStr">
        <is>
          <t>00161383</t>
        </is>
      </c>
      <c r="C762" s="29" t="inlineStr">
        <is>
          <t>한미반도체</t>
        </is>
      </c>
      <c r="D762" s="29" t="inlineStr">
        <is>
          <t>hanmi</t>
        </is>
      </c>
      <c r="E762" s="29" t="inlineStr">
        <is>
          <t>042700</t>
        </is>
      </c>
      <c r="F762" s="29" t="inlineStr">
        <is>
          <t>2024</t>
        </is>
      </c>
      <c r="G762" s="29" t="inlineStr">
        <is>
          <t>CFS</t>
        </is>
      </c>
      <c r="H762" s="29" t="inlineStr">
        <is>
          <t>CF</t>
        </is>
      </c>
      <c r="I762" s="29" t="inlineStr">
        <is>
          <t>현금흐름표</t>
        </is>
      </c>
      <c r="J762" s="29" t="inlineStr">
        <is>
          <t>dart_AdjustmentsForIncreaseDecreaseInOtherNonCurrentLiabilities</t>
        </is>
      </c>
      <c r="K762" s="29" t="inlineStr">
        <is>
          <t>기타비유동부채의 증가(감소)</t>
        </is>
      </c>
      <c r="L762" s="29" t="inlineStr">
        <is>
          <t>-</t>
        </is>
      </c>
      <c r="M762" s="29" t="inlineStr">
        <is>
          <t>제 45 기</t>
        </is>
      </c>
      <c r="N762" s="29" t="inlineStr">
        <is>
          <t>-159566000.0</t>
        </is>
      </c>
      <c r="O762" s="29" t="inlineStr">
        <is>
          <t>-95812750.0</t>
        </is>
      </c>
      <c r="P762" s="29" t="inlineStr">
        <is>
          <t>KRW</t>
        </is>
      </c>
      <c r="Q762" s="29" t="inlineStr">
        <is>
          <t>29</t>
        </is>
      </c>
    </row>
    <row r="763" ht="24" customHeight="1">
      <c r="A763" s="24" t="inlineStr">
        <is>
          <t>OpenDART_fnlttSinglAcntAll</t>
        </is>
      </c>
      <c r="B763" s="24" t="inlineStr">
        <is>
          <t>00161383</t>
        </is>
      </c>
      <c r="C763" s="24" t="inlineStr">
        <is>
          <t>한미반도체</t>
        </is>
      </c>
      <c r="D763" s="24" t="inlineStr">
        <is>
          <t>hanmi</t>
        </is>
      </c>
      <c r="E763" s="24" t="inlineStr">
        <is>
          <t>042700</t>
        </is>
      </c>
      <c r="F763" s="24" t="inlineStr">
        <is>
          <t>2024</t>
        </is>
      </c>
      <c r="G763" s="24" t="inlineStr">
        <is>
          <t>CFS</t>
        </is>
      </c>
      <c r="H763" s="24" t="inlineStr">
        <is>
          <t>CF</t>
        </is>
      </c>
      <c r="I763" s="24" t="inlineStr">
        <is>
          <t>현금흐름표</t>
        </is>
      </c>
      <c r="J763" s="24" t="inlineStr">
        <is>
          <t>dart_AdjustmentsForIncreasedecreaseInOtherCurrentFinancialLiabilities</t>
        </is>
      </c>
      <c r="K763" s="24" t="inlineStr">
        <is>
          <t>기타유동금융부채의 증가(감소)</t>
        </is>
      </c>
      <c r="L763" s="24" t="inlineStr">
        <is>
          <t>-</t>
        </is>
      </c>
      <c r="M763" s="24" t="inlineStr">
        <is>
          <t>제 45 기</t>
        </is>
      </c>
      <c r="N763" s="24" t="inlineStr">
        <is>
          <t>1996470179.0</t>
        </is>
      </c>
      <c r="O763" s="24" t="inlineStr">
        <is>
          <t>-3411427555.0</t>
        </is>
      </c>
      <c r="P763" s="24" t="inlineStr">
        <is>
          <t>KRW</t>
        </is>
      </c>
      <c r="Q763" s="24" t="inlineStr">
        <is>
          <t>30</t>
        </is>
      </c>
    </row>
    <row r="764" ht="24" customHeight="1">
      <c r="A764" s="29" t="inlineStr">
        <is>
          <t>OpenDART_fnlttSinglAcntAll</t>
        </is>
      </c>
      <c r="B764" s="29" t="inlineStr">
        <is>
          <t>00161383</t>
        </is>
      </c>
      <c r="C764" s="29" t="inlineStr">
        <is>
          <t>한미반도체</t>
        </is>
      </c>
      <c r="D764" s="29" t="inlineStr">
        <is>
          <t>hanmi</t>
        </is>
      </c>
      <c r="E764" s="29" t="inlineStr">
        <is>
          <t>042700</t>
        </is>
      </c>
      <c r="F764" s="29" t="inlineStr">
        <is>
          <t>2024</t>
        </is>
      </c>
      <c r="G764" s="29" t="inlineStr">
        <is>
          <t>CFS</t>
        </is>
      </c>
      <c r="H764" s="29" t="inlineStr">
        <is>
          <t>CF</t>
        </is>
      </c>
      <c r="I764" s="29" t="inlineStr">
        <is>
          <t>현금흐름표</t>
        </is>
      </c>
      <c r="J764" s="29" t="inlineStr">
        <is>
          <t>dart_AdjustmentsForIncreasedecreaseInOtherNonCurrentNonFinancialLiabilities</t>
        </is>
      </c>
      <c r="K764" s="29" t="inlineStr">
        <is>
          <t>기타비유동비금융부채의 증가(감소)</t>
        </is>
      </c>
      <c r="L764" s="29" t="inlineStr">
        <is>
          <t>-</t>
        </is>
      </c>
      <c r="M764" s="29" t="inlineStr">
        <is>
          <t>제 45 기</t>
        </is>
      </c>
      <c r="N764" s="29" t="inlineStr">
        <is>
          <t>8000000.0</t>
        </is>
      </c>
      <c r="O764" s="29" t="inlineStr">
        <is>
          <t>5000000.0</t>
        </is>
      </c>
      <c r="P764" s="29" t="inlineStr">
        <is>
          <t>KRW</t>
        </is>
      </c>
      <c r="Q764" s="29" t="inlineStr">
        <is>
          <t>31</t>
        </is>
      </c>
    </row>
    <row r="765" ht="24" customHeight="1">
      <c r="A765" s="24" t="inlineStr">
        <is>
          <t>OpenDART_fnlttSinglAcntAll</t>
        </is>
      </c>
      <c r="B765" s="24" t="inlineStr">
        <is>
          <t>00161383</t>
        </is>
      </c>
      <c r="C765" s="24" t="inlineStr">
        <is>
          <t>한미반도체</t>
        </is>
      </c>
      <c r="D765" s="24" t="inlineStr">
        <is>
          <t>hanmi</t>
        </is>
      </c>
      <c r="E765" s="24" t="inlineStr">
        <is>
          <t>042700</t>
        </is>
      </c>
      <c r="F765" s="24" t="inlineStr">
        <is>
          <t>2024</t>
        </is>
      </c>
      <c r="G765" s="24" t="inlineStr">
        <is>
          <t>CFS</t>
        </is>
      </c>
      <c r="H765" s="24" t="inlineStr">
        <is>
          <t>CF</t>
        </is>
      </c>
      <c r="I765" s="24" t="inlineStr">
        <is>
          <t>현금흐름표</t>
        </is>
      </c>
      <c r="J765" s="24" t="inlineStr">
        <is>
          <t>dart_AdjustmentsForIncreasedecreaseInProvisions</t>
        </is>
      </c>
      <c r="K765" s="24" t="inlineStr">
        <is>
          <t>충당부채의 증가(감소)</t>
        </is>
      </c>
      <c r="L765" s="24" t="inlineStr">
        <is>
          <t>-</t>
        </is>
      </c>
      <c r="M765" s="24" t="inlineStr">
        <is>
          <t>제 45 기</t>
        </is>
      </c>
      <c r="N765" s="24" t="inlineStr">
        <is>
          <t>4484039336.0</t>
        </is>
      </c>
      <c r="O765" s="24" t="inlineStr">
        <is>
          <t>-1875931621.0</t>
        </is>
      </c>
      <c r="P765" s="24" t="inlineStr">
        <is>
          <t>KRW</t>
        </is>
      </c>
      <c r="Q765" s="24" t="inlineStr">
        <is>
          <t>32</t>
        </is>
      </c>
    </row>
    <row r="766" ht="24" customHeight="1">
      <c r="A766" s="29" t="inlineStr">
        <is>
          <t>OpenDART_fnlttSinglAcntAll</t>
        </is>
      </c>
      <c r="B766" s="29" t="inlineStr">
        <is>
          <t>00161383</t>
        </is>
      </c>
      <c r="C766" s="29" t="inlineStr">
        <is>
          <t>한미반도체</t>
        </is>
      </c>
      <c r="D766" s="29" t="inlineStr">
        <is>
          <t>hanmi</t>
        </is>
      </c>
      <c r="E766" s="29" t="inlineStr">
        <is>
          <t>042700</t>
        </is>
      </c>
      <c r="F766" s="29" t="inlineStr">
        <is>
          <t>2024</t>
        </is>
      </c>
      <c r="G766" s="29" t="inlineStr">
        <is>
          <t>CFS</t>
        </is>
      </c>
      <c r="H766" s="29" t="inlineStr">
        <is>
          <t>CF</t>
        </is>
      </c>
      <c r="I766" s="29" t="inlineStr">
        <is>
          <t>현금흐름표</t>
        </is>
      </c>
      <c r="J766" s="29" t="inlineStr">
        <is>
          <t>-표준계정코드 미사용-</t>
        </is>
      </c>
      <c r="K766" s="29" t="inlineStr">
        <is>
          <t>퇴직급여자산의 감소(증가)</t>
        </is>
      </c>
      <c r="L766" s="29" t="inlineStr">
        <is>
          <t>-</t>
        </is>
      </c>
      <c r="M766" s="29" t="inlineStr">
        <is>
          <t>제 45 기</t>
        </is>
      </c>
      <c r="N766" s="29" t="inlineStr">
        <is>
          <t>-4396912210.0</t>
        </is>
      </c>
      <c r="O766" s="29" t="inlineStr">
        <is>
          <t>-1167891910.0</t>
        </is>
      </c>
      <c r="P766" s="29" t="inlineStr">
        <is>
          <t>KRW</t>
        </is>
      </c>
      <c r="Q766" s="29" t="inlineStr">
        <is>
          <t>33</t>
        </is>
      </c>
    </row>
    <row r="767" ht="24" customHeight="1">
      <c r="A767" s="24" t="inlineStr">
        <is>
          <t>OpenDART_fnlttSinglAcntAll</t>
        </is>
      </c>
      <c r="B767" s="24" t="inlineStr">
        <is>
          <t>00161383</t>
        </is>
      </c>
      <c r="C767" s="24" t="inlineStr">
        <is>
          <t>한미반도체</t>
        </is>
      </c>
      <c r="D767" s="24" t="inlineStr">
        <is>
          <t>hanmi</t>
        </is>
      </c>
      <c r="E767" s="24" t="inlineStr">
        <is>
          <t>042700</t>
        </is>
      </c>
      <c r="F767" s="24" t="inlineStr">
        <is>
          <t>2024</t>
        </is>
      </c>
      <c r="G767" s="24" t="inlineStr">
        <is>
          <t>CFS</t>
        </is>
      </c>
      <c r="H767" s="24" t="inlineStr">
        <is>
          <t>CF</t>
        </is>
      </c>
      <c r="I767" s="24" t="inlineStr">
        <is>
          <t>현금흐름표</t>
        </is>
      </c>
      <c r="J767" s="24" t="inlineStr">
        <is>
          <t>ifrs-full_AdjustmentsForDecreaseIncreaseInInventories</t>
        </is>
      </c>
      <c r="K767" s="24" t="inlineStr">
        <is>
          <t>재고자산의 감소(증가)</t>
        </is>
      </c>
      <c r="L767" s="24" t="inlineStr">
        <is>
          <t>-</t>
        </is>
      </c>
      <c r="M767" s="24" t="inlineStr">
        <is>
          <t>제 45 기</t>
        </is>
      </c>
      <c r="N767" s="24" t="inlineStr">
        <is>
          <t>-68555116222.0</t>
        </is>
      </c>
      <c r="O767" s="24" t="inlineStr">
        <is>
          <t>-18912788641.0</t>
        </is>
      </c>
      <c r="P767" s="24" t="inlineStr">
        <is>
          <t>KRW</t>
        </is>
      </c>
      <c r="Q767" s="24" t="inlineStr">
        <is>
          <t>34</t>
        </is>
      </c>
    </row>
    <row r="768" ht="24" customHeight="1">
      <c r="A768" s="29" t="inlineStr">
        <is>
          <t>OpenDART_fnlttSinglAcntAll</t>
        </is>
      </c>
      <c r="B768" s="29" t="inlineStr">
        <is>
          <t>00161383</t>
        </is>
      </c>
      <c r="C768" s="29" t="inlineStr">
        <is>
          <t>한미반도체</t>
        </is>
      </c>
      <c r="D768" s="29" t="inlineStr">
        <is>
          <t>hanmi</t>
        </is>
      </c>
      <c r="E768" s="29" t="inlineStr">
        <is>
          <t>042700</t>
        </is>
      </c>
      <c r="F768" s="29" t="inlineStr">
        <is>
          <t>2024</t>
        </is>
      </c>
      <c r="G768" s="29" t="inlineStr">
        <is>
          <t>CFS</t>
        </is>
      </c>
      <c r="H768" s="29" t="inlineStr">
        <is>
          <t>CF</t>
        </is>
      </c>
      <c r="I768" s="29" t="inlineStr">
        <is>
          <t>현금흐름표</t>
        </is>
      </c>
      <c r="J768" s="29" t="inlineStr">
        <is>
          <t>ifrs-full_AdjustmentsForDecreaseIncreaseInOtherCurrentAssets</t>
        </is>
      </c>
      <c r="K768" s="29" t="inlineStr">
        <is>
          <t>기타유동자산의 감소(증가) 조정</t>
        </is>
      </c>
      <c r="L768" s="29" t="inlineStr">
        <is>
          <t>-</t>
        </is>
      </c>
      <c r="M768" s="29" t="inlineStr">
        <is>
          <t>제 45 기</t>
        </is>
      </c>
      <c r="N768" s="29" t="inlineStr">
        <is>
          <t>171674479.0</t>
        </is>
      </c>
      <c r="O768" s="29" t="inlineStr">
        <is>
          <t>-705198050.0</t>
        </is>
      </c>
      <c r="P768" s="29" t="inlineStr">
        <is>
          <t>KRW</t>
        </is>
      </c>
      <c r="Q768" s="29" t="inlineStr">
        <is>
          <t>35</t>
        </is>
      </c>
    </row>
    <row r="769" ht="24" customHeight="1">
      <c r="A769" s="24" t="inlineStr">
        <is>
          <t>OpenDART_fnlttSinglAcntAll</t>
        </is>
      </c>
      <c r="B769" s="24" t="inlineStr">
        <is>
          <t>00161383</t>
        </is>
      </c>
      <c r="C769" s="24" t="inlineStr">
        <is>
          <t>한미반도체</t>
        </is>
      </c>
      <c r="D769" s="24" t="inlineStr">
        <is>
          <t>hanmi</t>
        </is>
      </c>
      <c r="E769" s="24" t="inlineStr">
        <is>
          <t>042700</t>
        </is>
      </c>
      <c r="F769" s="24" t="inlineStr">
        <is>
          <t>2024</t>
        </is>
      </c>
      <c r="G769" s="24" t="inlineStr">
        <is>
          <t>CFS</t>
        </is>
      </c>
      <c r="H769" s="24" t="inlineStr">
        <is>
          <t>CF</t>
        </is>
      </c>
      <c r="I769" s="24" t="inlineStr">
        <is>
          <t>현금흐름표</t>
        </is>
      </c>
      <c r="J769" s="24" t="inlineStr">
        <is>
          <t>ifrs-full_AdjustmentsForDecreaseIncreaseInTradeAccountReceivable</t>
        </is>
      </c>
      <c r="K769" s="24" t="inlineStr">
        <is>
          <t>매출채권의 감소(증가)</t>
        </is>
      </c>
      <c r="L769" s="24" t="inlineStr">
        <is>
          <t>-</t>
        </is>
      </c>
      <c r="M769" s="24" t="inlineStr">
        <is>
          <t>제 45 기</t>
        </is>
      </c>
      <c r="N769" s="24" t="inlineStr">
        <is>
          <t>-92091868153.0</t>
        </is>
      </c>
      <c r="O769" s="24" t="inlineStr">
        <is>
          <t>48008005268.0</t>
        </is>
      </c>
      <c r="P769" s="24" t="inlineStr">
        <is>
          <t>KRW</t>
        </is>
      </c>
      <c r="Q769" s="24" t="inlineStr">
        <is>
          <t>36</t>
        </is>
      </c>
    </row>
    <row r="770" ht="24" customHeight="1">
      <c r="A770" s="29" t="inlineStr">
        <is>
          <t>OpenDART_fnlttSinglAcntAll</t>
        </is>
      </c>
      <c r="B770" s="29" t="inlineStr">
        <is>
          <t>00161383</t>
        </is>
      </c>
      <c r="C770" s="29" t="inlineStr">
        <is>
          <t>한미반도체</t>
        </is>
      </c>
      <c r="D770" s="29" t="inlineStr">
        <is>
          <t>hanmi</t>
        </is>
      </c>
      <c r="E770" s="29" t="inlineStr">
        <is>
          <t>042700</t>
        </is>
      </c>
      <c r="F770" s="29" t="inlineStr">
        <is>
          <t>2024</t>
        </is>
      </c>
      <c r="G770" s="29" t="inlineStr">
        <is>
          <t>CFS</t>
        </is>
      </c>
      <c r="H770" s="29" t="inlineStr">
        <is>
          <t>CF</t>
        </is>
      </c>
      <c r="I770" s="29" t="inlineStr">
        <is>
          <t>현금흐름표</t>
        </is>
      </c>
      <c r="J770" s="29" t="inlineStr">
        <is>
          <t>ifrs-full_AdjustmentsForIncreaseDecreaseInOtherCurrentLiabilities</t>
        </is>
      </c>
      <c r="K770" s="29" t="inlineStr">
        <is>
          <t>기타유동부채의 증가(감소)</t>
        </is>
      </c>
      <c r="L770" s="29" t="inlineStr">
        <is>
          <t>-</t>
        </is>
      </c>
      <c r="M770" s="29" t="inlineStr">
        <is>
          <t>제 45 기</t>
        </is>
      </c>
      <c r="N770" s="29" t="inlineStr">
        <is>
          <t>2676112289.0</t>
        </is>
      </c>
      <c r="O770" s="29" t="inlineStr">
        <is>
          <t>-696094868.0</t>
        </is>
      </c>
      <c r="P770" s="29" t="inlineStr">
        <is>
          <t>KRW</t>
        </is>
      </c>
      <c r="Q770" s="29" t="inlineStr">
        <is>
          <t>37</t>
        </is>
      </c>
    </row>
    <row r="771" ht="24" customHeight="1">
      <c r="A771" s="24" t="inlineStr">
        <is>
          <t>OpenDART_fnlttSinglAcntAll</t>
        </is>
      </c>
      <c r="B771" s="24" t="inlineStr">
        <is>
          <t>00161383</t>
        </is>
      </c>
      <c r="C771" s="24" t="inlineStr">
        <is>
          <t>한미반도체</t>
        </is>
      </c>
      <c r="D771" s="24" t="inlineStr">
        <is>
          <t>hanmi</t>
        </is>
      </c>
      <c r="E771" s="24" t="inlineStr">
        <is>
          <t>042700</t>
        </is>
      </c>
      <c r="F771" s="24" t="inlineStr">
        <is>
          <t>2024</t>
        </is>
      </c>
      <c r="G771" s="24" t="inlineStr">
        <is>
          <t>CFS</t>
        </is>
      </c>
      <c r="H771" s="24" t="inlineStr">
        <is>
          <t>CF</t>
        </is>
      </c>
      <c r="I771" s="24" t="inlineStr">
        <is>
          <t>현금흐름표</t>
        </is>
      </c>
      <c r="J771" s="24" t="inlineStr">
        <is>
          <t>ifrs-full_AdjustmentsForIncreaseDecreaseInTradeAccountPayable</t>
        </is>
      </c>
      <c r="K771" s="24" t="inlineStr">
        <is>
          <t>매입채무의 증가(감소)</t>
        </is>
      </c>
      <c r="L771" s="24" t="inlineStr">
        <is>
          <t>-</t>
        </is>
      </c>
      <c r="M771" s="24" t="inlineStr">
        <is>
          <t>제 45 기</t>
        </is>
      </c>
      <c r="N771" s="24" t="inlineStr">
        <is>
          <t>34836930799.0</t>
        </is>
      </c>
      <c r="O771" s="24" t="inlineStr">
        <is>
          <t>5809743278.0</t>
        </is>
      </c>
      <c r="P771" s="24" t="inlineStr">
        <is>
          <t>KRW</t>
        </is>
      </c>
      <c r="Q771" s="24" t="inlineStr">
        <is>
          <t>38</t>
        </is>
      </c>
    </row>
    <row r="772" ht="24" customHeight="1">
      <c r="A772" s="29" t="inlineStr">
        <is>
          <t>OpenDART_fnlttSinglAcntAll</t>
        </is>
      </c>
      <c r="B772" s="29" t="inlineStr">
        <is>
          <t>00161383</t>
        </is>
      </c>
      <c r="C772" s="29" t="inlineStr">
        <is>
          <t>한미반도체</t>
        </is>
      </c>
      <c r="D772" s="29" t="inlineStr">
        <is>
          <t>hanmi</t>
        </is>
      </c>
      <c r="E772" s="29" t="inlineStr">
        <is>
          <t>042700</t>
        </is>
      </c>
      <c r="F772" s="29" t="inlineStr">
        <is>
          <t>2024</t>
        </is>
      </c>
      <c r="G772" s="29" t="inlineStr">
        <is>
          <t>CFS</t>
        </is>
      </c>
      <c r="H772" s="29" t="inlineStr">
        <is>
          <t>CF</t>
        </is>
      </c>
      <c r="I772" s="29" t="inlineStr">
        <is>
          <t>현금흐름표</t>
        </is>
      </c>
      <c r="J772" s="29" t="inlineStr">
        <is>
          <t>ifrs-full_AdjustmentsForReconcileProfitLoss</t>
        </is>
      </c>
      <c r="K772" s="29" t="inlineStr">
        <is>
          <t>당기순이익조정을 위한 가감</t>
        </is>
      </c>
      <c r="L772" s="29" t="inlineStr">
        <is>
          <t>-</t>
        </is>
      </c>
      <c r="M772" s="29" t="inlineStr">
        <is>
          <t>제 45 기</t>
        </is>
      </c>
      <c r="N772" s="29" t="inlineStr">
        <is>
          <t>138379942953.0</t>
        </is>
      </c>
      <c r="O772" s="29" t="inlineStr">
        <is>
          <t>-226713321471.0</t>
        </is>
      </c>
      <c r="P772" s="29" t="inlineStr">
        <is>
          <t>KRW</t>
        </is>
      </c>
      <c r="Q772" s="29" t="inlineStr">
        <is>
          <t>39</t>
        </is>
      </c>
    </row>
    <row r="773" ht="24" customHeight="1">
      <c r="A773" s="24" t="inlineStr">
        <is>
          <t>OpenDART_fnlttSinglAcntAll</t>
        </is>
      </c>
      <c r="B773" s="24" t="inlineStr">
        <is>
          <t>00161383</t>
        </is>
      </c>
      <c r="C773" s="24" t="inlineStr">
        <is>
          <t>한미반도체</t>
        </is>
      </c>
      <c r="D773" s="24" t="inlineStr">
        <is>
          <t>hanmi</t>
        </is>
      </c>
      <c r="E773" s="24" t="inlineStr">
        <is>
          <t>042700</t>
        </is>
      </c>
      <c r="F773" s="24" t="inlineStr">
        <is>
          <t>2024</t>
        </is>
      </c>
      <c r="G773" s="24" t="inlineStr">
        <is>
          <t>CFS</t>
        </is>
      </c>
      <c r="H773" s="24" t="inlineStr">
        <is>
          <t>CF</t>
        </is>
      </c>
      <c r="I773" s="24" t="inlineStr">
        <is>
          <t>현금흐름표</t>
        </is>
      </c>
      <c r="J773" s="24" t="inlineStr">
        <is>
          <t>dart_AdjustmentsForBadDebtExpenses</t>
        </is>
      </c>
      <c r="K773" s="24" t="inlineStr">
        <is>
          <t>대손상각비 조정</t>
        </is>
      </c>
      <c r="L773" s="24" t="inlineStr">
        <is>
          <t>-</t>
        </is>
      </c>
      <c r="M773" s="24" t="inlineStr">
        <is>
          <t>제 45 기</t>
        </is>
      </c>
      <c r="N773" s="24" t="inlineStr">
        <is>
          <t>-9109315260.0</t>
        </is>
      </c>
      <c r="O773" s="24" t="inlineStr">
        <is>
          <t>-7565505197.0</t>
        </is>
      </c>
      <c r="P773" s="24" t="inlineStr">
        <is>
          <t>KRW</t>
        </is>
      </c>
      <c r="Q773" s="24" t="inlineStr">
        <is>
          <t>40</t>
        </is>
      </c>
    </row>
    <row r="774" ht="24" customHeight="1">
      <c r="A774" s="29" t="inlineStr">
        <is>
          <t>OpenDART_fnlttSinglAcntAll</t>
        </is>
      </c>
      <c r="B774" s="29" t="inlineStr">
        <is>
          <t>00161383</t>
        </is>
      </c>
      <c r="C774" s="29" t="inlineStr">
        <is>
          <t>한미반도체</t>
        </is>
      </c>
      <c r="D774" s="29" t="inlineStr">
        <is>
          <t>hanmi</t>
        </is>
      </c>
      <c r="E774" s="29" t="inlineStr">
        <is>
          <t>042700</t>
        </is>
      </c>
      <c r="F774" s="29" t="inlineStr">
        <is>
          <t>2024</t>
        </is>
      </c>
      <c r="G774" s="29" t="inlineStr">
        <is>
          <t>CFS</t>
        </is>
      </c>
      <c r="H774" s="29" t="inlineStr">
        <is>
          <t>CF</t>
        </is>
      </c>
      <c r="I774" s="29" t="inlineStr">
        <is>
          <t>현금흐름표</t>
        </is>
      </c>
      <c r="J774" s="29" t="inlineStr">
        <is>
          <t>dart_AdjustmentsForGainOnDispositionOfTangibleAssets</t>
        </is>
      </c>
      <c r="K774" s="29" t="inlineStr">
        <is>
          <t>유형자산처분이익 조정</t>
        </is>
      </c>
      <c r="L774" s="29" t="inlineStr">
        <is>
          <t>-</t>
        </is>
      </c>
      <c r="M774" s="29" t="inlineStr">
        <is>
          <t>제 45 기</t>
        </is>
      </c>
      <c r="N774" s="29" t="inlineStr">
        <is>
          <t>49109323.0</t>
        </is>
      </c>
      <c r="O774" s="29" t="inlineStr">
        <is>
          <t>88235708.0</t>
        </is>
      </c>
      <c r="P774" s="29" t="inlineStr">
        <is>
          <t>KRW</t>
        </is>
      </c>
      <c r="Q774" s="29" t="inlineStr">
        <is>
          <t>41</t>
        </is>
      </c>
    </row>
    <row r="775" ht="24" customHeight="1">
      <c r="A775" s="24" t="inlineStr">
        <is>
          <t>OpenDART_fnlttSinglAcntAll</t>
        </is>
      </c>
      <c r="B775" s="24" t="inlineStr">
        <is>
          <t>00161383</t>
        </is>
      </c>
      <c r="C775" s="24" t="inlineStr">
        <is>
          <t>한미반도체</t>
        </is>
      </c>
      <c r="D775" s="24" t="inlineStr">
        <is>
          <t>hanmi</t>
        </is>
      </c>
      <c r="E775" s="24" t="inlineStr">
        <is>
          <t>042700</t>
        </is>
      </c>
      <c r="F775" s="24" t="inlineStr">
        <is>
          <t>2024</t>
        </is>
      </c>
      <c r="G775" s="24" t="inlineStr">
        <is>
          <t>CFS</t>
        </is>
      </c>
      <c r="H775" s="24" t="inlineStr">
        <is>
          <t>CF</t>
        </is>
      </c>
      <c r="I775" s="24" t="inlineStr">
        <is>
          <t>현금흐름표</t>
        </is>
      </c>
      <c r="J775" s="24" t="inlineStr">
        <is>
          <t>dart_AdjustmentsForGainOnForeignExchangeTranslations</t>
        </is>
      </c>
      <c r="K775" s="24" t="inlineStr">
        <is>
          <t>외화환산이익 조정</t>
        </is>
      </c>
      <c r="L775" s="24" t="inlineStr">
        <is>
          <t>-</t>
        </is>
      </c>
      <c r="M775" s="24" t="inlineStr">
        <is>
          <t>제 45 기</t>
        </is>
      </c>
      <c r="N775" s="24" t="inlineStr">
        <is>
          <t>9985461719.0</t>
        </is>
      </c>
      <c r="O775" s="24" t="inlineStr">
        <is>
          <t>4511330578.0</t>
        </is>
      </c>
      <c r="P775" s="24" t="inlineStr">
        <is>
          <t>KRW</t>
        </is>
      </c>
      <c r="Q775" s="24" t="inlineStr">
        <is>
          <t>42</t>
        </is>
      </c>
    </row>
    <row r="776" ht="24" customHeight="1">
      <c r="A776" s="29" t="inlineStr">
        <is>
          <t>OpenDART_fnlttSinglAcntAll</t>
        </is>
      </c>
      <c r="B776" s="29" t="inlineStr">
        <is>
          <t>00161383</t>
        </is>
      </c>
      <c r="C776" s="29" t="inlineStr">
        <is>
          <t>한미반도체</t>
        </is>
      </c>
      <c r="D776" s="29" t="inlineStr">
        <is>
          <t>hanmi</t>
        </is>
      </c>
      <c r="E776" s="29" t="inlineStr">
        <is>
          <t>042700</t>
        </is>
      </c>
      <c r="F776" s="29" t="inlineStr">
        <is>
          <t>2024</t>
        </is>
      </c>
      <c r="G776" s="29" t="inlineStr">
        <is>
          <t>CFS</t>
        </is>
      </c>
      <c r="H776" s="29" t="inlineStr">
        <is>
          <t>CF</t>
        </is>
      </c>
      <c r="I776" s="29" t="inlineStr">
        <is>
          <t>현금흐름표</t>
        </is>
      </c>
      <c r="J776" s="29" t="inlineStr">
        <is>
          <t>dart_AdjustmentsForGainsOnDisposalsOfInvestmentsInAssociates</t>
        </is>
      </c>
      <c r="K776" s="29" t="inlineStr">
        <is>
          <t>종속기업/관계기업/공동기업투자처분이익</t>
        </is>
      </c>
      <c r="L776" s="29" t="inlineStr">
        <is>
          <t>-</t>
        </is>
      </c>
      <c r="M776" s="29" t="inlineStr">
        <is>
          <t>제 45 기</t>
        </is>
      </c>
      <c r="N776" s="29" t="inlineStr">
        <is>
          <t>해당 없음</t>
        </is>
      </c>
      <c r="O776" s="29" t="inlineStr">
        <is>
          <t>71411764027.0</t>
        </is>
      </c>
      <c r="P776" s="29" t="inlineStr">
        <is>
          <t>KRW</t>
        </is>
      </c>
      <c r="Q776" s="29" t="inlineStr">
        <is>
          <t>43</t>
        </is>
      </c>
    </row>
    <row r="777" ht="24" customHeight="1">
      <c r="A777" s="24" t="inlineStr">
        <is>
          <t>OpenDART_fnlttSinglAcntAll</t>
        </is>
      </c>
      <c r="B777" s="24" t="inlineStr">
        <is>
          <t>00161383</t>
        </is>
      </c>
      <c r="C777" s="24" t="inlineStr">
        <is>
          <t>한미반도체</t>
        </is>
      </c>
      <c r="D777" s="24" t="inlineStr">
        <is>
          <t>hanmi</t>
        </is>
      </c>
      <c r="E777" s="24" t="inlineStr">
        <is>
          <t>042700</t>
        </is>
      </c>
      <c r="F777" s="24" t="inlineStr">
        <is>
          <t>2024</t>
        </is>
      </c>
      <c r="G777" s="24" t="inlineStr">
        <is>
          <t>CFS</t>
        </is>
      </c>
      <c r="H777" s="24" t="inlineStr">
        <is>
          <t>CF</t>
        </is>
      </c>
      <c r="I777" s="24" t="inlineStr">
        <is>
          <t>현금흐름표</t>
        </is>
      </c>
      <c r="J777" s="24" t="inlineStr">
        <is>
          <t>dart_AdjustmentsForGainsOnDisposalsOfNoncurrentAssetsOrDisposalGroupsClassifiedAsHeldForSale</t>
        </is>
      </c>
      <c r="K777" s="24" t="inlineStr">
        <is>
          <t>매각예정비유동관련처분이익</t>
        </is>
      </c>
      <c r="L777" s="24" t="inlineStr">
        <is>
          <t>-</t>
        </is>
      </c>
      <c r="M777" s="24" t="inlineStr">
        <is>
          <t>제 45 기</t>
        </is>
      </c>
      <c r="N777" s="24" t="inlineStr">
        <is>
          <t>해당 없음</t>
        </is>
      </c>
      <c r="O777" s="24" t="inlineStr">
        <is>
          <t>해당 없음</t>
        </is>
      </c>
      <c r="P777" s="24" t="inlineStr">
        <is>
          <t>KRW</t>
        </is>
      </c>
      <c r="Q777" s="24" t="inlineStr">
        <is>
          <t>44</t>
        </is>
      </c>
    </row>
    <row r="778" ht="24" customHeight="1">
      <c r="A778" s="29" t="inlineStr">
        <is>
          <t>OpenDART_fnlttSinglAcntAll</t>
        </is>
      </c>
      <c r="B778" s="29" t="inlineStr">
        <is>
          <t>00161383</t>
        </is>
      </c>
      <c r="C778" s="29" t="inlineStr">
        <is>
          <t>한미반도체</t>
        </is>
      </c>
      <c r="D778" s="29" t="inlineStr">
        <is>
          <t>hanmi</t>
        </is>
      </c>
      <c r="E778" s="29" t="inlineStr">
        <is>
          <t>042700</t>
        </is>
      </c>
      <c r="F778" s="29" t="inlineStr">
        <is>
          <t>2024</t>
        </is>
      </c>
      <c r="G778" s="29" t="inlineStr">
        <is>
          <t>CFS</t>
        </is>
      </c>
      <c r="H778" s="29" t="inlineStr">
        <is>
          <t>CF</t>
        </is>
      </c>
      <c r="I778" s="29" t="inlineStr">
        <is>
          <t>현금흐름표</t>
        </is>
      </c>
      <c r="J778" s="29" t="inlineStr">
        <is>
          <t>dart_AdjustmentsForGainsOnEvaluationOfFairValueFinancialAssets</t>
        </is>
      </c>
      <c r="K778" s="29" t="inlineStr">
        <is>
          <t>당기손익인식금융자산평가이익 조정</t>
        </is>
      </c>
      <c r="L778" s="29" t="inlineStr">
        <is>
          <t>-</t>
        </is>
      </c>
      <c r="M778" s="29" t="inlineStr">
        <is>
          <t>제 45 기</t>
        </is>
      </c>
      <c r="N778" s="29" t="inlineStr">
        <is>
          <t>965400000.0</t>
        </is>
      </c>
      <c r="O778" s="29" t="inlineStr">
        <is>
          <t>207081242600.0</t>
        </is>
      </c>
      <c r="P778" s="29" t="inlineStr">
        <is>
          <t>KRW</t>
        </is>
      </c>
      <c r="Q778" s="29" t="inlineStr">
        <is>
          <t>45</t>
        </is>
      </c>
    </row>
    <row r="779" ht="24" customHeight="1">
      <c r="A779" s="24" t="inlineStr">
        <is>
          <t>OpenDART_fnlttSinglAcntAll</t>
        </is>
      </c>
      <c r="B779" s="24" t="inlineStr">
        <is>
          <t>00161383</t>
        </is>
      </c>
      <c r="C779" s="24" t="inlineStr">
        <is>
          <t>한미반도체</t>
        </is>
      </c>
      <c r="D779" s="24" t="inlineStr">
        <is>
          <t>hanmi</t>
        </is>
      </c>
      <c r="E779" s="24" t="inlineStr">
        <is>
          <t>042700</t>
        </is>
      </c>
      <c r="F779" s="24" t="inlineStr">
        <is>
          <t>2024</t>
        </is>
      </c>
      <c r="G779" s="24" t="inlineStr">
        <is>
          <t>CFS</t>
        </is>
      </c>
      <c r="H779" s="24" t="inlineStr">
        <is>
          <t>CF</t>
        </is>
      </c>
      <c r="I779" s="24" t="inlineStr">
        <is>
          <t>현금흐름표</t>
        </is>
      </c>
      <c r="J779" s="24" t="inlineStr">
        <is>
          <t>dart_AdjustmentsForImpairmentLossesOfIntangibleAssets</t>
        </is>
      </c>
      <c r="K779" s="24" t="inlineStr">
        <is>
          <t>무형자산손상차손 조정</t>
        </is>
      </c>
      <c r="L779" s="24" t="inlineStr">
        <is>
          <t>-</t>
        </is>
      </c>
      <c r="M779" s="24" t="inlineStr">
        <is>
          <t>제 45 기</t>
        </is>
      </c>
      <c r="N779" s="24" t="inlineStr">
        <is>
          <t>20290360.0</t>
        </is>
      </c>
      <c r="O779" s="24" t="inlineStr">
        <is>
          <t>해당 없음</t>
        </is>
      </c>
      <c r="P779" s="24" t="inlineStr">
        <is>
          <t>KRW</t>
        </is>
      </c>
      <c r="Q779" s="24" t="inlineStr">
        <is>
          <t>46</t>
        </is>
      </c>
    </row>
    <row r="780" ht="24" customHeight="1">
      <c r="A780" s="29" t="inlineStr">
        <is>
          <t>OpenDART_fnlttSinglAcntAll</t>
        </is>
      </c>
      <c r="B780" s="29" t="inlineStr">
        <is>
          <t>00161383</t>
        </is>
      </c>
      <c r="C780" s="29" t="inlineStr">
        <is>
          <t>한미반도체</t>
        </is>
      </c>
      <c r="D780" s="29" t="inlineStr">
        <is>
          <t>hanmi</t>
        </is>
      </c>
      <c r="E780" s="29" t="inlineStr">
        <is>
          <t>042700</t>
        </is>
      </c>
      <c r="F780" s="29" t="inlineStr">
        <is>
          <t>2024</t>
        </is>
      </c>
      <c r="G780" s="29" t="inlineStr">
        <is>
          <t>CFS</t>
        </is>
      </c>
      <c r="H780" s="29" t="inlineStr">
        <is>
          <t>CF</t>
        </is>
      </c>
      <c r="I780" s="29" t="inlineStr">
        <is>
          <t>현금흐름표</t>
        </is>
      </c>
      <c r="J780" s="29" t="inlineStr">
        <is>
          <t>dart_AdjustmentsForInterestExpenses</t>
        </is>
      </c>
      <c r="K780" s="29" t="inlineStr">
        <is>
          <t>이자비용 조정</t>
        </is>
      </c>
      <c r="L780" s="29" t="inlineStr">
        <is>
          <t>-</t>
        </is>
      </c>
      <c r="M780" s="29" t="inlineStr">
        <is>
          <t>제 45 기</t>
        </is>
      </c>
      <c r="N780" s="29" t="inlineStr">
        <is>
          <t>11880269.0</t>
        </is>
      </c>
      <c r="O780" s="29" t="inlineStr">
        <is>
          <t>11669747.0</t>
        </is>
      </c>
      <c r="P780" s="29" t="inlineStr">
        <is>
          <t>KRW</t>
        </is>
      </c>
      <c r="Q780" s="29" t="inlineStr">
        <is>
          <t>47</t>
        </is>
      </c>
    </row>
    <row r="781" ht="24" customHeight="1">
      <c r="A781" s="24" t="inlineStr">
        <is>
          <t>OpenDART_fnlttSinglAcntAll</t>
        </is>
      </c>
      <c r="B781" s="24" t="inlineStr">
        <is>
          <t>00161383</t>
        </is>
      </c>
      <c r="C781" s="24" t="inlineStr">
        <is>
          <t>한미반도체</t>
        </is>
      </c>
      <c r="D781" s="24" t="inlineStr">
        <is>
          <t>hanmi</t>
        </is>
      </c>
      <c r="E781" s="24" t="inlineStr">
        <is>
          <t>042700</t>
        </is>
      </c>
      <c r="F781" s="24" t="inlineStr">
        <is>
          <t>2024</t>
        </is>
      </c>
      <c r="G781" s="24" t="inlineStr">
        <is>
          <t>CFS</t>
        </is>
      </c>
      <c r="H781" s="24" t="inlineStr">
        <is>
          <t>CF</t>
        </is>
      </c>
      <c r="I781" s="24" t="inlineStr">
        <is>
          <t>현금흐름표</t>
        </is>
      </c>
      <c r="J781" s="24" t="inlineStr">
        <is>
          <t>dart_AdjustmentsForLossesOnDisposalsOfIntangibleAssets</t>
        </is>
      </c>
      <c r="K781" s="24" t="inlineStr">
        <is>
          <t>무형자산처분손실 조정</t>
        </is>
      </c>
      <c r="L781" s="24" t="inlineStr">
        <is>
          <t>-</t>
        </is>
      </c>
      <c r="M781" s="24" t="inlineStr">
        <is>
          <t>제 45 기</t>
        </is>
      </c>
      <c r="N781" s="24" t="inlineStr">
        <is>
          <t>601120.0</t>
        </is>
      </c>
      <c r="O781" s="24" t="inlineStr">
        <is>
          <t>3269930.0</t>
        </is>
      </c>
      <c r="P781" s="24" t="inlineStr">
        <is>
          <t>KRW</t>
        </is>
      </c>
      <c r="Q781" s="24" t="inlineStr">
        <is>
          <t>48</t>
        </is>
      </c>
    </row>
    <row r="782" ht="24" customHeight="1">
      <c r="A782" s="29" t="inlineStr">
        <is>
          <t>OpenDART_fnlttSinglAcntAll</t>
        </is>
      </c>
      <c r="B782" s="29" t="inlineStr">
        <is>
          <t>00161383</t>
        </is>
      </c>
      <c r="C782" s="29" t="inlineStr">
        <is>
          <t>한미반도체</t>
        </is>
      </c>
      <c r="D782" s="29" t="inlineStr">
        <is>
          <t>hanmi</t>
        </is>
      </c>
      <c r="E782" s="29" t="inlineStr">
        <is>
          <t>042700</t>
        </is>
      </c>
      <c r="F782" s="29" t="inlineStr">
        <is>
          <t>2024</t>
        </is>
      </c>
      <c r="G782" s="29" t="inlineStr">
        <is>
          <t>CFS</t>
        </is>
      </c>
      <c r="H782" s="29" t="inlineStr">
        <is>
          <t>CF</t>
        </is>
      </c>
      <c r="I782" s="29" t="inlineStr">
        <is>
          <t>현금흐름표</t>
        </is>
      </c>
      <c r="J782" s="29" t="inlineStr">
        <is>
          <t>dart_AdjustmentsForLossesOnDisposalsofInvestmentsInAssociates</t>
        </is>
      </c>
      <c r="K782" s="29" t="inlineStr">
        <is>
          <t>종속기업/관계기업/공동기업투자처분손실</t>
        </is>
      </c>
      <c r="L782" s="29" t="inlineStr">
        <is>
          <t>-</t>
        </is>
      </c>
      <c r="M782" s="29" t="inlineStr">
        <is>
          <t>제 45 기</t>
        </is>
      </c>
      <c r="N782" s="29" t="inlineStr">
        <is>
          <t>해당 없음</t>
        </is>
      </c>
      <c r="O782" s="29" t="inlineStr">
        <is>
          <t>해당 없음</t>
        </is>
      </c>
      <c r="P782" s="29" t="inlineStr">
        <is>
          <t>KRW</t>
        </is>
      </c>
      <c r="Q782" s="29" t="inlineStr">
        <is>
          <t>49</t>
        </is>
      </c>
    </row>
    <row r="783" ht="24" customHeight="1">
      <c r="A783" s="24" t="inlineStr">
        <is>
          <t>OpenDART_fnlttSinglAcntAll</t>
        </is>
      </c>
      <c r="B783" s="24" t="inlineStr">
        <is>
          <t>00161383</t>
        </is>
      </c>
      <c r="C783" s="24" t="inlineStr">
        <is>
          <t>한미반도체</t>
        </is>
      </c>
      <c r="D783" s="24" t="inlineStr">
        <is>
          <t>hanmi</t>
        </is>
      </c>
      <c r="E783" s="24" t="inlineStr">
        <is>
          <t>042700</t>
        </is>
      </c>
      <c r="F783" s="24" t="inlineStr">
        <is>
          <t>2024</t>
        </is>
      </c>
      <c r="G783" s="24" t="inlineStr">
        <is>
          <t>CFS</t>
        </is>
      </c>
      <c r="H783" s="24" t="inlineStr">
        <is>
          <t>CF</t>
        </is>
      </c>
      <c r="I783" s="24" t="inlineStr">
        <is>
          <t>현금흐름표</t>
        </is>
      </c>
      <c r="J783" s="24" t="inlineStr">
        <is>
          <t>dart_AdjustmentsForLossesOnDispositionOfPropertyPlantAndEquipment</t>
        </is>
      </c>
      <c r="K783" s="24" t="inlineStr">
        <is>
          <t>유형자산처분손실 조정</t>
        </is>
      </c>
      <c r="L783" s="24" t="inlineStr">
        <is>
          <t>-</t>
        </is>
      </c>
      <c r="M783" s="24" t="inlineStr">
        <is>
          <t>제 45 기</t>
        </is>
      </c>
      <c r="N783" s="24" t="inlineStr">
        <is>
          <t>58558737.0</t>
        </is>
      </c>
      <c r="O783" s="24" t="inlineStr">
        <is>
          <t>1057831039.0</t>
        </is>
      </c>
      <c r="P783" s="24" t="inlineStr">
        <is>
          <t>KRW</t>
        </is>
      </c>
      <c r="Q783" s="24" t="inlineStr">
        <is>
          <t>50</t>
        </is>
      </c>
    </row>
    <row r="784" ht="24" customHeight="1">
      <c r="A784" s="29" t="inlineStr">
        <is>
          <t>OpenDART_fnlttSinglAcntAll</t>
        </is>
      </c>
      <c r="B784" s="29" t="inlineStr">
        <is>
          <t>00161383</t>
        </is>
      </c>
      <c r="C784" s="29" t="inlineStr">
        <is>
          <t>한미반도체</t>
        </is>
      </c>
      <c r="D784" s="29" t="inlineStr">
        <is>
          <t>hanmi</t>
        </is>
      </c>
      <c r="E784" s="29" t="inlineStr">
        <is>
          <t>042700</t>
        </is>
      </c>
      <c r="F784" s="29" t="inlineStr">
        <is>
          <t>2024</t>
        </is>
      </c>
      <c r="G784" s="29" t="inlineStr">
        <is>
          <t>CFS</t>
        </is>
      </c>
      <c r="H784" s="29" t="inlineStr">
        <is>
          <t>CF</t>
        </is>
      </c>
      <c r="I784" s="29" t="inlineStr">
        <is>
          <t>현금흐름표</t>
        </is>
      </c>
      <c r="J784" s="29" t="inlineStr">
        <is>
          <t>dart_AdjustmentsForLossesOnEvaluationOfFairValueFinancialAssets</t>
        </is>
      </c>
      <c r="K784" s="29" t="inlineStr">
        <is>
          <t>당기손익인식금융자산평가손실 조정</t>
        </is>
      </c>
      <c r="L784" s="29" t="inlineStr">
        <is>
          <t>-</t>
        </is>
      </c>
      <c r="M784" s="29" t="inlineStr">
        <is>
          <t>제 45 기</t>
        </is>
      </c>
      <c r="N784" s="29" t="inlineStr">
        <is>
          <t>70757540100.0</t>
        </is>
      </c>
      <c r="O784" s="29" t="inlineStr">
        <is>
          <t>해당 없음</t>
        </is>
      </c>
      <c r="P784" s="29" t="inlineStr">
        <is>
          <t>KRW</t>
        </is>
      </c>
      <c r="Q784" s="29" t="inlineStr">
        <is>
          <t>51</t>
        </is>
      </c>
    </row>
    <row r="785" ht="24" customHeight="1">
      <c r="A785" s="24" t="inlineStr">
        <is>
          <t>OpenDART_fnlttSinglAcntAll</t>
        </is>
      </c>
      <c r="B785" s="24" t="inlineStr">
        <is>
          <t>00161383</t>
        </is>
      </c>
      <c r="C785" s="24" t="inlineStr">
        <is>
          <t>한미반도체</t>
        </is>
      </c>
      <c r="D785" s="24" t="inlineStr">
        <is>
          <t>hanmi</t>
        </is>
      </c>
      <c r="E785" s="24" t="inlineStr">
        <is>
          <t>042700</t>
        </is>
      </c>
      <c r="F785" s="24" t="inlineStr">
        <is>
          <t>2024</t>
        </is>
      </c>
      <c r="G785" s="24" t="inlineStr">
        <is>
          <t>CFS</t>
        </is>
      </c>
      <c r="H785" s="24" t="inlineStr">
        <is>
          <t>CF</t>
        </is>
      </c>
      <c r="I785" s="24" t="inlineStr">
        <is>
          <t>현금흐름표</t>
        </is>
      </c>
      <c r="J785" s="24" t="inlineStr">
        <is>
          <t>dart_AdjustmentsForLossesOnForeignExchangeTranslations</t>
        </is>
      </c>
      <c r="K785" s="24" t="inlineStr">
        <is>
          <t>외화환산손실 조정</t>
        </is>
      </c>
      <c r="L785" s="24" t="inlineStr">
        <is>
          <t>-</t>
        </is>
      </c>
      <c r="M785" s="24" t="inlineStr">
        <is>
          <t>제 45 기</t>
        </is>
      </c>
      <c r="N785" s="24" t="inlineStr">
        <is>
          <t>871949339.0</t>
        </is>
      </c>
      <c r="O785" s="24" t="inlineStr">
        <is>
          <t>479004134.0</t>
        </is>
      </c>
      <c r="P785" s="24" t="inlineStr">
        <is>
          <t>KRW</t>
        </is>
      </c>
      <c r="Q785" s="24" t="inlineStr">
        <is>
          <t>52</t>
        </is>
      </c>
    </row>
    <row r="786" ht="24" customHeight="1">
      <c r="A786" s="29" t="inlineStr">
        <is>
          <t>OpenDART_fnlttSinglAcntAll</t>
        </is>
      </c>
      <c r="B786" s="29" t="inlineStr">
        <is>
          <t>00161383</t>
        </is>
      </c>
      <c r="C786" s="29" t="inlineStr">
        <is>
          <t>한미반도체</t>
        </is>
      </c>
      <c r="D786" s="29" t="inlineStr">
        <is>
          <t>hanmi</t>
        </is>
      </c>
      <c r="E786" s="29" t="inlineStr">
        <is>
          <t>042700</t>
        </is>
      </c>
      <c r="F786" s="29" t="inlineStr">
        <is>
          <t>2024</t>
        </is>
      </c>
      <c r="G786" s="29" t="inlineStr">
        <is>
          <t>CFS</t>
        </is>
      </c>
      <c r="H786" s="29" t="inlineStr">
        <is>
          <t>CF</t>
        </is>
      </c>
      <c r="I786" s="29" t="inlineStr">
        <is>
          <t>현금흐름표</t>
        </is>
      </c>
      <c r="J786" s="29" t="inlineStr">
        <is>
          <t>dart_AdjustmentsForOtherLossesWithoutCashFlowOut</t>
        </is>
      </c>
      <c r="K786" s="29" t="inlineStr">
        <is>
          <t>기타 현금의 유출 없는 비용등</t>
        </is>
      </c>
      <c r="L786" s="29" t="inlineStr">
        <is>
          <t>-</t>
        </is>
      </c>
      <c r="M786" s="29" t="inlineStr">
        <is>
          <t>제 45 기</t>
        </is>
      </c>
      <c r="N786" s="29" t="inlineStr">
        <is>
          <t>553820718.0</t>
        </is>
      </c>
      <c r="O786" s="29" t="inlineStr">
        <is>
          <t>721537447.0</t>
        </is>
      </c>
      <c r="P786" s="29" t="inlineStr">
        <is>
          <t>KRW</t>
        </is>
      </c>
      <c r="Q786" s="29" t="inlineStr">
        <is>
          <t>53</t>
        </is>
      </c>
    </row>
    <row r="787" ht="24" customHeight="1">
      <c r="A787" s="24" t="inlineStr">
        <is>
          <t>OpenDART_fnlttSinglAcntAll</t>
        </is>
      </c>
      <c r="B787" s="24" t="inlineStr">
        <is>
          <t>00161383</t>
        </is>
      </c>
      <c r="C787" s="24" t="inlineStr">
        <is>
          <t>한미반도체</t>
        </is>
      </c>
      <c r="D787" s="24" t="inlineStr">
        <is>
          <t>hanmi</t>
        </is>
      </c>
      <c r="E787" s="24" t="inlineStr">
        <is>
          <t>042700</t>
        </is>
      </c>
      <c r="F787" s="24" t="inlineStr">
        <is>
          <t>2024</t>
        </is>
      </c>
      <c r="G787" s="24" t="inlineStr">
        <is>
          <t>CFS</t>
        </is>
      </c>
      <c r="H787" s="24" t="inlineStr">
        <is>
          <t>CF</t>
        </is>
      </c>
      <c r="I787" s="24" t="inlineStr">
        <is>
          <t>현금흐름표</t>
        </is>
      </c>
      <c r="J787" s="24" t="inlineStr">
        <is>
          <t>dart_AdjustmentsForProfitsOfAssociatesAndJointVenturesAccountedForUsingEquityMethod</t>
        </is>
      </c>
      <c r="K787" s="24" t="inlineStr">
        <is>
          <t>지분법이익 조정</t>
        </is>
      </c>
      <c r="L787" s="24" t="inlineStr">
        <is>
          <t>-</t>
        </is>
      </c>
      <c r="M787" s="24" t="inlineStr">
        <is>
          <t>제 45 기</t>
        </is>
      </c>
      <c r="N787" s="24" t="inlineStr">
        <is>
          <t>117480968.0</t>
        </is>
      </c>
      <c r="O787" s="24" t="inlineStr">
        <is>
          <t>4374357077.0</t>
        </is>
      </c>
      <c r="P787" s="24" t="inlineStr">
        <is>
          <t>KRW</t>
        </is>
      </c>
      <c r="Q787" s="24" t="inlineStr">
        <is>
          <t>54</t>
        </is>
      </c>
    </row>
    <row r="788" ht="24" customHeight="1">
      <c r="A788" s="29" t="inlineStr">
        <is>
          <t>OpenDART_fnlttSinglAcntAll</t>
        </is>
      </c>
      <c r="B788" s="29" t="inlineStr">
        <is>
          <t>00161383</t>
        </is>
      </c>
      <c r="C788" s="29" t="inlineStr">
        <is>
          <t>한미반도체</t>
        </is>
      </c>
      <c r="D788" s="29" t="inlineStr">
        <is>
          <t>hanmi</t>
        </is>
      </c>
      <c r="E788" s="29" t="inlineStr">
        <is>
          <t>042700</t>
        </is>
      </c>
      <c r="F788" s="29" t="inlineStr">
        <is>
          <t>2024</t>
        </is>
      </c>
      <c r="G788" s="29" t="inlineStr">
        <is>
          <t>CFS</t>
        </is>
      </c>
      <c r="H788" s="29" t="inlineStr">
        <is>
          <t>CF</t>
        </is>
      </c>
      <c r="I788" s="29" t="inlineStr">
        <is>
          <t>현금흐름표</t>
        </is>
      </c>
      <c r="J788" s="29" t="inlineStr">
        <is>
          <t>dart_AdjustmentsForProvisionForSeveranceIndemnities</t>
        </is>
      </c>
      <c r="K788" s="29" t="inlineStr">
        <is>
          <t>퇴직급여 조정</t>
        </is>
      </c>
      <c r="L788" s="29" t="inlineStr">
        <is>
          <t>-</t>
        </is>
      </c>
      <c r="M788" s="29" t="inlineStr">
        <is>
          <t>제 45 기</t>
        </is>
      </c>
      <c r="N788" s="29" t="inlineStr">
        <is>
          <t>2172312780.0</t>
        </is>
      </c>
      <c r="O788" s="29" t="inlineStr">
        <is>
          <t>2063859852.0</t>
        </is>
      </c>
      <c r="P788" s="29" t="inlineStr">
        <is>
          <t>KRW</t>
        </is>
      </c>
      <c r="Q788" s="29" t="inlineStr">
        <is>
          <t>55</t>
        </is>
      </c>
    </row>
    <row r="789" ht="24" customHeight="1">
      <c r="A789" s="24" t="inlineStr">
        <is>
          <t>OpenDART_fnlttSinglAcntAll</t>
        </is>
      </c>
      <c r="B789" s="24" t="inlineStr">
        <is>
          <t>00161383</t>
        </is>
      </c>
      <c r="C789" s="24" t="inlineStr">
        <is>
          <t>한미반도체</t>
        </is>
      </c>
      <c r="D789" s="24" t="inlineStr">
        <is>
          <t>hanmi</t>
        </is>
      </c>
      <c r="E789" s="24" t="inlineStr">
        <is>
          <t>042700</t>
        </is>
      </c>
      <c r="F789" s="24" t="inlineStr">
        <is>
          <t>2024</t>
        </is>
      </c>
      <c r="G789" s="24" t="inlineStr">
        <is>
          <t>CFS</t>
        </is>
      </c>
      <c r="H789" s="24" t="inlineStr">
        <is>
          <t>CF</t>
        </is>
      </c>
      <c r="I789" s="24" t="inlineStr">
        <is>
          <t>현금흐름표</t>
        </is>
      </c>
      <c r="J789" s="24" t="inlineStr">
        <is>
          <t>dart_AdjustmentsForShareBasedPayment</t>
        </is>
      </c>
      <c r="K789" s="24" t="inlineStr">
        <is>
          <t>주식보상비용(환입) 조정</t>
        </is>
      </c>
      <c r="L789" s="24" t="inlineStr">
        <is>
          <t>-</t>
        </is>
      </c>
      <c r="M789" s="24" t="inlineStr">
        <is>
          <t>제 45 기</t>
        </is>
      </c>
      <c r="N789" s="24" t="inlineStr">
        <is>
          <t>8943498415.0</t>
        </is>
      </c>
      <c r="O789" s="24" t="inlineStr">
        <is>
          <t>25253454.0</t>
        </is>
      </c>
      <c r="P789" s="24" t="inlineStr">
        <is>
          <t>KRW</t>
        </is>
      </c>
      <c r="Q789" s="24" t="inlineStr">
        <is>
          <t>56</t>
        </is>
      </c>
    </row>
    <row r="790" ht="24" customHeight="1">
      <c r="A790" s="29" t="inlineStr">
        <is>
          <t>OpenDART_fnlttSinglAcntAll</t>
        </is>
      </c>
      <c r="B790" s="29" t="inlineStr">
        <is>
          <t>00161383</t>
        </is>
      </c>
      <c r="C790" s="29" t="inlineStr">
        <is>
          <t>한미반도체</t>
        </is>
      </c>
      <c r="D790" s="29" t="inlineStr">
        <is>
          <t>hanmi</t>
        </is>
      </c>
      <c r="E790" s="29" t="inlineStr">
        <is>
          <t>042700</t>
        </is>
      </c>
      <c r="F790" s="29" t="inlineStr">
        <is>
          <t>2024</t>
        </is>
      </c>
      <c r="G790" s="29" t="inlineStr">
        <is>
          <t>CFS</t>
        </is>
      </c>
      <c r="H790" s="29" t="inlineStr">
        <is>
          <t>CF</t>
        </is>
      </c>
      <c r="I790" s="29" t="inlineStr">
        <is>
          <t>현금흐름표</t>
        </is>
      </c>
      <c r="J790" s="29" t="inlineStr">
        <is>
          <t>dart_AdjustmentsForWritedownsOfInventories</t>
        </is>
      </c>
      <c r="K790" s="29" t="inlineStr">
        <is>
          <t>재고자산평가손실 조정</t>
        </is>
      </c>
      <c r="L790" s="29" t="inlineStr">
        <is>
          <t>-</t>
        </is>
      </c>
      <c r="M790" s="29" t="inlineStr">
        <is>
          <t>제 45 기</t>
        </is>
      </c>
      <c r="N790" s="29" t="inlineStr">
        <is>
          <t>9654417543.0</t>
        </is>
      </c>
      <c r="O790" s="29" t="inlineStr">
        <is>
          <t>2706748342.0</t>
        </is>
      </c>
      <c r="P790" s="29" t="inlineStr">
        <is>
          <t>KRW</t>
        </is>
      </c>
      <c r="Q790" s="29" t="inlineStr">
        <is>
          <t>57</t>
        </is>
      </c>
    </row>
    <row r="791" ht="24" customHeight="1">
      <c r="A791" s="24" t="inlineStr">
        <is>
          <t>OpenDART_fnlttSinglAcntAll</t>
        </is>
      </c>
      <c r="B791" s="24" t="inlineStr">
        <is>
          <t>00161383</t>
        </is>
      </c>
      <c r="C791" s="24" t="inlineStr">
        <is>
          <t>한미반도체</t>
        </is>
      </c>
      <c r="D791" s="24" t="inlineStr">
        <is>
          <t>hanmi</t>
        </is>
      </c>
      <c r="E791" s="24" t="inlineStr">
        <is>
          <t>042700</t>
        </is>
      </c>
      <c r="F791" s="24" t="inlineStr">
        <is>
          <t>2024</t>
        </is>
      </c>
      <c r="G791" s="24" t="inlineStr">
        <is>
          <t>CFS</t>
        </is>
      </c>
      <c r="H791" s="24" t="inlineStr">
        <is>
          <t>CF</t>
        </is>
      </c>
      <c r="I791" s="24" t="inlineStr">
        <is>
          <t>현금흐름표</t>
        </is>
      </c>
      <c r="J791" s="24" t="inlineStr">
        <is>
          <t>dart_GainsOnDisposalsOfFairValueFinancialAsset</t>
        </is>
      </c>
      <c r="K791" s="24" t="inlineStr">
        <is>
          <t>당기손익-공정가치측정금융자산처분이익</t>
        </is>
      </c>
      <c r="L791" s="24" t="inlineStr">
        <is>
          <t>-</t>
        </is>
      </c>
      <c r="M791" s="24" t="inlineStr">
        <is>
          <t>제 45 기</t>
        </is>
      </c>
      <c r="N791" s="24" t="inlineStr">
        <is>
          <t>902660503.0</t>
        </is>
      </c>
      <c r="O791" s="24" t="inlineStr">
        <is>
          <t>20775313555.0</t>
        </is>
      </c>
      <c r="P791" s="24" t="inlineStr">
        <is>
          <t>KRW</t>
        </is>
      </c>
      <c r="Q791" s="24" t="inlineStr">
        <is>
          <t>58</t>
        </is>
      </c>
    </row>
    <row r="792" ht="24" customHeight="1">
      <c r="A792" s="29" t="inlineStr">
        <is>
          <t>OpenDART_fnlttSinglAcntAll</t>
        </is>
      </c>
      <c r="B792" s="29" t="inlineStr">
        <is>
          <t>00161383</t>
        </is>
      </c>
      <c r="C792" s="29" t="inlineStr">
        <is>
          <t>한미반도체</t>
        </is>
      </c>
      <c r="D792" s="29" t="inlineStr">
        <is>
          <t>hanmi</t>
        </is>
      </c>
      <c r="E792" s="29" t="inlineStr">
        <is>
          <t>042700</t>
        </is>
      </c>
      <c r="F792" s="29" t="inlineStr">
        <is>
          <t>2024</t>
        </is>
      </c>
      <c r="G792" s="29" t="inlineStr">
        <is>
          <t>CFS</t>
        </is>
      </c>
      <c r="H792" s="29" t="inlineStr">
        <is>
          <t>CF</t>
        </is>
      </c>
      <c r="I792" s="29" t="inlineStr">
        <is>
          <t>현금흐름표</t>
        </is>
      </c>
      <c r="J792" s="29" t="inlineStr">
        <is>
          <t>dart_LossesOnDisposalOfFairValueFinancialAsset</t>
        </is>
      </c>
      <c r="K792" s="29" t="inlineStr">
        <is>
          <t>당기손익-공정가치측정금융자산처분손실</t>
        </is>
      </c>
      <c r="L792" s="29" t="inlineStr">
        <is>
          <t>-</t>
        </is>
      </c>
      <c r="M792" s="29" t="inlineStr">
        <is>
          <t>제 45 기</t>
        </is>
      </c>
      <c r="N792" s="29" t="inlineStr">
        <is>
          <t>17254078780.0</t>
        </is>
      </c>
      <c r="O792" s="29" t="inlineStr">
        <is>
          <t>해당 없음</t>
        </is>
      </c>
      <c r="P792" s="29" t="inlineStr">
        <is>
          <t>KRW</t>
        </is>
      </c>
      <c r="Q792" s="29" t="inlineStr">
        <is>
          <t>59</t>
        </is>
      </c>
    </row>
    <row r="793" ht="24" customHeight="1">
      <c r="A793" s="24" t="inlineStr">
        <is>
          <t>OpenDART_fnlttSinglAcntAll</t>
        </is>
      </c>
      <c r="B793" s="24" t="inlineStr">
        <is>
          <t>00161383</t>
        </is>
      </c>
      <c r="C793" s="24" t="inlineStr">
        <is>
          <t>한미반도체</t>
        </is>
      </c>
      <c r="D793" s="24" t="inlineStr">
        <is>
          <t>hanmi</t>
        </is>
      </c>
      <c r="E793" s="24" t="inlineStr">
        <is>
          <t>042700</t>
        </is>
      </c>
      <c r="F793" s="24" t="inlineStr">
        <is>
          <t>2024</t>
        </is>
      </c>
      <c r="G793" s="24" t="inlineStr">
        <is>
          <t>CFS</t>
        </is>
      </c>
      <c r="H793" s="24" t="inlineStr">
        <is>
          <t>CF</t>
        </is>
      </c>
      <c r="I793" s="24" t="inlineStr">
        <is>
          <t>현금흐름표</t>
        </is>
      </c>
      <c r="J793" s="24" t="inlineStr">
        <is>
          <t>-표준계정코드 미사용-</t>
        </is>
      </c>
      <c r="K793" s="24" t="inlineStr">
        <is>
          <t>사용권자산처분이익 조정</t>
        </is>
      </c>
      <c r="L793" s="24" t="inlineStr">
        <is>
          <t>-</t>
        </is>
      </c>
      <c r="M793" s="24" t="inlineStr">
        <is>
          <t>제 45 기</t>
        </is>
      </c>
      <c r="N793" s="24" t="inlineStr">
        <is>
          <t>14397749.0</t>
        </is>
      </c>
      <c r="O793" s="24" t="inlineStr">
        <is>
          <t>1109850.0</t>
        </is>
      </c>
      <c r="P793" s="24" t="inlineStr">
        <is>
          <t>KRW</t>
        </is>
      </c>
      <c r="Q793" s="24" t="inlineStr">
        <is>
          <t>61</t>
        </is>
      </c>
    </row>
    <row r="794" ht="24" customHeight="1">
      <c r="A794" s="29" t="inlineStr">
        <is>
          <t>OpenDART_fnlttSinglAcntAll</t>
        </is>
      </c>
      <c r="B794" s="29" t="inlineStr">
        <is>
          <t>00161383</t>
        </is>
      </c>
      <c r="C794" s="29" t="inlineStr">
        <is>
          <t>한미반도체</t>
        </is>
      </c>
      <c r="D794" s="29" t="inlineStr">
        <is>
          <t>hanmi</t>
        </is>
      </c>
      <c r="E794" s="29" t="inlineStr">
        <is>
          <t>042700</t>
        </is>
      </c>
      <c r="F794" s="29" t="inlineStr">
        <is>
          <t>2024</t>
        </is>
      </c>
      <c r="G794" s="29" t="inlineStr">
        <is>
          <t>CFS</t>
        </is>
      </c>
      <c r="H794" s="29" t="inlineStr">
        <is>
          <t>CF</t>
        </is>
      </c>
      <c r="I794" s="29" t="inlineStr">
        <is>
          <t>현금흐름표</t>
        </is>
      </c>
      <c r="J794" s="29" t="inlineStr">
        <is>
          <t>-표준계정코드 미사용-</t>
        </is>
      </c>
      <c r="K794" s="29" t="inlineStr">
        <is>
          <t>리스이자비용 조정</t>
        </is>
      </c>
      <c r="L794" s="29" t="inlineStr">
        <is>
          <t>-</t>
        </is>
      </c>
      <c r="M794" s="29" t="inlineStr">
        <is>
          <t>제 45 기</t>
        </is>
      </c>
      <c r="N794" s="29" t="inlineStr">
        <is>
          <t>103392692.0</t>
        </is>
      </c>
      <c r="O794" s="29" t="inlineStr">
        <is>
          <t>67401855.0</t>
        </is>
      </c>
      <c r="P794" s="29" t="inlineStr">
        <is>
          <t>KRW</t>
        </is>
      </c>
      <c r="Q794" s="29" t="inlineStr">
        <is>
          <t>62</t>
        </is>
      </c>
    </row>
    <row r="795" ht="24" customHeight="1">
      <c r="A795" s="24" t="inlineStr">
        <is>
          <t>OpenDART_fnlttSinglAcntAll</t>
        </is>
      </c>
      <c r="B795" s="24" t="inlineStr">
        <is>
          <t>00161383</t>
        </is>
      </c>
      <c r="C795" s="24" t="inlineStr">
        <is>
          <t>한미반도체</t>
        </is>
      </c>
      <c r="D795" s="24" t="inlineStr">
        <is>
          <t>hanmi</t>
        </is>
      </c>
      <c r="E795" s="24" t="inlineStr">
        <is>
          <t>042700</t>
        </is>
      </c>
      <c r="F795" s="24" t="inlineStr">
        <is>
          <t>2024</t>
        </is>
      </c>
      <c r="G795" s="24" t="inlineStr">
        <is>
          <t>CFS</t>
        </is>
      </c>
      <c r="H795" s="24" t="inlineStr">
        <is>
          <t>CF</t>
        </is>
      </c>
      <c r="I795" s="24" t="inlineStr">
        <is>
          <t>현금흐름표</t>
        </is>
      </c>
      <c r="J795" s="24" t="inlineStr">
        <is>
          <t>-표준계정코드 미사용-</t>
        </is>
      </c>
      <c r="K795" s="24" t="inlineStr">
        <is>
          <t>사용권자산처분손실 조정</t>
        </is>
      </c>
      <c r="L795" s="24" t="inlineStr">
        <is>
          <t>-</t>
        </is>
      </c>
      <c r="M795" s="24" t="inlineStr">
        <is>
          <t>제 45 기</t>
        </is>
      </c>
      <c r="N795" s="24" t="inlineStr">
        <is>
          <t>해당 없음</t>
        </is>
      </c>
      <c r="O795" s="24" t="inlineStr">
        <is>
          <t>131589945.0</t>
        </is>
      </c>
      <c r="P795" s="24" t="inlineStr">
        <is>
          <t>KRW</t>
        </is>
      </c>
      <c r="Q795" s="24" t="inlineStr">
        <is>
          <t>63</t>
        </is>
      </c>
    </row>
    <row r="796" ht="24" customHeight="1">
      <c r="A796" s="29" t="inlineStr">
        <is>
          <t>OpenDART_fnlttSinglAcntAll</t>
        </is>
      </c>
      <c r="B796" s="29" t="inlineStr">
        <is>
          <t>00161383</t>
        </is>
      </c>
      <c r="C796" s="29" t="inlineStr">
        <is>
          <t>한미반도체</t>
        </is>
      </c>
      <c r="D796" s="29" t="inlineStr">
        <is>
          <t>hanmi</t>
        </is>
      </c>
      <c r="E796" s="29" t="inlineStr">
        <is>
          <t>042700</t>
        </is>
      </c>
      <c r="F796" s="29" t="inlineStr">
        <is>
          <t>2024</t>
        </is>
      </c>
      <c r="G796" s="29" t="inlineStr">
        <is>
          <t>CFS</t>
        </is>
      </c>
      <c r="H796" s="29" t="inlineStr">
        <is>
          <t>CF</t>
        </is>
      </c>
      <c r="I796" s="29" t="inlineStr">
        <is>
          <t>현금흐름표</t>
        </is>
      </c>
      <c r="J796" s="29" t="inlineStr">
        <is>
          <t>ifrs-full_AdjustmentsForAmortisationExpense</t>
        </is>
      </c>
      <c r="K796" s="29" t="inlineStr">
        <is>
          <t>무형자산상각비에 대한 조정</t>
        </is>
      </c>
      <c r="L796" s="29" t="inlineStr">
        <is>
          <t>-</t>
        </is>
      </c>
      <c r="M796" s="29" t="inlineStr">
        <is>
          <t>제 45 기</t>
        </is>
      </c>
      <c r="N796" s="29" t="inlineStr">
        <is>
          <t>231569353.0</t>
        </is>
      </c>
      <c r="O796" s="29" t="inlineStr">
        <is>
          <t>314304809.0</t>
        </is>
      </c>
      <c r="P796" s="29" t="inlineStr">
        <is>
          <t>KRW</t>
        </is>
      </c>
      <c r="Q796" s="29" t="inlineStr">
        <is>
          <t>64</t>
        </is>
      </c>
    </row>
    <row r="797" ht="24" customHeight="1">
      <c r="A797" s="24" t="inlineStr">
        <is>
          <t>OpenDART_fnlttSinglAcntAll</t>
        </is>
      </c>
      <c r="B797" s="24" t="inlineStr">
        <is>
          <t>00161383</t>
        </is>
      </c>
      <c r="C797" s="24" t="inlineStr">
        <is>
          <t>한미반도체</t>
        </is>
      </c>
      <c r="D797" s="24" t="inlineStr">
        <is>
          <t>hanmi</t>
        </is>
      </c>
      <c r="E797" s="24" t="inlineStr">
        <is>
          <t>042700</t>
        </is>
      </c>
      <c r="F797" s="24" t="inlineStr">
        <is>
          <t>2024</t>
        </is>
      </c>
      <c r="G797" s="24" t="inlineStr">
        <is>
          <t>CFS</t>
        </is>
      </c>
      <c r="H797" s="24" t="inlineStr">
        <is>
          <t>CF</t>
        </is>
      </c>
      <c r="I797" s="24" t="inlineStr">
        <is>
          <t>현금흐름표</t>
        </is>
      </c>
      <c r="J797" s="24" t="inlineStr">
        <is>
          <t>ifrs-full_AdjustmentsForDepreciationExpense</t>
        </is>
      </c>
      <c r="K797" s="24" t="inlineStr">
        <is>
          <t>감가상각비에 대한 조정</t>
        </is>
      </c>
      <c r="L797" s="24" t="inlineStr">
        <is>
          <t>-</t>
        </is>
      </c>
      <c r="M797" s="24" t="inlineStr">
        <is>
          <t>제 45 기</t>
        </is>
      </c>
      <c r="N797" s="24" t="inlineStr">
        <is>
          <t>9540438282.0</t>
        </is>
      </c>
      <c r="O797" s="24" t="inlineStr">
        <is>
          <t>8334344265.0</t>
        </is>
      </c>
      <c r="P797" s="24" t="inlineStr">
        <is>
          <t>KRW</t>
        </is>
      </c>
      <c r="Q797" s="24" t="inlineStr">
        <is>
          <t>65</t>
        </is>
      </c>
    </row>
    <row r="798" ht="24" customHeight="1">
      <c r="A798" s="29" t="inlineStr">
        <is>
          <t>OpenDART_fnlttSinglAcntAll</t>
        </is>
      </c>
      <c r="B798" s="29" t="inlineStr">
        <is>
          <t>00161383</t>
        </is>
      </c>
      <c r="C798" s="29" t="inlineStr">
        <is>
          <t>한미반도체</t>
        </is>
      </c>
      <c r="D798" s="29" t="inlineStr">
        <is>
          <t>hanmi</t>
        </is>
      </c>
      <c r="E798" s="29" t="inlineStr">
        <is>
          <t>042700</t>
        </is>
      </c>
      <c r="F798" s="29" t="inlineStr">
        <is>
          <t>2024</t>
        </is>
      </c>
      <c r="G798" s="29" t="inlineStr">
        <is>
          <t>CFS</t>
        </is>
      </c>
      <c r="H798" s="29" t="inlineStr">
        <is>
          <t>CF</t>
        </is>
      </c>
      <c r="I798" s="29" t="inlineStr">
        <is>
          <t>현금흐름표</t>
        </is>
      </c>
      <c r="J798" s="29" t="inlineStr">
        <is>
          <t>ifrs-full_AdjustmentsForDividendIncome</t>
        </is>
      </c>
      <c r="K798" s="29" t="inlineStr">
        <is>
          <t>배당수익에 대한 조정</t>
        </is>
      </c>
      <c r="L798" s="29" t="inlineStr">
        <is>
          <t>-</t>
        </is>
      </c>
      <c r="M798" s="29" t="inlineStr">
        <is>
          <t>제 45 기</t>
        </is>
      </c>
      <c r="N798" s="29" t="inlineStr">
        <is>
          <t>853192200.0</t>
        </is>
      </c>
      <c r="O798" s="29" t="inlineStr">
        <is>
          <t>310662000.0</t>
        </is>
      </c>
      <c r="P798" s="29" t="inlineStr">
        <is>
          <t>KRW</t>
        </is>
      </c>
      <c r="Q798" s="29" t="inlineStr">
        <is>
          <t>66</t>
        </is>
      </c>
    </row>
    <row r="799" ht="24" customHeight="1">
      <c r="A799" s="24" t="inlineStr">
        <is>
          <t>OpenDART_fnlttSinglAcntAll</t>
        </is>
      </c>
      <c r="B799" s="24" t="inlineStr">
        <is>
          <t>00161383</t>
        </is>
      </c>
      <c r="C799" s="24" t="inlineStr">
        <is>
          <t>한미반도체</t>
        </is>
      </c>
      <c r="D799" s="24" t="inlineStr">
        <is>
          <t>hanmi</t>
        </is>
      </c>
      <c r="E799" s="24" t="inlineStr">
        <is>
          <t>042700</t>
        </is>
      </c>
      <c r="F799" s="24" t="inlineStr">
        <is>
          <t>2024</t>
        </is>
      </c>
      <c r="G799" s="24" t="inlineStr">
        <is>
          <t>CFS</t>
        </is>
      </c>
      <c r="H799" s="24" t="inlineStr">
        <is>
          <t>CF</t>
        </is>
      </c>
      <c r="I799" s="24" t="inlineStr">
        <is>
          <t>현금흐름표</t>
        </is>
      </c>
      <c r="J799" s="24" t="inlineStr">
        <is>
          <t>ifrs-full_AdjustmentsForIncomeTaxExpense</t>
        </is>
      </c>
      <c r="K799" s="24" t="inlineStr">
        <is>
          <t>법인세비용 조정</t>
        </is>
      </c>
      <c r="L799" s="24" t="inlineStr">
        <is>
          <t>-</t>
        </is>
      </c>
      <c r="M799" s="24" t="inlineStr">
        <is>
          <t>제 45 기</t>
        </is>
      </c>
      <c r="N799" s="24" t="inlineStr">
        <is>
          <t>45759900620.0</t>
        </is>
      </c>
      <c r="O799" s="24" t="inlineStr">
        <is>
          <t>78112045929.0</t>
        </is>
      </c>
      <c r="P799" s="24" t="inlineStr">
        <is>
          <t>KRW</t>
        </is>
      </c>
      <c r="Q799" s="24" t="inlineStr">
        <is>
          <t>67</t>
        </is>
      </c>
    </row>
    <row r="800" ht="24" customHeight="1">
      <c r="A800" s="29" t="inlineStr">
        <is>
          <t>OpenDART_fnlttSinglAcntAll</t>
        </is>
      </c>
      <c r="B800" s="29" t="inlineStr">
        <is>
          <t>00161383</t>
        </is>
      </c>
      <c r="C800" s="29" t="inlineStr">
        <is>
          <t>한미반도체</t>
        </is>
      </c>
      <c r="D800" s="29" t="inlineStr">
        <is>
          <t>hanmi</t>
        </is>
      </c>
      <c r="E800" s="29" t="inlineStr">
        <is>
          <t>042700</t>
        </is>
      </c>
      <c r="F800" s="29" t="inlineStr">
        <is>
          <t>2024</t>
        </is>
      </c>
      <c r="G800" s="29" t="inlineStr">
        <is>
          <t>CFS</t>
        </is>
      </c>
      <c r="H800" s="29" t="inlineStr">
        <is>
          <t>CF</t>
        </is>
      </c>
      <c r="I800" s="29" t="inlineStr">
        <is>
          <t>현금흐름표</t>
        </is>
      </c>
      <c r="J800" s="29" t="inlineStr">
        <is>
          <t>ifrs-full_AdjustmentsForInterestIncome</t>
        </is>
      </c>
      <c r="K800" s="29" t="inlineStr">
        <is>
          <t>이자수익에 대한 조정</t>
        </is>
      </c>
      <c r="L800" s="29" t="inlineStr">
        <is>
          <t>-</t>
        </is>
      </c>
      <c r="M800" s="29" t="inlineStr">
        <is>
          <t>제 45 기</t>
        </is>
      </c>
      <c r="N800" s="29" t="inlineStr">
        <is>
          <t>5557288433.0</t>
        </is>
      </c>
      <c r="O800" s="29" t="inlineStr">
        <is>
          <t>4622661627.0</t>
        </is>
      </c>
      <c r="P800" s="29" t="inlineStr">
        <is>
          <t>KRW</t>
        </is>
      </c>
      <c r="Q800" s="29" t="inlineStr">
        <is>
          <t>68</t>
        </is>
      </c>
    </row>
    <row r="801" ht="24" customHeight="1">
      <c r="A801" s="24" t="inlineStr">
        <is>
          <t>OpenDART_fnlttSinglAcntAll</t>
        </is>
      </c>
      <c r="B801" s="24" t="inlineStr">
        <is>
          <t>00161383</t>
        </is>
      </c>
      <c r="C801" s="24" t="inlineStr">
        <is>
          <t>한미반도체</t>
        </is>
      </c>
      <c r="D801" s="24" t="inlineStr">
        <is>
          <t>hanmi</t>
        </is>
      </c>
      <c r="E801" s="24" t="inlineStr">
        <is>
          <t>042700</t>
        </is>
      </c>
      <c r="F801" s="24" t="inlineStr">
        <is>
          <t>2024</t>
        </is>
      </c>
      <c r="G801" s="24" t="inlineStr">
        <is>
          <t>CFS</t>
        </is>
      </c>
      <c r="H801" s="24" t="inlineStr">
        <is>
          <t>CF</t>
        </is>
      </c>
      <c r="I801" s="24" t="inlineStr">
        <is>
          <t>현금흐름표</t>
        </is>
      </c>
      <c r="J801" s="24" t="inlineStr">
        <is>
          <t>ifrs-full_DividendsReceivedClassifiedAsOperatingActivities</t>
        </is>
      </c>
      <c r="K801" s="24" t="inlineStr">
        <is>
          <t>배당금수취(영업)</t>
        </is>
      </c>
      <c r="L801" s="24" t="inlineStr">
        <is>
          <t>-</t>
        </is>
      </c>
      <c r="M801" s="24" t="inlineStr">
        <is>
          <t>제 45 기</t>
        </is>
      </c>
      <c r="N801" s="24" t="inlineStr">
        <is>
          <t>853192200.0</t>
        </is>
      </c>
      <c r="O801" s="24" t="inlineStr">
        <is>
          <t>310662000.0</t>
        </is>
      </c>
      <c r="P801" s="24" t="inlineStr">
        <is>
          <t>KRW</t>
        </is>
      </c>
      <c r="Q801" s="24" t="inlineStr">
        <is>
          <t>69</t>
        </is>
      </c>
    </row>
    <row r="802" ht="24" customHeight="1">
      <c r="A802" s="29" t="inlineStr">
        <is>
          <t>OpenDART_fnlttSinglAcntAll</t>
        </is>
      </c>
      <c r="B802" s="29" t="inlineStr">
        <is>
          <t>00161383</t>
        </is>
      </c>
      <c r="C802" s="29" t="inlineStr">
        <is>
          <t>한미반도체</t>
        </is>
      </c>
      <c r="D802" s="29" t="inlineStr">
        <is>
          <t>hanmi</t>
        </is>
      </c>
      <c r="E802" s="29" t="inlineStr">
        <is>
          <t>042700</t>
        </is>
      </c>
      <c r="F802" s="29" t="inlineStr">
        <is>
          <t>2024</t>
        </is>
      </c>
      <c r="G802" s="29" t="inlineStr">
        <is>
          <t>CFS</t>
        </is>
      </c>
      <c r="H802" s="29" t="inlineStr">
        <is>
          <t>CF</t>
        </is>
      </c>
      <c r="I802" s="29" t="inlineStr">
        <is>
          <t>현금흐름표</t>
        </is>
      </c>
      <c r="J802" s="29" t="inlineStr">
        <is>
          <t>ifrs-full_IncomeTaxesPaidRefundClassifiedAsOperatingActivities</t>
        </is>
      </c>
      <c r="K802" s="29" t="inlineStr">
        <is>
          <t>법인세환급(납부)</t>
        </is>
      </c>
      <c r="L802" s="29" t="inlineStr">
        <is>
          <t>-</t>
        </is>
      </c>
      <c r="M802" s="29" t="inlineStr">
        <is>
          <t>제 45 기</t>
        </is>
      </c>
      <c r="N802" s="29" t="inlineStr">
        <is>
          <t>35007038059.0</t>
        </is>
      </c>
      <c r="O802" s="29" t="inlineStr">
        <is>
          <t>26911435481.0</t>
        </is>
      </c>
      <c r="P802" s="29" t="inlineStr">
        <is>
          <t>KRW</t>
        </is>
      </c>
      <c r="Q802" s="29" t="inlineStr">
        <is>
          <t>70</t>
        </is>
      </c>
    </row>
    <row r="803" ht="24" customHeight="1">
      <c r="A803" s="24" t="inlineStr">
        <is>
          <t>OpenDART_fnlttSinglAcntAll</t>
        </is>
      </c>
      <c r="B803" s="24" t="inlineStr">
        <is>
          <t>00161383</t>
        </is>
      </c>
      <c r="C803" s="24" t="inlineStr">
        <is>
          <t>한미반도체</t>
        </is>
      </c>
      <c r="D803" s="24" t="inlineStr">
        <is>
          <t>hanmi</t>
        </is>
      </c>
      <c r="E803" s="24" t="inlineStr">
        <is>
          <t>042700</t>
        </is>
      </c>
      <c r="F803" s="24" t="inlineStr">
        <is>
          <t>2024</t>
        </is>
      </c>
      <c r="G803" s="24" t="inlineStr">
        <is>
          <t>CFS</t>
        </is>
      </c>
      <c r="H803" s="24" t="inlineStr">
        <is>
          <t>CF</t>
        </is>
      </c>
      <c r="I803" s="24" t="inlineStr">
        <is>
          <t>현금흐름표</t>
        </is>
      </c>
      <c r="J803" s="24" t="inlineStr">
        <is>
          <t>ifrs-full_InterestPaidClassifiedAsOperatingActivities</t>
        </is>
      </c>
      <c r="K803" s="24" t="inlineStr">
        <is>
          <t>이자지급(영업)</t>
        </is>
      </c>
      <c r="L803" s="24" t="inlineStr">
        <is>
          <t>-</t>
        </is>
      </c>
      <c r="M803" s="24" t="inlineStr">
        <is>
          <t>제 45 기</t>
        </is>
      </c>
      <c r="N803" s="24" t="inlineStr">
        <is>
          <t>100191649.0</t>
        </is>
      </c>
      <c r="O803" s="24" t="inlineStr">
        <is>
          <t>61387827.0</t>
        </is>
      </c>
      <c r="P803" s="24" t="inlineStr">
        <is>
          <t>KRW</t>
        </is>
      </c>
      <c r="Q803" s="24" t="inlineStr">
        <is>
          <t>71</t>
        </is>
      </c>
    </row>
    <row r="804" ht="24" customHeight="1">
      <c r="A804" s="29" t="inlineStr">
        <is>
          <t>OpenDART_fnlttSinglAcntAll</t>
        </is>
      </c>
      <c r="B804" s="29" t="inlineStr">
        <is>
          <t>00161383</t>
        </is>
      </c>
      <c r="C804" s="29" t="inlineStr">
        <is>
          <t>한미반도체</t>
        </is>
      </c>
      <c r="D804" s="29" t="inlineStr">
        <is>
          <t>hanmi</t>
        </is>
      </c>
      <c r="E804" s="29" t="inlineStr">
        <is>
          <t>042700</t>
        </is>
      </c>
      <c r="F804" s="29" t="inlineStr">
        <is>
          <t>2024</t>
        </is>
      </c>
      <c r="G804" s="29" t="inlineStr">
        <is>
          <t>CFS</t>
        </is>
      </c>
      <c r="H804" s="29" t="inlineStr">
        <is>
          <t>CF</t>
        </is>
      </c>
      <c r="I804" s="29" t="inlineStr">
        <is>
          <t>현금흐름표</t>
        </is>
      </c>
      <c r="J804" s="29" t="inlineStr">
        <is>
          <t>ifrs-full_InterestReceivedClassifiedAsOperatingActivities</t>
        </is>
      </c>
      <c r="K804" s="29" t="inlineStr">
        <is>
          <t>이자수취</t>
        </is>
      </c>
      <c r="L804" s="29" t="inlineStr">
        <is>
          <t>-</t>
        </is>
      </c>
      <c r="M804" s="29" t="inlineStr">
        <is>
          <t>제 45 기</t>
        </is>
      </c>
      <c r="N804" s="29" t="inlineStr">
        <is>
          <t>5909084632.0</t>
        </is>
      </c>
      <c r="O804" s="29" t="inlineStr">
        <is>
          <t>4365546079.0</t>
        </is>
      </c>
      <c r="P804" s="29" t="inlineStr">
        <is>
          <t>KRW</t>
        </is>
      </c>
      <c r="Q804" s="29" t="inlineStr">
        <is>
          <t>72</t>
        </is>
      </c>
    </row>
    <row r="805" ht="24" customHeight="1">
      <c r="A805" s="24" t="inlineStr">
        <is>
          <t>OpenDART_fnlttSinglAcntAll</t>
        </is>
      </c>
      <c r="B805" s="24" t="inlineStr">
        <is>
          <t>00161383</t>
        </is>
      </c>
      <c r="C805" s="24" t="inlineStr">
        <is>
          <t>한미반도체</t>
        </is>
      </c>
      <c r="D805" s="24" t="inlineStr">
        <is>
          <t>hanmi</t>
        </is>
      </c>
      <c r="E805" s="24" t="inlineStr">
        <is>
          <t>042700</t>
        </is>
      </c>
      <c r="F805" s="24" t="inlineStr">
        <is>
          <t>2024</t>
        </is>
      </c>
      <c r="G805" s="24" t="inlineStr">
        <is>
          <t>CFS</t>
        </is>
      </c>
      <c r="H805" s="24" t="inlineStr">
        <is>
          <t>CF</t>
        </is>
      </c>
      <c r="I805" s="24" t="inlineStr">
        <is>
          <t>현금흐름표</t>
        </is>
      </c>
      <c r="J805" s="24" t="inlineStr">
        <is>
          <t>ifrs-full_ProfitLoss</t>
        </is>
      </c>
      <c r="K805" s="24" t="inlineStr">
        <is>
          <t>당기순이익(손실)</t>
        </is>
      </c>
      <c r="L805" s="24" t="inlineStr">
        <is>
          <t>-</t>
        </is>
      </c>
      <c r="M805" s="24" t="inlineStr">
        <is>
          <t>제 45 기</t>
        </is>
      </c>
      <c r="N805" s="24" t="inlineStr">
        <is>
          <t>152614498001.0</t>
        </is>
      </c>
      <c r="O805" s="24" t="inlineStr">
        <is>
          <t>267167515858.0</t>
        </is>
      </c>
      <c r="P805" s="24" t="inlineStr">
        <is>
          <t>KRW</t>
        </is>
      </c>
      <c r="Q805" s="24" t="inlineStr">
        <is>
          <t>73</t>
        </is>
      </c>
    </row>
    <row r="806" ht="24" customHeight="1">
      <c r="A806" s="29" t="inlineStr">
        <is>
          <t>OpenDART_fnlttSinglAcntAll</t>
        </is>
      </c>
      <c r="B806" s="29" t="inlineStr">
        <is>
          <t>00161383</t>
        </is>
      </c>
      <c r="C806" s="29" t="inlineStr">
        <is>
          <t>한미반도체</t>
        </is>
      </c>
      <c r="D806" s="29" t="inlineStr">
        <is>
          <t>hanmi</t>
        </is>
      </c>
      <c r="E806" s="29" t="inlineStr">
        <is>
          <t>042700</t>
        </is>
      </c>
      <c r="F806" s="29" t="inlineStr">
        <is>
          <t>2024</t>
        </is>
      </c>
      <c r="G806" s="29" t="inlineStr">
        <is>
          <t>CFS</t>
        </is>
      </c>
      <c r="H806" s="29" t="inlineStr">
        <is>
          <t>CF</t>
        </is>
      </c>
      <c r="I806" s="29" t="inlineStr">
        <is>
          <t>현금흐름표</t>
        </is>
      </c>
      <c r="J806" s="29" t="inlineStr">
        <is>
          <t>ifrs-full_EffectOfExchangeRateChangesOnCashAndCashEquivalents</t>
        </is>
      </c>
      <c r="K806" s="29" t="inlineStr">
        <is>
          <t>현금및현금성자산에 대한 환율변동효과</t>
        </is>
      </c>
      <c r="L806" s="29" t="inlineStr">
        <is>
          <t>-</t>
        </is>
      </c>
      <c r="M806" s="29" t="inlineStr">
        <is>
          <t>제 45 기</t>
        </is>
      </c>
      <c r="N806" s="29" t="inlineStr">
        <is>
          <t>5170617282.0</t>
        </is>
      </c>
      <c r="O806" s="29" t="inlineStr">
        <is>
          <t>2831861208.0</t>
        </is>
      </c>
      <c r="P806" s="29" t="inlineStr">
        <is>
          <t>KRW</t>
        </is>
      </c>
      <c r="Q806" s="29" t="inlineStr">
        <is>
          <t>74</t>
        </is>
      </c>
    </row>
    <row r="807" ht="24" customHeight="1">
      <c r="A807" s="24" t="inlineStr">
        <is>
          <t>OpenDART_fnlttSinglAcntAll</t>
        </is>
      </c>
      <c r="B807" s="24" t="inlineStr">
        <is>
          <t>00161383</t>
        </is>
      </c>
      <c r="C807" s="24" t="inlineStr">
        <is>
          <t>한미반도체</t>
        </is>
      </c>
      <c r="D807" s="24" t="inlineStr">
        <is>
          <t>hanmi</t>
        </is>
      </c>
      <c r="E807" s="24" t="inlineStr">
        <is>
          <t>042700</t>
        </is>
      </c>
      <c r="F807" s="24" t="inlineStr">
        <is>
          <t>2024</t>
        </is>
      </c>
      <c r="G807" s="24" t="inlineStr">
        <is>
          <t>CFS</t>
        </is>
      </c>
      <c r="H807" s="24" t="inlineStr">
        <is>
          <t>CF</t>
        </is>
      </c>
      <c r="I807" s="24" t="inlineStr">
        <is>
          <t>현금흐름표</t>
        </is>
      </c>
      <c r="J807" s="24" t="inlineStr">
        <is>
          <t>ifrs-full_IncreaseDecreaseInCashAndCashEquivalentsBeforeEffectOfExchangeRateChanges</t>
        </is>
      </c>
      <c r="K807" s="24" t="inlineStr">
        <is>
          <t>환율변동효과 반영전 현금및현금성자산의 순증가(감소)</t>
        </is>
      </c>
      <c r="L807" s="24" t="inlineStr">
        <is>
          <t>-</t>
        </is>
      </c>
      <c r="M807" s="24" t="inlineStr">
        <is>
          <t>제 45 기</t>
        </is>
      </c>
      <c r="N807" s="24" t="inlineStr">
        <is>
          <t>-80937035175.0</t>
        </is>
      </c>
      <c r="O807" s="24" t="inlineStr">
        <is>
          <t>86004868356.0</t>
        </is>
      </c>
      <c r="P807" s="24" t="inlineStr">
        <is>
          <t>KRW</t>
        </is>
      </c>
      <c r="Q807" s="24" t="inlineStr">
        <is>
          <t>75</t>
        </is>
      </c>
    </row>
    <row r="808" ht="24" customHeight="1">
      <c r="A808" s="29" t="inlineStr">
        <is>
          <t>OpenDART_fnlttSinglAcntAll</t>
        </is>
      </c>
      <c r="B808" s="29" t="inlineStr">
        <is>
          <t>00161383</t>
        </is>
      </c>
      <c r="C808" s="29" t="inlineStr">
        <is>
          <t>한미반도체</t>
        </is>
      </c>
      <c r="D808" s="29" t="inlineStr">
        <is>
          <t>hanmi</t>
        </is>
      </c>
      <c r="E808" s="29" t="inlineStr">
        <is>
          <t>042700</t>
        </is>
      </c>
      <c r="F808" s="29" t="inlineStr">
        <is>
          <t>2024</t>
        </is>
      </c>
      <c r="G808" s="29" t="inlineStr">
        <is>
          <t>CFS</t>
        </is>
      </c>
      <c r="H808" s="29" t="inlineStr">
        <is>
          <t>SCE</t>
        </is>
      </c>
      <c r="I808" s="29" t="inlineStr">
        <is>
          <t>자본변동표</t>
        </is>
      </c>
      <c r="J808" s="29" t="inlineStr">
        <is>
          <t>dart_EquityAtBeginningOfPeriod</t>
        </is>
      </c>
      <c r="K808" s="29" t="inlineStr">
        <is>
          <t>기초자본</t>
        </is>
      </c>
      <c r="L808" s="29" t="inlineStr">
        <is>
          <t>연결재무제표 [member]</t>
        </is>
      </c>
      <c r="M808" s="29" t="inlineStr">
        <is>
          <t>제 45 기</t>
        </is>
      </c>
      <c r="N808" s="29" t="inlineStr">
        <is>
          <t>571898625127.0</t>
        </is>
      </c>
      <c r="O808" s="29" t="inlineStr">
        <is>
          <t>390096755786.0</t>
        </is>
      </c>
      <c r="P808" s="29" t="inlineStr">
        <is>
          <t>KRW</t>
        </is>
      </c>
      <c r="Q808" s="29" t="inlineStr">
        <is>
          <t>3</t>
        </is>
      </c>
    </row>
    <row r="809" ht="24" customHeight="1">
      <c r="A809" s="24" t="inlineStr">
        <is>
          <t>OpenDART_fnlttSinglAcntAll</t>
        </is>
      </c>
      <c r="B809" s="24" t="inlineStr">
        <is>
          <t>00161383</t>
        </is>
      </c>
      <c r="C809" s="24" t="inlineStr">
        <is>
          <t>한미반도체</t>
        </is>
      </c>
      <c r="D809" s="24" t="inlineStr">
        <is>
          <t>hanmi</t>
        </is>
      </c>
      <c r="E809" s="24" t="inlineStr">
        <is>
          <t>042700</t>
        </is>
      </c>
      <c r="F809" s="24" t="inlineStr">
        <is>
          <t>2024</t>
        </is>
      </c>
      <c r="G809" s="24" t="inlineStr">
        <is>
          <t>CFS</t>
        </is>
      </c>
      <c r="H809" s="24" t="inlineStr">
        <is>
          <t>SCE</t>
        </is>
      </c>
      <c r="I809" s="24" t="inlineStr">
        <is>
          <t>자본변동표</t>
        </is>
      </c>
      <c r="J809" s="24" t="inlineStr">
        <is>
          <t>dart_EquityAtBeginningOfPeriod</t>
        </is>
      </c>
      <c r="K809" s="24" t="inlineStr">
        <is>
          <t>기초자본</t>
        </is>
      </c>
      <c r="L809" s="24" t="inlineStr">
        <is>
          <t>자본 [구성요소]|지배기업의 소유주에게 귀속되는 지분 [구성요소]</t>
        </is>
      </c>
      <c r="M809" s="24" t="inlineStr">
        <is>
          <t>제 45 기</t>
        </is>
      </c>
      <c r="N809" s="24" t="inlineStr">
        <is>
          <t>571898625127.0</t>
        </is>
      </c>
      <c r="O809" s="24" t="inlineStr">
        <is>
          <t>390096755786.0</t>
        </is>
      </c>
      <c r="P809" s="24" t="inlineStr">
        <is>
          <t>KRW</t>
        </is>
      </c>
      <c r="Q809" s="24" t="inlineStr">
        <is>
          <t>3</t>
        </is>
      </c>
    </row>
    <row r="810" ht="24" customHeight="1">
      <c r="A810" s="29" t="inlineStr">
        <is>
          <t>OpenDART_fnlttSinglAcntAll</t>
        </is>
      </c>
      <c r="B810" s="29" t="inlineStr">
        <is>
          <t>00161383</t>
        </is>
      </c>
      <c r="C810" s="29" t="inlineStr">
        <is>
          <t>한미반도체</t>
        </is>
      </c>
      <c r="D810" s="29" t="inlineStr">
        <is>
          <t>hanmi</t>
        </is>
      </c>
      <c r="E810" s="29" t="inlineStr">
        <is>
          <t>042700</t>
        </is>
      </c>
      <c r="F810" s="29" t="inlineStr">
        <is>
          <t>2024</t>
        </is>
      </c>
      <c r="G810" s="29" t="inlineStr">
        <is>
          <t>CFS</t>
        </is>
      </c>
      <c r="H810" s="29" t="inlineStr">
        <is>
          <t>SCE</t>
        </is>
      </c>
      <c r="I810" s="29" t="inlineStr">
        <is>
          <t>자본변동표</t>
        </is>
      </c>
      <c r="J810" s="29" t="inlineStr">
        <is>
          <t>dart_EquityAtBeginningOfPeriod</t>
        </is>
      </c>
      <c r="K810" s="29" t="inlineStr">
        <is>
          <t>기초자본</t>
        </is>
      </c>
      <c r="L810" s="29" t="inlineStr">
        <is>
          <t>자본 [구성요소]|지배기업의 소유주에게 귀속되는 지분 [구성요소]|기타자본구성요소 [구성요소]</t>
        </is>
      </c>
      <c r="M810" s="29" t="inlineStr">
        <is>
          <t>제 45 기</t>
        </is>
      </c>
      <c r="N810" s="29" t="inlineStr">
        <is>
          <t>-29542433975.0</t>
        </is>
      </c>
      <c r="O810" s="29" t="inlineStr">
        <is>
          <t>403275571.0</t>
        </is>
      </c>
      <c r="P810" s="29" t="inlineStr">
        <is>
          <t>KRW</t>
        </is>
      </c>
      <c r="Q810" s="29" t="inlineStr">
        <is>
          <t>3</t>
        </is>
      </c>
    </row>
    <row r="811" ht="24" customHeight="1">
      <c r="A811" s="24" t="inlineStr">
        <is>
          <t>OpenDART_fnlttSinglAcntAll</t>
        </is>
      </c>
      <c r="B811" s="24" t="inlineStr">
        <is>
          <t>00161383</t>
        </is>
      </c>
      <c r="C811" s="24" t="inlineStr">
        <is>
          <t>한미반도체</t>
        </is>
      </c>
      <c r="D811" s="24" t="inlineStr">
        <is>
          <t>hanmi</t>
        </is>
      </c>
      <c r="E811" s="24" t="inlineStr">
        <is>
          <t>042700</t>
        </is>
      </c>
      <c r="F811" s="24" t="inlineStr">
        <is>
          <t>2024</t>
        </is>
      </c>
      <c r="G811" s="24" t="inlineStr">
        <is>
          <t>CFS</t>
        </is>
      </c>
      <c r="H811" s="24" t="inlineStr">
        <is>
          <t>SCE</t>
        </is>
      </c>
      <c r="I811" s="24" t="inlineStr">
        <is>
          <t>자본변동표</t>
        </is>
      </c>
      <c r="J811" s="24" t="inlineStr">
        <is>
          <t>dart_EquityAtBeginningOfPeriod</t>
        </is>
      </c>
      <c r="K811" s="24" t="inlineStr">
        <is>
          <t>기초자본</t>
        </is>
      </c>
      <c r="L811" s="24" t="inlineStr">
        <is>
          <t>자본 [구성요소]|지배기업의 소유주에게 귀속되는 지분 [구성요소]|기타포괄손익누계액 [구성요소]</t>
        </is>
      </c>
      <c r="M811" s="24" t="inlineStr">
        <is>
          <t>제 45 기</t>
        </is>
      </c>
      <c r="N811" s="24" t="inlineStr">
        <is>
          <t>93591495.0</t>
        </is>
      </c>
      <c r="O811" s="24" t="inlineStr">
        <is>
          <t>789816976.0</t>
        </is>
      </c>
      <c r="P811" s="24" t="inlineStr">
        <is>
          <t>KRW</t>
        </is>
      </c>
      <c r="Q811" s="24" t="inlineStr">
        <is>
          <t>3</t>
        </is>
      </c>
    </row>
    <row r="812" ht="24" customHeight="1">
      <c r="A812" s="29" t="inlineStr">
        <is>
          <t>OpenDART_fnlttSinglAcntAll</t>
        </is>
      </c>
      <c r="B812" s="29" t="inlineStr">
        <is>
          <t>00161383</t>
        </is>
      </c>
      <c r="C812" s="29" t="inlineStr">
        <is>
          <t>한미반도체</t>
        </is>
      </c>
      <c r="D812" s="29" t="inlineStr">
        <is>
          <t>hanmi</t>
        </is>
      </c>
      <c r="E812" s="29" t="inlineStr">
        <is>
          <t>042700</t>
        </is>
      </c>
      <c r="F812" s="29" t="inlineStr">
        <is>
          <t>2024</t>
        </is>
      </c>
      <c r="G812" s="29" t="inlineStr">
        <is>
          <t>CFS</t>
        </is>
      </c>
      <c r="H812" s="29" t="inlineStr">
        <is>
          <t>SCE</t>
        </is>
      </c>
      <c r="I812" s="29" t="inlineStr">
        <is>
          <t>자본변동표</t>
        </is>
      </c>
      <c r="J812" s="29" t="inlineStr">
        <is>
          <t>dart_EquityAtBeginningOfPeriod</t>
        </is>
      </c>
      <c r="K812" s="29" t="inlineStr">
        <is>
          <t>기초자본</t>
        </is>
      </c>
      <c r="L812" s="29" t="inlineStr">
        <is>
          <t>자본 [구성요소]|지배기업의 소유주에게 귀속되는 지분 [구성요소]|이익잉여금 [구성요소]</t>
        </is>
      </c>
      <c r="M812" s="29" t="inlineStr">
        <is>
          <t>제 45 기</t>
        </is>
      </c>
      <c r="N812" s="29" t="inlineStr">
        <is>
          <t>532248974169.0</t>
        </is>
      </c>
      <c r="O812" s="29" t="inlineStr">
        <is>
          <t>325269340929.0</t>
        </is>
      </c>
      <c r="P812" s="29" t="inlineStr">
        <is>
          <t>KRW</t>
        </is>
      </c>
      <c r="Q812" s="29" t="inlineStr">
        <is>
          <t>3</t>
        </is>
      </c>
    </row>
    <row r="813" ht="24" customHeight="1">
      <c r="A813" s="24" t="inlineStr">
        <is>
          <t>OpenDART_fnlttSinglAcntAll</t>
        </is>
      </c>
      <c r="B813" s="24" t="inlineStr">
        <is>
          <t>00161383</t>
        </is>
      </c>
      <c r="C813" s="24" t="inlineStr">
        <is>
          <t>한미반도체</t>
        </is>
      </c>
      <c r="D813" s="24" t="inlineStr">
        <is>
          <t>hanmi</t>
        </is>
      </c>
      <c r="E813" s="24" t="inlineStr">
        <is>
          <t>042700</t>
        </is>
      </c>
      <c r="F813" s="24" t="inlineStr">
        <is>
          <t>2024</t>
        </is>
      </c>
      <c r="G813" s="24" t="inlineStr">
        <is>
          <t>CFS</t>
        </is>
      </c>
      <c r="H813" s="24" t="inlineStr">
        <is>
          <t>SCE</t>
        </is>
      </c>
      <c r="I813" s="24" t="inlineStr">
        <is>
          <t>자본변동표</t>
        </is>
      </c>
      <c r="J813" s="24" t="inlineStr">
        <is>
          <t>dart_EquityAtBeginningOfPeriod</t>
        </is>
      </c>
      <c r="K813" s="24" t="inlineStr">
        <is>
          <t>기초자본</t>
        </is>
      </c>
      <c r="L813" s="24" t="inlineStr">
        <is>
          <t>자본 [구성요소]|지배기업의 소유주에게 귀속되는 지분 [구성요소]|자본금 [구성요소]</t>
        </is>
      </c>
      <c r="M813" s="24" t="inlineStr">
        <is>
          <t>제 45 기</t>
        </is>
      </c>
      <c r="N813" s="24" t="inlineStr">
        <is>
          <t>12716420500.0</t>
        </is>
      </c>
      <c r="O813" s="24" t="inlineStr">
        <is>
          <t>12716420500.0</t>
        </is>
      </c>
      <c r="P813" s="24" t="inlineStr">
        <is>
          <t>KRW</t>
        </is>
      </c>
      <c r="Q813" s="24" t="inlineStr">
        <is>
          <t>3</t>
        </is>
      </c>
    </row>
    <row r="814" ht="24" customHeight="1">
      <c r="A814" s="29" t="inlineStr">
        <is>
          <t>OpenDART_fnlttSinglAcntAll</t>
        </is>
      </c>
      <c r="B814" s="29" t="inlineStr">
        <is>
          <t>00161383</t>
        </is>
      </c>
      <c r="C814" s="29" t="inlineStr">
        <is>
          <t>한미반도체</t>
        </is>
      </c>
      <c r="D814" s="29" t="inlineStr">
        <is>
          <t>hanmi</t>
        </is>
      </c>
      <c r="E814" s="29" t="inlineStr">
        <is>
          <t>042700</t>
        </is>
      </c>
      <c r="F814" s="29" t="inlineStr">
        <is>
          <t>2024</t>
        </is>
      </c>
      <c r="G814" s="29" t="inlineStr">
        <is>
          <t>CFS</t>
        </is>
      </c>
      <c r="H814" s="29" t="inlineStr">
        <is>
          <t>SCE</t>
        </is>
      </c>
      <c r="I814" s="29" t="inlineStr">
        <is>
          <t>자본변동표</t>
        </is>
      </c>
      <c r="J814" s="29" t="inlineStr">
        <is>
          <t>dart_EquityAtBeginningOfPeriod</t>
        </is>
      </c>
      <c r="K814" s="29" t="inlineStr">
        <is>
          <t>기초자본</t>
        </is>
      </c>
      <c r="L814" s="29" t="inlineStr">
        <is>
          <t>자본 [구성요소]|지배기업의 소유주에게 귀속되는 지분 [구성요소]|주식발행초과금 [구성요소]</t>
        </is>
      </c>
      <c r="M814" s="29" t="inlineStr">
        <is>
          <t>제 45 기</t>
        </is>
      </c>
      <c r="N814" s="29" t="inlineStr">
        <is>
          <t>56382072938.0</t>
        </is>
      </c>
      <c r="O814" s="29" t="inlineStr">
        <is>
          <t>50917901810.0</t>
        </is>
      </c>
      <c r="P814" s="29" t="inlineStr">
        <is>
          <t>KRW</t>
        </is>
      </c>
      <c r="Q814" s="29" t="inlineStr">
        <is>
          <t>3</t>
        </is>
      </c>
    </row>
    <row r="815" ht="24" customHeight="1">
      <c r="A815" s="24" t="inlineStr">
        <is>
          <t>OpenDART_fnlttSinglAcntAll</t>
        </is>
      </c>
      <c r="B815" s="24" t="inlineStr">
        <is>
          <t>00161383</t>
        </is>
      </c>
      <c r="C815" s="24" t="inlineStr">
        <is>
          <t>한미반도체</t>
        </is>
      </c>
      <c r="D815" s="24" t="inlineStr">
        <is>
          <t>hanmi</t>
        </is>
      </c>
      <c r="E815" s="24" t="inlineStr">
        <is>
          <t>042700</t>
        </is>
      </c>
      <c r="F815" s="24" t="inlineStr">
        <is>
          <t>2024</t>
        </is>
      </c>
      <c r="G815" s="24" t="inlineStr">
        <is>
          <t>CFS</t>
        </is>
      </c>
      <c r="H815" s="24" t="inlineStr">
        <is>
          <t>SCE</t>
        </is>
      </c>
      <c r="I815" s="24" t="inlineStr">
        <is>
          <t>자본변동표</t>
        </is>
      </c>
      <c r="J815" s="24" t="inlineStr">
        <is>
          <t>-표준계정코드 미사용-</t>
        </is>
      </c>
      <c r="K815" s="24" t="inlineStr">
        <is>
          <t>자기주식처분손익에 따른 증가(감소), 자본</t>
        </is>
      </c>
      <c r="L815" s="24" t="inlineStr">
        <is>
          <t>연결재무제표 [member]</t>
        </is>
      </c>
      <c r="M815" s="24" t="inlineStr">
        <is>
          <t>제 45 기</t>
        </is>
      </c>
      <c r="N815" s="24" t="inlineStr">
        <is>
          <t>해당 없음</t>
        </is>
      </c>
      <c r="O815" s="24" t="inlineStr">
        <is>
          <t>5464171128.0</t>
        </is>
      </c>
      <c r="P815" s="24" t="inlineStr">
        <is>
          <t>KRW</t>
        </is>
      </c>
      <c r="Q815" s="24" t="inlineStr">
        <is>
          <t>4</t>
        </is>
      </c>
    </row>
    <row r="816" ht="24" customHeight="1">
      <c r="A816" s="29" t="inlineStr">
        <is>
          <t>OpenDART_fnlttSinglAcntAll</t>
        </is>
      </c>
      <c r="B816" s="29" t="inlineStr">
        <is>
          <t>00161383</t>
        </is>
      </c>
      <c r="C816" s="29" t="inlineStr">
        <is>
          <t>한미반도체</t>
        </is>
      </c>
      <c r="D816" s="29" t="inlineStr">
        <is>
          <t>hanmi</t>
        </is>
      </c>
      <c r="E816" s="29" t="inlineStr">
        <is>
          <t>042700</t>
        </is>
      </c>
      <c r="F816" s="29" t="inlineStr">
        <is>
          <t>2024</t>
        </is>
      </c>
      <c r="G816" s="29" t="inlineStr">
        <is>
          <t>CFS</t>
        </is>
      </c>
      <c r="H816" s="29" t="inlineStr">
        <is>
          <t>SCE</t>
        </is>
      </c>
      <c r="I816" s="29" t="inlineStr">
        <is>
          <t>자본변동표</t>
        </is>
      </c>
      <c r="J816" s="29" t="inlineStr">
        <is>
          <t>-표준계정코드 미사용-</t>
        </is>
      </c>
      <c r="K816" s="29" t="inlineStr">
        <is>
          <t>자기주식처분손익에 따른 증가(감소), 자본</t>
        </is>
      </c>
      <c r="L816" s="29" t="inlineStr">
        <is>
          <t>자본 [구성요소]|지배기업의 소유주에게 귀속되는 지분 [구성요소]</t>
        </is>
      </c>
      <c r="M816" s="29" t="inlineStr">
        <is>
          <t>제 45 기</t>
        </is>
      </c>
      <c r="N816" s="29" t="inlineStr">
        <is>
          <t>해당 없음</t>
        </is>
      </c>
      <c r="O816" s="29" t="inlineStr">
        <is>
          <t>5464171128.0</t>
        </is>
      </c>
      <c r="P816" s="29" t="inlineStr">
        <is>
          <t>KRW</t>
        </is>
      </c>
      <c r="Q816" s="29" t="inlineStr">
        <is>
          <t>4</t>
        </is>
      </c>
    </row>
    <row r="817" ht="24" customHeight="1">
      <c r="A817" s="24" t="inlineStr">
        <is>
          <t>OpenDART_fnlttSinglAcntAll</t>
        </is>
      </c>
      <c r="B817" s="24" t="inlineStr">
        <is>
          <t>00161383</t>
        </is>
      </c>
      <c r="C817" s="24" t="inlineStr">
        <is>
          <t>한미반도체</t>
        </is>
      </c>
      <c r="D817" s="24" t="inlineStr">
        <is>
          <t>hanmi</t>
        </is>
      </c>
      <c r="E817" s="24" t="inlineStr">
        <is>
          <t>042700</t>
        </is>
      </c>
      <c r="F817" s="24" t="inlineStr">
        <is>
          <t>2024</t>
        </is>
      </c>
      <c r="G817" s="24" t="inlineStr">
        <is>
          <t>CFS</t>
        </is>
      </c>
      <c r="H817" s="24" t="inlineStr">
        <is>
          <t>SCE</t>
        </is>
      </c>
      <c r="I817" s="24" t="inlineStr">
        <is>
          <t>자본변동표</t>
        </is>
      </c>
      <c r="J817" s="24" t="inlineStr">
        <is>
          <t>-표준계정코드 미사용-</t>
        </is>
      </c>
      <c r="K817" s="24" t="inlineStr">
        <is>
          <t>자기주식처분손익에 따른 증가(감소), 자본</t>
        </is>
      </c>
      <c r="L817" s="24" t="inlineStr">
        <is>
          <t>자본 [구성요소]|지배기업의 소유주에게 귀속되는 지분 [구성요소]|주식발행초과금 [구성요소]</t>
        </is>
      </c>
      <c r="M817" s="24" t="inlineStr">
        <is>
          <t>제 45 기</t>
        </is>
      </c>
      <c r="N817" s="24" t="inlineStr">
        <is>
          <t>해당 없음</t>
        </is>
      </c>
      <c r="O817" s="24" t="inlineStr">
        <is>
          <t>5464171128.0</t>
        </is>
      </c>
      <c r="P817" s="24" t="inlineStr">
        <is>
          <t>KRW</t>
        </is>
      </c>
      <c r="Q817" s="24" t="inlineStr">
        <is>
          <t>4</t>
        </is>
      </c>
    </row>
    <row r="818" ht="24" customHeight="1">
      <c r="A818" s="29" t="inlineStr">
        <is>
          <t>OpenDART_fnlttSinglAcntAll</t>
        </is>
      </c>
      <c r="B818" s="29" t="inlineStr">
        <is>
          <t>00161383</t>
        </is>
      </c>
      <c r="C818" s="29" t="inlineStr">
        <is>
          <t>한미반도체</t>
        </is>
      </c>
      <c r="D818" s="29" t="inlineStr">
        <is>
          <t>hanmi</t>
        </is>
      </c>
      <c r="E818" s="29" t="inlineStr">
        <is>
          <t>042700</t>
        </is>
      </c>
      <c r="F818" s="29" t="inlineStr">
        <is>
          <t>2024</t>
        </is>
      </c>
      <c r="G818" s="29" t="inlineStr">
        <is>
          <t>CFS</t>
        </is>
      </c>
      <c r="H818" s="29" t="inlineStr">
        <is>
          <t>SCE</t>
        </is>
      </c>
      <c r="I818" s="29" t="inlineStr">
        <is>
          <t>자본변동표</t>
        </is>
      </c>
      <c r="J818" s="29" t="inlineStr">
        <is>
          <t>ifrs-full_CancellationOfTreasuryShares</t>
        </is>
      </c>
      <c r="K818" s="29" t="inlineStr">
        <is>
          <t>자기주식 소각</t>
        </is>
      </c>
      <c r="L818" s="29" t="inlineStr">
        <is>
          <t>자본 [구성요소]|지배기업의 소유주에게 귀속되는 지분 [구성요소]|기타자본구성요소 [구성요소]</t>
        </is>
      </c>
      <c r="M818" s="29" t="inlineStr">
        <is>
          <t>제 45 기</t>
        </is>
      </c>
      <c r="N818" s="29" t="inlineStr">
        <is>
          <t>72602192488.0</t>
        </is>
      </c>
      <c r="O818" s="29" t="inlineStr">
        <is>
          <t>해당 없음</t>
        </is>
      </c>
      <c r="P818" s="29" t="inlineStr">
        <is>
          <t>KRW</t>
        </is>
      </c>
      <c r="Q818" s="29" t="inlineStr">
        <is>
          <t>5</t>
        </is>
      </c>
    </row>
    <row r="819" ht="24" customHeight="1">
      <c r="A819" s="24" t="inlineStr">
        <is>
          <t>OpenDART_fnlttSinglAcntAll</t>
        </is>
      </c>
      <c r="B819" s="24" t="inlineStr">
        <is>
          <t>00161383</t>
        </is>
      </c>
      <c r="C819" s="24" t="inlineStr">
        <is>
          <t>한미반도체</t>
        </is>
      </c>
      <c r="D819" s="24" t="inlineStr">
        <is>
          <t>hanmi</t>
        </is>
      </c>
      <c r="E819" s="24" t="inlineStr">
        <is>
          <t>042700</t>
        </is>
      </c>
      <c r="F819" s="24" t="inlineStr">
        <is>
          <t>2024</t>
        </is>
      </c>
      <c r="G819" s="24" t="inlineStr">
        <is>
          <t>CFS</t>
        </is>
      </c>
      <c r="H819" s="24" t="inlineStr">
        <is>
          <t>SCE</t>
        </is>
      </c>
      <c r="I819" s="24" t="inlineStr">
        <is>
          <t>자본변동표</t>
        </is>
      </c>
      <c r="J819" s="24" t="inlineStr">
        <is>
          <t>ifrs-full_CancellationOfTreasuryShares</t>
        </is>
      </c>
      <c r="K819" s="24" t="inlineStr">
        <is>
          <t>자기주식 소각</t>
        </is>
      </c>
      <c r="L819" s="24" t="inlineStr">
        <is>
          <t>자본 [구성요소]|지배기업의 소유주에게 귀속되는 지분 [구성요소]|이익잉여금 [구성요소]</t>
        </is>
      </c>
      <c r="M819" s="24" t="inlineStr">
        <is>
          <t>제 45 기</t>
        </is>
      </c>
      <c r="N819" s="24" t="inlineStr">
        <is>
          <t>-72602192488.0</t>
        </is>
      </c>
      <c r="O819" s="24" t="inlineStr">
        <is>
          <t>해당 없음</t>
        </is>
      </c>
      <c r="P819" s="24" t="inlineStr">
        <is>
          <t>KRW</t>
        </is>
      </c>
      <c r="Q819" s="24" t="inlineStr">
        <is>
          <t>5</t>
        </is>
      </c>
    </row>
    <row r="820" ht="24" customHeight="1">
      <c r="A820" s="29" t="inlineStr">
        <is>
          <t>OpenDART_fnlttSinglAcntAll</t>
        </is>
      </c>
      <c r="B820" s="29" t="inlineStr">
        <is>
          <t>00161383</t>
        </is>
      </c>
      <c r="C820" s="29" t="inlineStr">
        <is>
          <t>한미반도체</t>
        </is>
      </c>
      <c r="D820" s="29" t="inlineStr">
        <is>
          <t>hanmi</t>
        </is>
      </c>
      <c r="E820" s="29" t="inlineStr">
        <is>
          <t>042700</t>
        </is>
      </c>
      <c r="F820" s="29" t="inlineStr">
        <is>
          <t>2024</t>
        </is>
      </c>
      <c r="G820" s="29" t="inlineStr">
        <is>
          <t>CFS</t>
        </is>
      </c>
      <c r="H820" s="29" t="inlineStr">
        <is>
          <t>SCE</t>
        </is>
      </c>
      <c r="I820" s="29" t="inlineStr">
        <is>
          <t>자본변동표</t>
        </is>
      </c>
      <c r="J820" s="29" t="inlineStr">
        <is>
          <t>ifrs-full_ChangesInEquity</t>
        </is>
      </c>
      <c r="K820" s="29" t="inlineStr">
        <is>
          <t>자본 증가(감소) 합계</t>
        </is>
      </c>
      <c r="L820" s="29" t="inlineStr">
        <is>
          <t>연결재무제표 [member]</t>
        </is>
      </c>
      <c r="M820" s="29" t="inlineStr">
        <is>
          <t>제 45 기</t>
        </is>
      </c>
      <c r="N820" s="29" t="inlineStr">
        <is>
          <t>-31010761738.0</t>
        </is>
      </c>
      <c r="O820" s="29" t="inlineStr">
        <is>
          <t>181801869341.0</t>
        </is>
      </c>
      <c r="P820" s="29" t="inlineStr">
        <is>
          <t>KRW</t>
        </is>
      </c>
      <c r="Q820" s="29" t="inlineStr">
        <is>
          <t>6</t>
        </is>
      </c>
    </row>
    <row r="821" ht="24" customHeight="1">
      <c r="A821" s="24" t="inlineStr">
        <is>
          <t>OpenDART_fnlttSinglAcntAll</t>
        </is>
      </c>
      <c r="B821" s="24" t="inlineStr">
        <is>
          <t>00161383</t>
        </is>
      </c>
      <c r="C821" s="24" t="inlineStr">
        <is>
          <t>한미반도체</t>
        </is>
      </c>
      <c r="D821" s="24" t="inlineStr">
        <is>
          <t>hanmi</t>
        </is>
      </c>
      <c r="E821" s="24" t="inlineStr">
        <is>
          <t>042700</t>
        </is>
      </c>
      <c r="F821" s="24" t="inlineStr">
        <is>
          <t>2024</t>
        </is>
      </c>
      <c r="G821" s="24" t="inlineStr">
        <is>
          <t>CFS</t>
        </is>
      </c>
      <c r="H821" s="24" t="inlineStr">
        <is>
          <t>SCE</t>
        </is>
      </c>
      <c r="I821" s="24" t="inlineStr">
        <is>
          <t>자본변동표</t>
        </is>
      </c>
      <c r="J821" s="24" t="inlineStr">
        <is>
          <t>ifrs-full_ChangesInEquity</t>
        </is>
      </c>
      <c r="K821" s="24" t="inlineStr">
        <is>
          <t>자본 증가(감소) 합계</t>
        </is>
      </c>
      <c r="L821" s="24" t="inlineStr">
        <is>
          <t>자본 [구성요소]|지배기업의 소유주에게 귀속되는 지분 [구성요소]|주식발행초과금 [구성요소]</t>
        </is>
      </c>
      <c r="M821" s="24" t="inlineStr">
        <is>
          <t>제 45 기</t>
        </is>
      </c>
      <c r="N821" s="24" t="inlineStr">
        <is>
          <t>해당 없음</t>
        </is>
      </c>
      <c r="O821" s="24" t="inlineStr">
        <is>
          <t>5464171128.0</t>
        </is>
      </c>
      <c r="P821" s="24" t="inlineStr">
        <is>
          <t>KRW</t>
        </is>
      </c>
      <c r="Q821" s="24" t="inlineStr">
        <is>
          <t>6</t>
        </is>
      </c>
    </row>
    <row r="822" ht="24" customHeight="1">
      <c r="A822" s="29" t="inlineStr">
        <is>
          <t>OpenDART_fnlttSinglAcntAll</t>
        </is>
      </c>
      <c r="B822" s="29" t="inlineStr">
        <is>
          <t>00161383</t>
        </is>
      </c>
      <c r="C822" s="29" t="inlineStr">
        <is>
          <t>한미반도체</t>
        </is>
      </c>
      <c r="D822" s="29" t="inlineStr">
        <is>
          <t>hanmi</t>
        </is>
      </c>
      <c r="E822" s="29" t="inlineStr">
        <is>
          <t>042700</t>
        </is>
      </c>
      <c r="F822" s="29" t="inlineStr">
        <is>
          <t>2024</t>
        </is>
      </c>
      <c r="G822" s="29" t="inlineStr">
        <is>
          <t>CFS</t>
        </is>
      </c>
      <c r="H822" s="29" t="inlineStr">
        <is>
          <t>SCE</t>
        </is>
      </c>
      <c r="I822" s="29" t="inlineStr">
        <is>
          <t>자본변동표</t>
        </is>
      </c>
      <c r="J822" s="29" t="inlineStr">
        <is>
          <t>ifrs-full_ChangesInEquity</t>
        </is>
      </c>
      <c r="K822" s="29" t="inlineStr">
        <is>
          <t>자본 증가(감소) 합계</t>
        </is>
      </c>
      <c r="L822" s="29" t="inlineStr">
        <is>
          <t>자본 [구성요소]|지배기업의 소유주에게 귀속되는 지분 [구성요소]|이익잉여금 [구성요소]</t>
        </is>
      </c>
      <c r="M822" s="29" t="inlineStr">
        <is>
          <t>제 45 기</t>
        </is>
      </c>
      <c r="N822" s="29" t="inlineStr">
        <is>
          <t>77800989228.0</t>
        </is>
      </c>
      <c r="O822" s="29" t="inlineStr">
        <is>
          <t>206979633240.0</t>
        </is>
      </c>
      <c r="P822" s="29" t="inlineStr">
        <is>
          <t>KRW</t>
        </is>
      </c>
      <c r="Q822" s="29" t="inlineStr">
        <is>
          <t>6</t>
        </is>
      </c>
    </row>
    <row r="823" ht="24" customHeight="1">
      <c r="A823" s="24" t="inlineStr">
        <is>
          <t>OpenDART_fnlttSinglAcntAll</t>
        </is>
      </c>
      <c r="B823" s="24" t="inlineStr">
        <is>
          <t>00161383</t>
        </is>
      </c>
      <c r="C823" s="24" t="inlineStr">
        <is>
          <t>한미반도체</t>
        </is>
      </c>
      <c r="D823" s="24" t="inlineStr">
        <is>
          <t>hanmi</t>
        </is>
      </c>
      <c r="E823" s="24" t="inlineStr">
        <is>
          <t>042700</t>
        </is>
      </c>
      <c r="F823" s="24" t="inlineStr">
        <is>
          <t>2024</t>
        </is>
      </c>
      <c r="G823" s="24" t="inlineStr">
        <is>
          <t>CFS</t>
        </is>
      </c>
      <c r="H823" s="24" t="inlineStr">
        <is>
          <t>SCE</t>
        </is>
      </c>
      <c r="I823" s="24" t="inlineStr">
        <is>
          <t>자본변동표</t>
        </is>
      </c>
      <c r="J823" s="24" t="inlineStr">
        <is>
          <t>ifrs-full_ChangesInEquity</t>
        </is>
      </c>
      <c r="K823" s="24" t="inlineStr">
        <is>
          <t>자본 증가(감소) 합계</t>
        </is>
      </c>
      <c r="L823" s="24" t="inlineStr">
        <is>
          <t>자본 [구성요소]|지배기업의 소유주에게 귀속되는 지분 [구성요소]|기타포괄손익누계액 [구성요소]</t>
        </is>
      </c>
      <c r="M823" s="24" t="inlineStr">
        <is>
          <t>제 45 기</t>
        </is>
      </c>
      <c r="N823" s="24" t="inlineStr">
        <is>
          <t>240631470.0</t>
        </is>
      </c>
      <c r="O823" s="24" t="inlineStr">
        <is>
          <t>-696225481.0</t>
        </is>
      </c>
      <c r="P823" s="24" t="inlineStr">
        <is>
          <t>KRW</t>
        </is>
      </c>
      <c r="Q823" s="24" t="inlineStr">
        <is>
          <t>6</t>
        </is>
      </c>
    </row>
    <row r="824" ht="24" customHeight="1">
      <c r="A824" s="29" t="inlineStr">
        <is>
          <t>OpenDART_fnlttSinglAcntAll</t>
        </is>
      </c>
      <c r="B824" s="29" t="inlineStr">
        <is>
          <t>00161383</t>
        </is>
      </c>
      <c r="C824" s="29" t="inlineStr">
        <is>
          <t>한미반도체</t>
        </is>
      </c>
      <c r="D824" s="29" t="inlineStr">
        <is>
          <t>hanmi</t>
        </is>
      </c>
      <c r="E824" s="29" t="inlineStr">
        <is>
          <t>042700</t>
        </is>
      </c>
      <c r="F824" s="29" t="inlineStr">
        <is>
          <t>2024</t>
        </is>
      </c>
      <c r="G824" s="29" t="inlineStr">
        <is>
          <t>CFS</t>
        </is>
      </c>
      <c r="H824" s="29" t="inlineStr">
        <is>
          <t>SCE</t>
        </is>
      </c>
      <c r="I824" s="29" t="inlineStr">
        <is>
          <t>자본변동표</t>
        </is>
      </c>
      <c r="J824" s="29" t="inlineStr">
        <is>
          <t>ifrs-full_ChangesInEquity</t>
        </is>
      </c>
      <c r="K824" s="29" t="inlineStr">
        <is>
          <t>자본 증가(감소) 합계</t>
        </is>
      </c>
      <c r="L824" s="29" t="inlineStr">
        <is>
          <t>자본 [구성요소]|지배기업의 소유주에게 귀속되는 지분 [구성요소]|기타자본구성요소 [구성요소]</t>
        </is>
      </c>
      <c r="M824" s="29" t="inlineStr">
        <is>
          <t>제 45 기</t>
        </is>
      </c>
      <c r="N824" s="29" t="inlineStr">
        <is>
          <t>-109052382436.0</t>
        </is>
      </c>
      <c r="O824" s="29" t="inlineStr">
        <is>
          <t>-29945709546.0</t>
        </is>
      </c>
      <c r="P824" s="29" t="inlineStr">
        <is>
          <t>KRW</t>
        </is>
      </c>
      <c r="Q824" s="29" t="inlineStr">
        <is>
          <t>6</t>
        </is>
      </c>
    </row>
    <row r="825" ht="24" customHeight="1">
      <c r="A825" s="24" t="inlineStr">
        <is>
          <t>OpenDART_fnlttSinglAcntAll</t>
        </is>
      </c>
      <c r="B825" s="24" t="inlineStr">
        <is>
          <t>00161383</t>
        </is>
      </c>
      <c r="C825" s="24" t="inlineStr">
        <is>
          <t>한미반도체</t>
        </is>
      </c>
      <c r="D825" s="24" t="inlineStr">
        <is>
          <t>hanmi</t>
        </is>
      </c>
      <c r="E825" s="24" t="inlineStr">
        <is>
          <t>042700</t>
        </is>
      </c>
      <c r="F825" s="24" t="inlineStr">
        <is>
          <t>2024</t>
        </is>
      </c>
      <c r="G825" s="24" t="inlineStr">
        <is>
          <t>CFS</t>
        </is>
      </c>
      <c r="H825" s="24" t="inlineStr">
        <is>
          <t>SCE</t>
        </is>
      </c>
      <c r="I825" s="24" t="inlineStr">
        <is>
          <t>자본변동표</t>
        </is>
      </c>
      <c r="J825" s="24" t="inlineStr">
        <is>
          <t>ifrs-full_ChangesInEquity</t>
        </is>
      </c>
      <c r="K825" s="24" t="inlineStr">
        <is>
          <t>자본 증가(감소) 합계</t>
        </is>
      </c>
      <c r="L825" s="24" t="inlineStr">
        <is>
          <t>자본 [구성요소]|지배기업의 소유주에게 귀속되는 지분 [구성요소]</t>
        </is>
      </c>
      <c r="M825" s="24" t="inlineStr">
        <is>
          <t>제 45 기</t>
        </is>
      </c>
      <c r="N825" s="24" t="inlineStr">
        <is>
          <t>-31010761738.0</t>
        </is>
      </c>
      <c r="O825" s="24" t="inlineStr">
        <is>
          <t>181801869341.0</t>
        </is>
      </c>
      <c r="P825" s="24" t="inlineStr">
        <is>
          <t>KRW</t>
        </is>
      </c>
      <c r="Q825" s="24" t="inlineStr">
        <is>
          <t>6</t>
        </is>
      </c>
    </row>
    <row r="826" ht="24" customHeight="1">
      <c r="A826" s="29" t="inlineStr">
        <is>
          <t>OpenDART_fnlttSinglAcntAll</t>
        </is>
      </c>
      <c r="B826" s="29" t="inlineStr">
        <is>
          <t>00161383</t>
        </is>
      </c>
      <c r="C826" s="29" t="inlineStr">
        <is>
          <t>한미반도체</t>
        </is>
      </c>
      <c r="D826" s="29" t="inlineStr">
        <is>
          <t>hanmi</t>
        </is>
      </c>
      <c r="E826" s="29" t="inlineStr">
        <is>
          <t>042700</t>
        </is>
      </c>
      <c r="F826" s="29" t="inlineStr">
        <is>
          <t>2024</t>
        </is>
      </c>
      <c r="G826" s="29" t="inlineStr">
        <is>
          <t>CFS</t>
        </is>
      </c>
      <c r="H826" s="29" t="inlineStr">
        <is>
          <t>SCE</t>
        </is>
      </c>
      <c r="I826" s="29" t="inlineStr">
        <is>
          <t>자본변동표</t>
        </is>
      </c>
      <c r="J826" s="29" t="inlineStr">
        <is>
          <t>ifrs-full_ComprehensiveIncome</t>
        </is>
      </c>
      <c r="K826" s="29" t="inlineStr">
        <is>
          <t>총포괄손익</t>
        </is>
      </c>
      <c r="L826" s="29" t="inlineStr">
        <is>
          <t>연결재무제표 [member]</t>
        </is>
      </c>
      <c r="M826" s="29" t="inlineStr">
        <is>
          <t>제 45 기</t>
        </is>
      </c>
      <c r="N826" s="29" t="inlineStr">
        <is>
          <t>150500341186.0</t>
        </is>
      </c>
      <c r="O826" s="29" t="inlineStr">
        <is>
          <t>266416214999.0</t>
        </is>
      </c>
      <c r="P826" s="29" t="inlineStr">
        <is>
          <t>KRW</t>
        </is>
      </c>
      <c r="Q826" s="29" t="inlineStr">
        <is>
          <t>7</t>
        </is>
      </c>
    </row>
    <row r="827" ht="24" customHeight="1">
      <c r="A827" s="24" t="inlineStr">
        <is>
          <t>OpenDART_fnlttSinglAcntAll</t>
        </is>
      </c>
      <c r="B827" s="24" t="inlineStr">
        <is>
          <t>00161383</t>
        </is>
      </c>
      <c r="C827" s="24" t="inlineStr">
        <is>
          <t>한미반도체</t>
        </is>
      </c>
      <c r="D827" s="24" t="inlineStr">
        <is>
          <t>hanmi</t>
        </is>
      </c>
      <c r="E827" s="24" t="inlineStr">
        <is>
          <t>042700</t>
        </is>
      </c>
      <c r="F827" s="24" t="inlineStr">
        <is>
          <t>2024</t>
        </is>
      </c>
      <c r="G827" s="24" t="inlineStr">
        <is>
          <t>CFS</t>
        </is>
      </c>
      <c r="H827" s="24" t="inlineStr">
        <is>
          <t>SCE</t>
        </is>
      </c>
      <c r="I827" s="24" t="inlineStr">
        <is>
          <t>자본변동표</t>
        </is>
      </c>
      <c r="J827" s="24" t="inlineStr">
        <is>
          <t>ifrs-full_ComprehensiveIncome</t>
        </is>
      </c>
      <c r="K827" s="24" t="inlineStr">
        <is>
          <t>총포괄손익</t>
        </is>
      </c>
      <c r="L827" s="24" t="inlineStr">
        <is>
          <t>자본 [구성요소]|지배기업의 소유주에게 귀속되는 지분 [구성요소]|이익잉여금 [구성요소]</t>
        </is>
      </c>
      <c r="M827" s="24" t="inlineStr">
        <is>
          <t>제 45 기</t>
        </is>
      </c>
      <c r="N827" s="24" t="inlineStr">
        <is>
          <t>150259709716.0</t>
        </is>
      </c>
      <c r="O827" s="24" t="inlineStr">
        <is>
          <t>267112440480.0</t>
        </is>
      </c>
      <c r="P827" s="24" t="inlineStr">
        <is>
          <t>KRW</t>
        </is>
      </c>
      <c r="Q827" s="24" t="inlineStr">
        <is>
          <t>7</t>
        </is>
      </c>
    </row>
    <row r="828" ht="24" customHeight="1">
      <c r="A828" s="29" t="inlineStr">
        <is>
          <t>OpenDART_fnlttSinglAcntAll</t>
        </is>
      </c>
      <c r="B828" s="29" t="inlineStr">
        <is>
          <t>00161383</t>
        </is>
      </c>
      <c r="C828" s="29" t="inlineStr">
        <is>
          <t>한미반도체</t>
        </is>
      </c>
      <c r="D828" s="29" t="inlineStr">
        <is>
          <t>hanmi</t>
        </is>
      </c>
      <c r="E828" s="29" t="inlineStr">
        <is>
          <t>042700</t>
        </is>
      </c>
      <c r="F828" s="29" t="inlineStr">
        <is>
          <t>2024</t>
        </is>
      </c>
      <c r="G828" s="29" t="inlineStr">
        <is>
          <t>CFS</t>
        </is>
      </c>
      <c r="H828" s="29" t="inlineStr">
        <is>
          <t>SCE</t>
        </is>
      </c>
      <c r="I828" s="29" t="inlineStr">
        <is>
          <t>자본변동표</t>
        </is>
      </c>
      <c r="J828" s="29" t="inlineStr">
        <is>
          <t>ifrs-full_ComprehensiveIncome</t>
        </is>
      </c>
      <c r="K828" s="29" t="inlineStr">
        <is>
          <t>총포괄손익</t>
        </is>
      </c>
      <c r="L828" s="29" t="inlineStr">
        <is>
          <t>자본 [구성요소]|지배기업의 소유주에게 귀속되는 지분 [구성요소]|기타포괄손익누계액 [구성요소]</t>
        </is>
      </c>
      <c r="M828" s="29" t="inlineStr">
        <is>
          <t>제 45 기</t>
        </is>
      </c>
      <c r="N828" s="29" t="inlineStr">
        <is>
          <t>240631470.0</t>
        </is>
      </c>
      <c r="O828" s="29" t="inlineStr">
        <is>
          <t>-696225481.0</t>
        </is>
      </c>
      <c r="P828" s="29" t="inlineStr">
        <is>
          <t>KRW</t>
        </is>
      </c>
      <c r="Q828" s="29" t="inlineStr">
        <is>
          <t>7</t>
        </is>
      </c>
    </row>
    <row r="829" ht="24" customHeight="1">
      <c r="A829" s="24" t="inlineStr">
        <is>
          <t>OpenDART_fnlttSinglAcntAll</t>
        </is>
      </c>
      <c r="B829" s="24" t="inlineStr">
        <is>
          <t>00161383</t>
        </is>
      </c>
      <c r="C829" s="24" t="inlineStr">
        <is>
          <t>한미반도체</t>
        </is>
      </c>
      <c r="D829" s="24" t="inlineStr">
        <is>
          <t>hanmi</t>
        </is>
      </c>
      <c r="E829" s="24" t="inlineStr">
        <is>
          <t>042700</t>
        </is>
      </c>
      <c r="F829" s="24" t="inlineStr">
        <is>
          <t>2024</t>
        </is>
      </c>
      <c r="G829" s="24" t="inlineStr">
        <is>
          <t>CFS</t>
        </is>
      </c>
      <c r="H829" s="24" t="inlineStr">
        <is>
          <t>SCE</t>
        </is>
      </c>
      <c r="I829" s="24" t="inlineStr">
        <is>
          <t>자본변동표</t>
        </is>
      </c>
      <c r="J829" s="24" t="inlineStr">
        <is>
          <t>ifrs-full_ComprehensiveIncome</t>
        </is>
      </c>
      <c r="K829" s="24" t="inlineStr">
        <is>
          <t>총포괄손익</t>
        </is>
      </c>
      <c r="L829" s="24" t="inlineStr">
        <is>
          <t>자본 [구성요소]|지배기업의 소유주에게 귀속되는 지분 [구성요소]</t>
        </is>
      </c>
      <c r="M829" s="24" t="inlineStr">
        <is>
          <t>제 45 기</t>
        </is>
      </c>
      <c r="N829" s="24" t="inlineStr">
        <is>
          <t>150500341186.0</t>
        </is>
      </c>
      <c r="O829" s="24" t="inlineStr">
        <is>
          <t>266416214999.0</t>
        </is>
      </c>
      <c r="P829" s="24" t="inlineStr">
        <is>
          <t>KRW</t>
        </is>
      </c>
      <c r="Q829" s="24" t="inlineStr">
        <is>
          <t>7</t>
        </is>
      </c>
    </row>
    <row r="830" ht="24" customHeight="1">
      <c r="A830" s="29" t="inlineStr">
        <is>
          <t>OpenDART_fnlttSinglAcntAll</t>
        </is>
      </c>
      <c r="B830" s="29" t="inlineStr">
        <is>
          <t>00161383</t>
        </is>
      </c>
      <c r="C830" s="29" t="inlineStr">
        <is>
          <t>한미반도체</t>
        </is>
      </c>
      <c r="D830" s="29" t="inlineStr">
        <is>
          <t>hanmi</t>
        </is>
      </c>
      <c r="E830" s="29" t="inlineStr">
        <is>
          <t>042700</t>
        </is>
      </c>
      <c r="F830" s="29" t="inlineStr">
        <is>
          <t>2024</t>
        </is>
      </c>
      <c r="G830" s="29" t="inlineStr">
        <is>
          <t>CFS</t>
        </is>
      </c>
      <c r="H830" s="29" t="inlineStr">
        <is>
          <t>SCE</t>
        </is>
      </c>
      <c r="I830" s="29" t="inlineStr">
        <is>
          <t>자본변동표</t>
        </is>
      </c>
      <c r="J830" s="29" t="inlineStr">
        <is>
          <t>ifrs-full_DividendsPaid</t>
        </is>
      </c>
      <c r="K830" s="29" t="inlineStr">
        <is>
          <t>소유주에 대한 배분으로 인식된 배당금</t>
        </is>
      </c>
      <c r="L830" s="29" t="inlineStr">
        <is>
          <t>자본 [구성요소]|지배기업의 소유주에게 귀속되는 지분 [구성요소]</t>
        </is>
      </c>
      <c r="M830" s="29" t="inlineStr">
        <is>
          <t>제 45 기</t>
        </is>
      </c>
      <c r="N830" s="29" t="inlineStr">
        <is>
          <t>해당 없음</t>
        </is>
      </c>
      <c r="O830" s="29" t="inlineStr">
        <is>
          <t>60132807240.0</t>
        </is>
      </c>
      <c r="P830" s="29" t="inlineStr">
        <is>
          <t>KRW</t>
        </is>
      </c>
      <c r="Q830" s="29" t="inlineStr">
        <is>
          <t>8</t>
        </is>
      </c>
    </row>
    <row r="831" ht="24" customHeight="1">
      <c r="A831" s="24" t="inlineStr">
        <is>
          <t>OpenDART_fnlttSinglAcntAll</t>
        </is>
      </c>
      <c r="B831" s="24" t="inlineStr">
        <is>
          <t>00161383</t>
        </is>
      </c>
      <c r="C831" s="24" t="inlineStr">
        <is>
          <t>한미반도체</t>
        </is>
      </c>
      <c r="D831" s="24" t="inlineStr">
        <is>
          <t>hanmi</t>
        </is>
      </c>
      <c r="E831" s="24" t="inlineStr">
        <is>
          <t>042700</t>
        </is>
      </c>
      <c r="F831" s="24" t="inlineStr">
        <is>
          <t>2024</t>
        </is>
      </c>
      <c r="G831" s="24" t="inlineStr">
        <is>
          <t>CFS</t>
        </is>
      </c>
      <c r="H831" s="24" t="inlineStr">
        <is>
          <t>SCE</t>
        </is>
      </c>
      <c r="I831" s="24" t="inlineStr">
        <is>
          <t>자본변동표</t>
        </is>
      </c>
      <c r="J831" s="24" t="inlineStr">
        <is>
          <t>ifrs-full_DividendsPaid</t>
        </is>
      </c>
      <c r="K831" s="24" t="inlineStr">
        <is>
          <t>소유주에 대한 배분으로 인식된 배당금</t>
        </is>
      </c>
      <c r="L831" s="24" t="inlineStr">
        <is>
          <t>연결재무제표 [member]</t>
        </is>
      </c>
      <c r="M831" s="24" t="inlineStr">
        <is>
          <t>제 45 기</t>
        </is>
      </c>
      <c r="N831" s="24" t="inlineStr">
        <is>
          <t>해당 없음</t>
        </is>
      </c>
      <c r="O831" s="24" t="inlineStr">
        <is>
          <t>60132807240.0</t>
        </is>
      </c>
      <c r="P831" s="24" t="inlineStr">
        <is>
          <t>KRW</t>
        </is>
      </c>
      <c r="Q831" s="24" t="inlineStr">
        <is>
          <t>8</t>
        </is>
      </c>
    </row>
    <row r="832" ht="24" customHeight="1">
      <c r="A832" s="29" t="inlineStr">
        <is>
          <t>OpenDART_fnlttSinglAcntAll</t>
        </is>
      </c>
      <c r="B832" s="29" t="inlineStr">
        <is>
          <t>00161383</t>
        </is>
      </c>
      <c r="C832" s="29" t="inlineStr">
        <is>
          <t>한미반도체</t>
        </is>
      </c>
      <c r="D832" s="29" t="inlineStr">
        <is>
          <t>hanmi</t>
        </is>
      </c>
      <c r="E832" s="29" t="inlineStr">
        <is>
          <t>042700</t>
        </is>
      </c>
      <c r="F832" s="29" t="inlineStr">
        <is>
          <t>2024</t>
        </is>
      </c>
      <c r="G832" s="29" t="inlineStr">
        <is>
          <t>CFS</t>
        </is>
      </c>
      <c r="H832" s="29" t="inlineStr">
        <is>
          <t>SCE</t>
        </is>
      </c>
      <c r="I832" s="29" t="inlineStr">
        <is>
          <t>자본변동표</t>
        </is>
      </c>
      <c r="J832" s="29" t="inlineStr">
        <is>
          <t>ifrs-full_DividendsPaid</t>
        </is>
      </c>
      <c r="K832" s="29" t="inlineStr">
        <is>
          <t>소유주에 대한 배분으로 인식된 배당금</t>
        </is>
      </c>
      <c r="L832" s="29" t="inlineStr">
        <is>
          <t>자본 [구성요소]|지배기업의 소유주에게 귀속되는 지분 [구성요소]|이익잉여금 [구성요소]</t>
        </is>
      </c>
      <c r="M832" s="29" t="inlineStr">
        <is>
          <t>제 45 기</t>
        </is>
      </c>
      <c r="N832" s="29" t="inlineStr">
        <is>
          <t>해당 없음</t>
        </is>
      </c>
      <c r="O832" s="29" t="inlineStr">
        <is>
          <t>60132807240.0</t>
        </is>
      </c>
      <c r="P832" s="29" t="inlineStr">
        <is>
          <t>KRW</t>
        </is>
      </c>
      <c r="Q832" s="29" t="inlineStr">
        <is>
          <t>8</t>
        </is>
      </c>
    </row>
    <row r="833" ht="24" customHeight="1">
      <c r="A833" s="24" t="inlineStr">
        <is>
          <t>OpenDART_fnlttSinglAcntAll</t>
        </is>
      </c>
      <c r="B833" s="24" t="inlineStr">
        <is>
          <t>00161383</t>
        </is>
      </c>
      <c r="C833" s="24" t="inlineStr">
        <is>
          <t>한미반도체</t>
        </is>
      </c>
      <c r="D833" s="24" t="inlineStr">
        <is>
          <t>hanmi</t>
        </is>
      </c>
      <c r="E833" s="24" t="inlineStr">
        <is>
          <t>042700</t>
        </is>
      </c>
      <c r="F833" s="24" t="inlineStr">
        <is>
          <t>2024</t>
        </is>
      </c>
      <c r="G833" s="24" t="inlineStr">
        <is>
          <t>CFS</t>
        </is>
      </c>
      <c r="H833" s="24" t="inlineStr">
        <is>
          <t>SCE</t>
        </is>
      </c>
      <c r="I833" s="24" t="inlineStr">
        <is>
          <t>자본변동표</t>
        </is>
      </c>
      <c r="J833" s="24" t="inlineStr">
        <is>
          <t>ifrs-full_Equity</t>
        </is>
      </c>
      <c r="K833" s="24" t="inlineStr">
        <is>
          <t>자본총계</t>
        </is>
      </c>
      <c r="L833" s="24" t="inlineStr">
        <is>
          <t>연결재무제표 [member]</t>
        </is>
      </c>
      <c r="M833" s="24" t="inlineStr">
        <is>
          <t>제 45 기</t>
        </is>
      </c>
      <c r="N833" s="24" t="inlineStr">
        <is>
          <t>540887863389.0</t>
        </is>
      </c>
      <c r="O833" s="24" t="inlineStr">
        <is>
          <t>571898625127.0</t>
        </is>
      </c>
      <c r="P833" s="24" t="inlineStr">
        <is>
          <t>KRW</t>
        </is>
      </c>
      <c r="Q833" s="24" t="inlineStr">
        <is>
          <t>9</t>
        </is>
      </c>
    </row>
    <row r="834" ht="24" customHeight="1">
      <c r="A834" s="29" t="inlineStr">
        <is>
          <t>OpenDART_fnlttSinglAcntAll</t>
        </is>
      </c>
      <c r="B834" s="29" t="inlineStr">
        <is>
          <t>00161383</t>
        </is>
      </c>
      <c r="C834" s="29" t="inlineStr">
        <is>
          <t>한미반도체</t>
        </is>
      </c>
      <c r="D834" s="29" t="inlineStr">
        <is>
          <t>hanmi</t>
        </is>
      </c>
      <c r="E834" s="29" t="inlineStr">
        <is>
          <t>042700</t>
        </is>
      </c>
      <c r="F834" s="29" t="inlineStr">
        <is>
          <t>2024</t>
        </is>
      </c>
      <c r="G834" s="29" t="inlineStr">
        <is>
          <t>CFS</t>
        </is>
      </c>
      <c r="H834" s="29" t="inlineStr">
        <is>
          <t>SCE</t>
        </is>
      </c>
      <c r="I834" s="29" t="inlineStr">
        <is>
          <t>자본변동표</t>
        </is>
      </c>
      <c r="J834" s="29" t="inlineStr">
        <is>
          <t>ifrs-full_Equity</t>
        </is>
      </c>
      <c r="K834" s="29" t="inlineStr">
        <is>
          <t>자본총계</t>
        </is>
      </c>
      <c r="L834" s="29" t="inlineStr">
        <is>
          <t>자본 [구성요소]|지배기업의 소유주에게 귀속되는 지분 [구성요소]</t>
        </is>
      </c>
      <c r="M834" s="29" t="inlineStr">
        <is>
          <t>제 45 기</t>
        </is>
      </c>
      <c r="N834" s="29" t="inlineStr">
        <is>
          <t>540887863389.0</t>
        </is>
      </c>
      <c r="O834" s="29" t="inlineStr">
        <is>
          <t>571898625127.0</t>
        </is>
      </c>
      <c r="P834" s="29" t="inlineStr">
        <is>
          <t>KRW</t>
        </is>
      </c>
      <c r="Q834" s="29" t="inlineStr">
        <is>
          <t>9</t>
        </is>
      </c>
    </row>
    <row r="835" ht="24" customHeight="1">
      <c r="A835" s="24" t="inlineStr">
        <is>
          <t>OpenDART_fnlttSinglAcntAll</t>
        </is>
      </c>
      <c r="B835" s="24" t="inlineStr">
        <is>
          <t>00161383</t>
        </is>
      </c>
      <c r="C835" s="24" t="inlineStr">
        <is>
          <t>한미반도체</t>
        </is>
      </c>
      <c r="D835" s="24" t="inlineStr">
        <is>
          <t>hanmi</t>
        </is>
      </c>
      <c r="E835" s="24" t="inlineStr">
        <is>
          <t>042700</t>
        </is>
      </c>
      <c r="F835" s="24" t="inlineStr">
        <is>
          <t>2024</t>
        </is>
      </c>
      <c r="G835" s="24" t="inlineStr">
        <is>
          <t>CFS</t>
        </is>
      </c>
      <c r="H835" s="24" t="inlineStr">
        <is>
          <t>SCE</t>
        </is>
      </c>
      <c r="I835" s="24" t="inlineStr">
        <is>
          <t>자본변동표</t>
        </is>
      </c>
      <c r="J835" s="24" t="inlineStr">
        <is>
          <t>ifrs-full_Equity</t>
        </is>
      </c>
      <c r="K835" s="24" t="inlineStr">
        <is>
          <t>자본총계</t>
        </is>
      </c>
      <c r="L835" s="24" t="inlineStr">
        <is>
          <t>자본 [구성요소]|지배기업의 소유주에게 귀속되는 지분 [구성요소]|주식발행초과금 [구성요소]</t>
        </is>
      </c>
      <c r="M835" s="24" t="inlineStr">
        <is>
          <t>제 45 기</t>
        </is>
      </c>
      <c r="N835" s="24" t="inlineStr">
        <is>
          <t>56382072938.0</t>
        </is>
      </c>
      <c r="O835" s="24" t="inlineStr">
        <is>
          <t>56382072938.0</t>
        </is>
      </c>
      <c r="P835" s="24" t="inlineStr">
        <is>
          <t>KRW</t>
        </is>
      </c>
      <c r="Q835" s="24" t="inlineStr">
        <is>
          <t>9</t>
        </is>
      </c>
    </row>
    <row r="836" ht="24" customHeight="1">
      <c r="A836" s="29" t="inlineStr">
        <is>
          <t>OpenDART_fnlttSinglAcntAll</t>
        </is>
      </c>
      <c r="B836" s="29" t="inlineStr">
        <is>
          <t>00161383</t>
        </is>
      </c>
      <c r="C836" s="29" t="inlineStr">
        <is>
          <t>한미반도체</t>
        </is>
      </c>
      <c r="D836" s="29" t="inlineStr">
        <is>
          <t>hanmi</t>
        </is>
      </c>
      <c r="E836" s="29" t="inlineStr">
        <is>
          <t>042700</t>
        </is>
      </c>
      <c r="F836" s="29" t="inlineStr">
        <is>
          <t>2024</t>
        </is>
      </c>
      <c r="G836" s="29" t="inlineStr">
        <is>
          <t>CFS</t>
        </is>
      </c>
      <c r="H836" s="29" t="inlineStr">
        <is>
          <t>SCE</t>
        </is>
      </c>
      <c r="I836" s="29" t="inlineStr">
        <is>
          <t>자본변동표</t>
        </is>
      </c>
      <c r="J836" s="29" t="inlineStr">
        <is>
          <t>ifrs-full_Equity</t>
        </is>
      </c>
      <c r="K836" s="29" t="inlineStr">
        <is>
          <t>자본총계</t>
        </is>
      </c>
      <c r="L836" s="29" t="inlineStr">
        <is>
          <t>자본 [구성요소]|지배기업의 소유주에게 귀속되는 지분 [구성요소]|자본금 [구성요소]</t>
        </is>
      </c>
      <c r="M836" s="29" t="inlineStr">
        <is>
          <t>제 45 기</t>
        </is>
      </c>
      <c r="N836" s="29" t="inlineStr">
        <is>
          <t>12716420500.0</t>
        </is>
      </c>
      <c r="O836" s="29" t="inlineStr">
        <is>
          <t>12716420500.0</t>
        </is>
      </c>
      <c r="P836" s="29" t="inlineStr">
        <is>
          <t>KRW</t>
        </is>
      </c>
      <c r="Q836" s="29" t="inlineStr">
        <is>
          <t>9</t>
        </is>
      </c>
    </row>
    <row r="837" ht="24" customHeight="1">
      <c r="A837" s="24" t="inlineStr">
        <is>
          <t>OpenDART_fnlttSinglAcntAll</t>
        </is>
      </c>
      <c r="B837" s="24" t="inlineStr">
        <is>
          <t>00161383</t>
        </is>
      </c>
      <c r="C837" s="24" t="inlineStr">
        <is>
          <t>한미반도체</t>
        </is>
      </c>
      <c r="D837" s="24" t="inlineStr">
        <is>
          <t>hanmi</t>
        </is>
      </c>
      <c r="E837" s="24" t="inlineStr">
        <is>
          <t>042700</t>
        </is>
      </c>
      <c r="F837" s="24" t="inlineStr">
        <is>
          <t>2024</t>
        </is>
      </c>
      <c r="G837" s="24" t="inlineStr">
        <is>
          <t>CFS</t>
        </is>
      </c>
      <c r="H837" s="24" t="inlineStr">
        <is>
          <t>SCE</t>
        </is>
      </c>
      <c r="I837" s="24" t="inlineStr">
        <is>
          <t>자본변동표</t>
        </is>
      </c>
      <c r="J837" s="24" t="inlineStr">
        <is>
          <t>ifrs-full_Equity</t>
        </is>
      </c>
      <c r="K837" s="24" t="inlineStr">
        <is>
          <t>자본총계</t>
        </is>
      </c>
      <c r="L837" s="24" t="inlineStr">
        <is>
          <t>자본 [구성요소]|지배기업의 소유주에게 귀속되는 지분 [구성요소]|이익잉여금 [구성요소]</t>
        </is>
      </c>
      <c r="M837" s="24" t="inlineStr">
        <is>
          <t>제 45 기</t>
        </is>
      </c>
      <c r="N837" s="24" t="inlineStr">
        <is>
          <t>610049963397.0</t>
        </is>
      </c>
      <c r="O837" s="24" t="inlineStr">
        <is>
          <t>532248974169.0</t>
        </is>
      </c>
      <c r="P837" s="24" t="inlineStr">
        <is>
          <t>KRW</t>
        </is>
      </c>
      <c r="Q837" s="24" t="inlineStr">
        <is>
          <t>9</t>
        </is>
      </c>
    </row>
    <row r="838" ht="24" customHeight="1">
      <c r="A838" s="29" t="inlineStr">
        <is>
          <t>OpenDART_fnlttSinglAcntAll</t>
        </is>
      </c>
      <c r="B838" s="29" t="inlineStr">
        <is>
          <t>00161383</t>
        </is>
      </c>
      <c r="C838" s="29" t="inlineStr">
        <is>
          <t>한미반도체</t>
        </is>
      </c>
      <c r="D838" s="29" t="inlineStr">
        <is>
          <t>hanmi</t>
        </is>
      </c>
      <c r="E838" s="29" t="inlineStr">
        <is>
          <t>042700</t>
        </is>
      </c>
      <c r="F838" s="29" t="inlineStr">
        <is>
          <t>2024</t>
        </is>
      </c>
      <c r="G838" s="29" t="inlineStr">
        <is>
          <t>CFS</t>
        </is>
      </c>
      <c r="H838" s="29" t="inlineStr">
        <is>
          <t>SCE</t>
        </is>
      </c>
      <c r="I838" s="29" t="inlineStr">
        <is>
          <t>자본변동표</t>
        </is>
      </c>
      <c r="J838" s="29" t="inlineStr">
        <is>
          <t>ifrs-full_Equity</t>
        </is>
      </c>
      <c r="K838" s="29" t="inlineStr">
        <is>
          <t>자본총계</t>
        </is>
      </c>
      <c r="L838" s="29" t="inlineStr">
        <is>
          <t>자본 [구성요소]|지배기업의 소유주에게 귀속되는 지분 [구성요소]|기타포괄손익누계액 [구성요소]</t>
        </is>
      </c>
      <c r="M838" s="29" t="inlineStr">
        <is>
          <t>제 45 기</t>
        </is>
      </c>
      <c r="N838" s="29" t="inlineStr">
        <is>
          <t>334222965.0</t>
        </is>
      </c>
      <c r="O838" s="29" t="inlineStr">
        <is>
          <t>93591495.0</t>
        </is>
      </c>
      <c r="P838" s="29" t="inlineStr">
        <is>
          <t>KRW</t>
        </is>
      </c>
      <c r="Q838" s="29" t="inlineStr">
        <is>
          <t>9</t>
        </is>
      </c>
    </row>
    <row r="839" ht="24" customHeight="1">
      <c r="A839" s="24" t="inlineStr">
        <is>
          <t>OpenDART_fnlttSinglAcntAll</t>
        </is>
      </c>
      <c r="B839" s="24" t="inlineStr">
        <is>
          <t>00161383</t>
        </is>
      </c>
      <c r="C839" s="24" t="inlineStr">
        <is>
          <t>한미반도체</t>
        </is>
      </c>
      <c r="D839" s="24" t="inlineStr">
        <is>
          <t>hanmi</t>
        </is>
      </c>
      <c r="E839" s="24" t="inlineStr">
        <is>
          <t>042700</t>
        </is>
      </c>
      <c r="F839" s="24" t="inlineStr">
        <is>
          <t>2024</t>
        </is>
      </c>
      <c r="G839" s="24" t="inlineStr">
        <is>
          <t>CFS</t>
        </is>
      </c>
      <c r="H839" s="24" t="inlineStr">
        <is>
          <t>SCE</t>
        </is>
      </c>
      <c r="I839" s="24" t="inlineStr">
        <is>
          <t>자본변동표</t>
        </is>
      </c>
      <c r="J839" s="24" t="inlineStr">
        <is>
          <t>ifrs-full_Equity</t>
        </is>
      </c>
      <c r="K839" s="24" t="inlineStr">
        <is>
          <t>자본총계</t>
        </is>
      </c>
      <c r="L839" s="24" t="inlineStr">
        <is>
          <t>자본 [구성요소]|지배기업의 소유주에게 귀속되는 지분 [구성요소]|기타자본구성요소 [구성요소]</t>
        </is>
      </c>
      <c r="M839" s="24" t="inlineStr">
        <is>
          <t>제 45 기</t>
        </is>
      </c>
      <c r="N839" s="24" t="inlineStr">
        <is>
          <t>-138594816411.0</t>
        </is>
      </c>
      <c r="O839" s="24" t="inlineStr">
        <is>
          <t>-29542433975.0</t>
        </is>
      </c>
      <c r="P839" s="24" t="inlineStr">
        <is>
          <t>KRW</t>
        </is>
      </c>
      <c r="Q839" s="24" t="inlineStr">
        <is>
          <t>9</t>
        </is>
      </c>
    </row>
    <row r="840" ht="24" customHeight="1">
      <c r="A840" s="29" t="inlineStr">
        <is>
          <t>OpenDART_fnlttSinglAcntAll</t>
        </is>
      </c>
      <c r="B840" s="29" t="inlineStr">
        <is>
          <t>00161383</t>
        </is>
      </c>
      <c r="C840" s="29" t="inlineStr">
        <is>
          <t>한미반도체</t>
        </is>
      </c>
      <c r="D840" s="29" t="inlineStr">
        <is>
          <t>hanmi</t>
        </is>
      </c>
      <c r="E840" s="29" t="inlineStr">
        <is>
          <t>042700</t>
        </is>
      </c>
      <c r="F840" s="29" t="inlineStr">
        <is>
          <t>2024</t>
        </is>
      </c>
      <c r="G840" s="29" t="inlineStr">
        <is>
          <t>CFS</t>
        </is>
      </c>
      <c r="H840" s="29" t="inlineStr">
        <is>
          <t>SCE</t>
        </is>
      </c>
      <c r="I840" s="29" t="inlineStr">
        <is>
          <t>자본변동표</t>
        </is>
      </c>
      <c r="J840" s="29" t="inlineStr">
        <is>
          <t>ifrs-full_IncreaseDecreaseThroughSharebasedPaymentTransactions</t>
        </is>
      </c>
      <c r="K840" s="29" t="inlineStr">
        <is>
          <t>주식기준보상거래에 따른 증가(감소), 지분</t>
        </is>
      </c>
      <c r="L840" s="29" t="inlineStr">
        <is>
          <t>자본 [구성요소]|지배기업의 소유주에게 귀속되는 지분 [구성요소]|기타자본구성요소 [구성요소]</t>
        </is>
      </c>
      <c r="M840" s="29" t="inlineStr">
        <is>
          <t>제 45 기</t>
        </is>
      </c>
      <c r="N840" s="29" t="inlineStr">
        <is>
          <t>10249119876.0</t>
        </is>
      </c>
      <c r="O840" s="29" t="inlineStr">
        <is>
          <t>25253454.0</t>
        </is>
      </c>
      <c r="P840" s="29" t="inlineStr">
        <is>
          <t>KRW</t>
        </is>
      </c>
      <c r="Q840" s="29" t="inlineStr">
        <is>
          <t>10</t>
        </is>
      </c>
    </row>
    <row r="841" ht="24" customHeight="1">
      <c r="A841" s="24" t="inlineStr">
        <is>
          <t>OpenDART_fnlttSinglAcntAll</t>
        </is>
      </c>
      <c r="B841" s="24" t="inlineStr">
        <is>
          <t>00161383</t>
        </is>
      </c>
      <c r="C841" s="24" t="inlineStr">
        <is>
          <t>한미반도체</t>
        </is>
      </c>
      <c r="D841" s="24" t="inlineStr">
        <is>
          <t>hanmi</t>
        </is>
      </c>
      <c r="E841" s="24" t="inlineStr">
        <is>
          <t>042700</t>
        </is>
      </c>
      <c r="F841" s="24" t="inlineStr">
        <is>
          <t>2024</t>
        </is>
      </c>
      <c r="G841" s="24" t="inlineStr">
        <is>
          <t>CFS</t>
        </is>
      </c>
      <c r="H841" s="24" t="inlineStr">
        <is>
          <t>SCE</t>
        </is>
      </c>
      <c r="I841" s="24" t="inlineStr">
        <is>
          <t>자본변동표</t>
        </is>
      </c>
      <c r="J841" s="24" t="inlineStr">
        <is>
          <t>ifrs-full_IncreaseDecreaseThroughSharebasedPaymentTransactions</t>
        </is>
      </c>
      <c r="K841" s="24" t="inlineStr">
        <is>
          <t>주식기준보상거래에 따른 증가(감소), 지분</t>
        </is>
      </c>
      <c r="L841" s="24" t="inlineStr">
        <is>
          <t>자본 [구성요소]|지배기업의 소유주에게 귀속되는 지분 [구성요소]</t>
        </is>
      </c>
      <c r="M841" s="24" t="inlineStr">
        <is>
          <t>제 45 기</t>
        </is>
      </c>
      <c r="N841" s="24" t="inlineStr">
        <is>
          <t>10249119876.0</t>
        </is>
      </c>
      <c r="O841" s="24" t="inlineStr">
        <is>
          <t>25253454.0</t>
        </is>
      </c>
      <c r="P841" s="24" t="inlineStr">
        <is>
          <t>KRW</t>
        </is>
      </c>
      <c r="Q841" s="24" t="inlineStr">
        <is>
          <t>10</t>
        </is>
      </c>
    </row>
    <row r="842" ht="24" customHeight="1">
      <c r="A842" s="29" t="inlineStr">
        <is>
          <t>OpenDART_fnlttSinglAcntAll</t>
        </is>
      </c>
      <c r="B842" s="29" t="inlineStr">
        <is>
          <t>00161383</t>
        </is>
      </c>
      <c r="C842" s="29" t="inlineStr">
        <is>
          <t>한미반도체</t>
        </is>
      </c>
      <c r="D842" s="29" t="inlineStr">
        <is>
          <t>hanmi</t>
        </is>
      </c>
      <c r="E842" s="29" t="inlineStr">
        <is>
          <t>042700</t>
        </is>
      </c>
      <c r="F842" s="29" t="inlineStr">
        <is>
          <t>2024</t>
        </is>
      </c>
      <c r="G842" s="29" t="inlineStr">
        <is>
          <t>CFS</t>
        </is>
      </c>
      <c r="H842" s="29" t="inlineStr">
        <is>
          <t>SCE</t>
        </is>
      </c>
      <c r="I842" s="29" t="inlineStr">
        <is>
          <t>자본변동표</t>
        </is>
      </c>
      <c r="J842" s="29" t="inlineStr">
        <is>
          <t>ifrs-full_IncreaseDecreaseThroughSharebasedPaymentTransactions</t>
        </is>
      </c>
      <c r="K842" s="29" t="inlineStr">
        <is>
          <t>주식기준보상거래에 따른 증가(감소), 지분</t>
        </is>
      </c>
      <c r="L842" s="29" t="inlineStr">
        <is>
          <t>연결재무제표 [member]</t>
        </is>
      </c>
      <c r="M842" s="29" t="inlineStr">
        <is>
          <t>제 45 기</t>
        </is>
      </c>
      <c r="N842" s="29" t="inlineStr">
        <is>
          <t>10249119876.0</t>
        </is>
      </c>
      <c r="O842" s="29" t="inlineStr">
        <is>
          <t>25253454.0</t>
        </is>
      </c>
      <c r="P842" s="29" t="inlineStr">
        <is>
          <t>KRW</t>
        </is>
      </c>
      <c r="Q842" s="29" t="inlineStr">
        <is>
          <t>10</t>
        </is>
      </c>
    </row>
    <row r="843" ht="24" customHeight="1">
      <c r="A843" s="24" t="inlineStr">
        <is>
          <t>OpenDART_fnlttSinglAcntAll</t>
        </is>
      </c>
      <c r="B843" s="24" t="inlineStr">
        <is>
          <t>00161383</t>
        </is>
      </c>
      <c r="C843" s="24" t="inlineStr">
        <is>
          <t>한미반도체</t>
        </is>
      </c>
      <c r="D843" s="24" t="inlineStr">
        <is>
          <t>hanmi</t>
        </is>
      </c>
      <c r="E843" s="24" t="inlineStr">
        <is>
          <t>042700</t>
        </is>
      </c>
      <c r="F843" s="24" t="inlineStr">
        <is>
          <t>2024</t>
        </is>
      </c>
      <c r="G843" s="24" t="inlineStr">
        <is>
          <t>CFS</t>
        </is>
      </c>
      <c r="H843" s="24" t="inlineStr">
        <is>
          <t>SCE</t>
        </is>
      </c>
      <c r="I843" s="24" t="inlineStr">
        <is>
          <t>자본변동표</t>
        </is>
      </c>
      <c r="J843" s="24" t="inlineStr">
        <is>
          <t>ifrs-full_IncreaseDecreaseThroughTransactionsWithOwners</t>
        </is>
      </c>
      <c r="K843" s="24" t="inlineStr">
        <is>
          <t>소유주와의 거래로 인한 증가(감소), 자본</t>
        </is>
      </c>
      <c r="L843" s="24" t="inlineStr">
        <is>
          <t>자본 [구성요소]|지배기업의 소유주에게 귀속되는 지분 [구성요소]|기타자본구성요소 [구성요소]</t>
        </is>
      </c>
      <c r="M843" s="24" t="inlineStr">
        <is>
          <t>제 45 기</t>
        </is>
      </c>
      <c r="N843" s="24" t="inlineStr">
        <is>
          <t>-109052382436.0</t>
        </is>
      </c>
      <c r="O843" s="24" t="inlineStr">
        <is>
          <t>-29945709546.0</t>
        </is>
      </c>
      <c r="P843" s="24" t="inlineStr">
        <is>
          <t>KRW</t>
        </is>
      </c>
      <c r="Q843" s="24" t="inlineStr">
        <is>
          <t>11</t>
        </is>
      </c>
    </row>
    <row r="844" ht="24" customHeight="1">
      <c r="A844" s="29" t="inlineStr">
        <is>
          <t>OpenDART_fnlttSinglAcntAll</t>
        </is>
      </c>
      <c r="B844" s="29" t="inlineStr">
        <is>
          <t>00161383</t>
        </is>
      </c>
      <c r="C844" s="29" t="inlineStr">
        <is>
          <t>한미반도체</t>
        </is>
      </c>
      <c r="D844" s="29" t="inlineStr">
        <is>
          <t>hanmi</t>
        </is>
      </c>
      <c r="E844" s="29" t="inlineStr">
        <is>
          <t>042700</t>
        </is>
      </c>
      <c r="F844" s="29" t="inlineStr">
        <is>
          <t>2024</t>
        </is>
      </c>
      <c r="G844" s="29" t="inlineStr">
        <is>
          <t>CFS</t>
        </is>
      </c>
      <c r="H844" s="29" t="inlineStr">
        <is>
          <t>SCE</t>
        </is>
      </c>
      <c r="I844" s="29" t="inlineStr">
        <is>
          <t>자본변동표</t>
        </is>
      </c>
      <c r="J844" s="29" t="inlineStr">
        <is>
          <t>ifrs-full_IncreaseDecreaseThroughTransactionsWithOwners</t>
        </is>
      </c>
      <c r="K844" s="29" t="inlineStr">
        <is>
          <t>소유주와의 거래로 인한 증가(감소), 자본</t>
        </is>
      </c>
      <c r="L844" s="29" t="inlineStr">
        <is>
          <t>자본 [구성요소]|지배기업의 소유주에게 귀속되는 지분 [구성요소]|이익잉여금 [구성요소]</t>
        </is>
      </c>
      <c r="M844" s="29" t="inlineStr">
        <is>
          <t>제 45 기</t>
        </is>
      </c>
      <c r="N844" s="29" t="inlineStr">
        <is>
          <t>-72458720488.0</t>
        </is>
      </c>
      <c r="O844" s="29" t="inlineStr">
        <is>
          <t>-60132807240.0</t>
        </is>
      </c>
      <c r="P844" s="29" t="inlineStr">
        <is>
          <t>KRW</t>
        </is>
      </c>
      <c r="Q844" s="29" t="inlineStr">
        <is>
          <t>11</t>
        </is>
      </c>
    </row>
    <row r="845" ht="24" customHeight="1">
      <c r="A845" s="24" t="inlineStr">
        <is>
          <t>OpenDART_fnlttSinglAcntAll</t>
        </is>
      </c>
      <c r="B845" s="24" t="inlineStr">
        <is>
          <t>00161383</t>
        </is>
      </c>
      <c r="C845" s="24" t="inlineStr">
        <is>
          <t>한미반도체</t>
        </is>
      </c>
      <c r="D845" s="24" t="inlineStr">
        <is>
          <t>hanmi</t>
        </is>
      </c>
      <c r="E845" s="24" t="inlineStr">
        <is>
          <t>042700</t>
        </is>
      </c>
      <c r="F845" s="24" t="inlineStr">
        <is>
          <t>2024</t>
        </is>
      </c>
      <c r="G845" s="24" t="inlineStr">
        <is>
          <t>CFS</t>
        </is>
      </c>
      <c r="H845" s="24" t="inlineStr">
        <is>
          <t>SCE</t>
        </is>
      </c>
      <c r="I845" s="24" t="inlineStr">
        <is>
          <t>자본변동표</t>
        </is>
      </c>
      <c r="J845" s="24" t="inlineStr">
        <is>
          <t>ifrs-full_IncreaseDecreaseThroughTransactionsWithOwners</t>
        </is>
      </c>
      <c r="K845" s="24" t="inlineStr">
        <is>
          <t>소유주와의 거래로 인한 증가(감소), 자본</t>
        </is>
      </c>
      <c r="L845" s="24" t="inlineStr">
        <is>
          <t>자본 [구성요소]|지배기업의 소유주에게 귀속되는 지분 [구성요소]|주식발행초과금 [구성요소]</t>
        </is>
      </c>
      <c r="M845" s="24" t="inlineStr">
        <is>
          <t>제 45 기</t>
        </is>
      </c>
      <c r="N845" s="24" t="inlineStr">
        <is>
          <t>해당 없음</t>
        </is>
      </c>
      <c r="O845" s="24" t="inlineStr">
        <is>
          <t>5464171128.0</t>
        </is>
      </c>
      <c r="P845" s="24" t="inlineStr">
        <is>
          <t>KRW</t>
        </is>
      </c>
      <c r="Q845" s="24" t="inlineStr">
        <is>
          <t>11</t>
        </is>
      </c>
    </row>
    <row r="846" ht="24" customHeight="1">
      <c r="A846" s="29" t="inlineStr">
        <is>
          <t>OpenDART_fnlttSinglAcntAll</t>
        </is>
      </c>
      <c r="B846" s="29" t="inlineStr">
        <is>
          <t>00161383</t>
        </is>
      </c>
      <c r="C846" s="29" t="inlineStr">
        <is>
          <t>한미반도체</t>
        </is>
      </c>
      <c r="D846" s="29" t="inlineStr">
        <is>
          <t>hanmi</t>
        </is>
      </c>
      <c r="E846" s="29" t="inlineStr">
        <is>
          <t>042700</t>
        </is>
      </c>
      <c r="F846" s="29" t="inlineStr">
        <is>
          <t>2024</t>
        </is>
      </c>
      <c r="G846" s="29" t="inlineStr">
        <is>
          <t>CFS</t>
        </is>
      </c>
      <c r="H846" s="29" t="inlineStr">
        <is>
          <t>SCE</t>
        </is>
      </c>
      <c r="I846" s="29" t="inlineStr">
        <is>
          <t>자본변동표</t>
        </is>
      </c>
      <c r="J846" s="29" t="inlineStr">
        <is>
          <t>ifrs-full_IncreaseDecreaseThroughTransactionsWithOwners</t>
        </is>
      </c>
      <c r="K846" s="29" t="inlineStr">
        <is>
          <t>소유주와의 거래로 인한 증가(감소), 자본</t>
        </is>
      </c>
      <c r="L846" s="29" t="inlineStr">
        <is>
          <t>연결재무제표 [member]</t>
        </is>
      </c>
      <c r="M846" s="29" t="inlineStr">
        <is>
          <t>제 45 기</t>
        </is>
      </c>
      <c r="N846" s="29" t="inlineStr">
        <is>
          <t>-181511102924.0</t>
        </is>
      </c>
      <c r="O846" s="29" t="inlineStr">
        <is>
          <t>-84614345658.0</t>
        </is>
      </c>
      <c r="P846" s="29" t="inlineStr">
        <is>
          <t>KRW</t>
        </is>
      </c>
      <c r="Q846" s="29" t="inlineStr">
        <is>
          <t>11</t>
        </is>
      </c>
    </row>
    <row r="847" ht="24" customHeight="1">
      <c r="A847" s="24" t="inlineStr">
        <is>
          <t>OpenDART_fnlttSinglAcntAll</t>
        </is>
      </c>
      <c r="B847" s="24" t="inlineStr">
        <is>
          <t>00161383</t>
        </is>
      </c>
      <c r="C847" s="24" t="inlineStr">
        <is>
          <t>한미반도체</t>
        </is>
      </c>
      <c r="D847" s="24" t="inlineStr">
        <is>
          <t>hanmi</t>
        </is>
      </c>
      <c r="E847" s="24" t="inlineStr">
        <is>
          <t>042700</t>
        </is>
      </c>
      <c r="F847" s="24" t="inlineStr">
        <is>
          <t>2024</t>
        </is>
      </c>
      <c r="G847" s="24" t="inlineStr">
        <is>
          <t>CFS</t>
        </is>
      </c>
      <c r="H847" s="24" t="inlineStr">
        <is>
          <t>SCE</t>
        </is>
      </c>
      <c r="I847" s="24" t="inlineStr">
        <is>
          <t>자본변동표</t>
        </is>
      </c>
      <c r="J847" s="24" t="inlineStr">
        <is>
          <t>ifrs-full_IncreaseDecreaseThroughTransactionsWithOwners</t>
        </is>
      </c>
      <c r="K847" s="24" t="inlineStr">
        <is>
          <t>소유주와의 거래로 인한 증가(감소), 자본</t>
        </is>
      </c>
      <c r="L847" s="24" t="inlineStr">
        <is>
          <t>자본 [구성요소]|지배기업의 소유주에게 귀속되는 지분 [구성요소]</t>
        </is>
      </c>
      <c r="M847" s="24" t="inlineStr">
        <is>
          <t>제 45 기</t>
        </is>
      </c>
      <c r="N847" s="24" t="inlineStr">
        <is>
          <t>-181511102924.0</t>
        </is>
      </c>
      <c r="O847" s="24" t="inlineStr">
        <is>
          <t>-84614345658.0</t>
        </is>
      </c>
      <c r="P847" s="24" t="inlineStr">
        <is>
          <t>KRW</t>
        </is>
      </c>
      <c r="Q847" s="24" t="inlineStr">
        <is>
          <t>11</t>
        </is>
      </c>
    </row>
    <row r="848" ht="24" customHeight="1">
      <c r="A848" s="29" t="inlineStr">
        <is>
          <t>OpenDART_fnlttSinglAcntAll</t>
        </is>
      </c>
      <c r="B848" s="29" t="inlineStr">
        <is>
          <t>00161383</t>
        </is>
      </c>
      <c r="C848" s="29" t="inlineStr">
        <is>
          <t>한미반도체</t>
        </is>
      </c>
      <c r="D848" s="29" t="inlineStr">
        <is>
          <t>hanmi</t>
        </is>
      </c>
      <c r="E848" s="29" t="inlineStr">
        <is>
          <t>042700</t>
        </is>
      </c>
      <c r="F848" s="29" t="inlineStr">
        <is>
          <t>2024</t>
        </is>
      </c>
      <c r="G848" s="29" t="inlineStr">
        <is>
          <t>CFS</t>
        </is>
      </c>
      <c r="H848" s="29" t="inlineStr">
        <is>
          <t>SCE</t>
        </is>
      </c>
      <c r="I848" s="29" t="inlineStr">
        <is>
          <t>자본변동표</t>
        </is>
      </c>
      <c r="J848" s="29" t="inlineStr">
        <is>
          <t>ifrs-full_IncreaseDecreaseThroughTransfersAndOtherChangesEquity</t>
        </is>
      </c>
      <c r="K848" s="29" t="inlineStr">
        <is>
          <t>기타변동에 따른 증가(감소), 자본</t>
        </is>
      </c>
      <c r="L848" s="29" t="inlineStr">
        <is>
          <t>연결재무제표 [member]</t>
        </is>
      </c>
      <c r="M848" s="29" t="inlineStr">
        <is>
          <t>제 45 기</t>
        </is>
      </c>
      <c r="N848" s="29" t="inlineStr">
        <is>
          <t>143472000.0</t>
        </is>
      </c>
      <c r="O848" s="29" t="inlineStr">
        <is>
          <t>해당 없음</t>
        </is>
      </c>
      <c r="P848" s="29" t="inlineStr">
        <is>
          <t>KRW</t>
        </is>
      </c>
      <c r="Q848" s="29" t="inlineStr">
        <is>
          <t>12</t>
        </is>
      </c>
    </row>
    <row r="849" ht="24" customHeight="1">
      <c r="A849" s="24" t="inlineStr">
        <is>
          <t>OpenDART_fnlttSinglAcntAll</t>
        </is>
      </c>
      <c r="B849" s="24" t="inlineStr">
        <is>
          <t>00161383</t>
        </is>
      </c>
      <c r="C849" s="24" t="inlineStr">
        <is>
          <t>한미반도체</t>
        </is>
      </c>
      <c r="D849" s="24" t="inlineStr">
        <is>
          <t>hanmi</t>
        </is>
      </c>
      <c r="E849" s="24" t="inlineStr">
        <is>
          <t>042700</t>
        </is>
      </c>
      <c r="F849" s="24" t="inlineStr">
        <is>
          <t>2024</t>
        </is>
      </c>
      <c r="G849" s="24" t="inlineStr">
        <is>
          <t>CFS</t>
        </is>
      </c>
      <c r="H849" s="24" t="inlineStr">
        <is>
          <t>SCE</t>
        </is>
      </c>
      <c r="I849" s="24" t="inlineStr">
        <is>
          <t>자본변동표</t>
        </is>
      </c>
      <c r="J849" s="24" t="inlineStr">
        <is>
          <t>ifrs-full_IncreaseDecreaseThroughTransfersAndOtherChangesEquity</t>
        </is>
      </c>
      <c r="K849" s="24" t="inlineStr">
        <is>
          <t>기타변동에 따른 증가(감소), 자본</t>
        </is>
      </c>
      <c r="L849" s="24" t="inlineStr">
        <is>
          <t>자본 [구성요소]|지배기업의 소유주에게 귀속되는 지분 [구성요소]</t>
        </is>
      </c>
      <c r="M849" s="24" t="inlineStr">
        <is>
          <t>제 45 기</t>
        </is>
      </c>
      <c r="N849" s="24" t="inlineStr">
        <is>
          <t>143472000.0</t>
        </is>
      </c>
      <c r="O849" s="24" t="inlineStr">
        <is>
          <t>해당 없음</t>
        </is>
      </c>
      <c r="P849" s="24" t="inlineStr">
        <is>
          <t>KRW</t>
        </is>
      </c>
      <c r="Q849" s="24" t="inlineStr">
        <is>
          <t>12</t>
        </is>
      </c>
    </row>
    <row r="850" ht="24" customHeight="1">
      <c r="A850" s="29" t="inlineStr">
        <is>
          <t>OpenDART_fnlttSinglAcntAll</t>
        </is>
      </c>
      <c r="B850" s="29" t="inlineStr">
        <is>
          <t>00161383</t>
        </is>
      </c>
      <c r="C850" s="29" t="inlineStr">
        <is>
          <t>한미반도체</t>
        </is>
      </c>
      <c r="D850" s="29" t="inlineStr">
        <is>
          <t>hanmi</t>
        </is>
      </c>
      <c r="E850" s="29" t="inlineStr">
        <is>
          <t>042700</t>
        </is>
      </c>
      <c r="F850" s="29" t="inlineStr">
        <is>
          <t>2024</t>
        </is>
      </c>
      <c r="G850" s="29" t="inlineStr">
        <is>
          <t>CFS</t>
        </is>
      </c>
      <c r="H850" s="29" t="inlineStr">
        <is>
          <t>SCE</t>
        </is>
      </c>
      <c r="I850" s="29" t="inlineStr">
        <is>
          <t>자본변동표</t>
        </is>
      </c>
      <c r="J850" s="29" t="inlineStr">
        <is>
          <t>ifrs-full_IncreaseDecreaseThroughTransfersAndOtherChangesEquity</t>
        </is>
      </c>
      <c r="K850" s="29" t="inlineStr">
        <is>
          <t>기타변동에 따른 증가(감소), 자본</t>
        </is>
      </c>
      <c r="L850" s="29" t="inlineStr">
        <is>
          <t>자본 [구성요소]|지배기업의 소유주에게 귀속되는 지분 [구성요소]|이익잉여금 [구성요소]</t>
        </is>
      </c>
      <c r="M850" s="29" t="inlineStr">
        <is>
          <t>제 45 기</t>
        </is>
      </c>
      <c r="N850" s="29" t="inlineStr">
        <is>
          <t>143472000.0</t>
        </is>
      </c>
      <c r="O850" s="29" t="inlineStr">
        <is>
          <t>해당 없음</t>
        </is>
      </c>
      <c r="P850" s="29" t="inlineStr">
        <is>
          <t>KRW</t>
        </is>
      </c>
      <c r="Q850" s="29" t="inlineStr">
        <is>
          <t>12</t>
        </is>
      </c>
    </row>
    <row r="851" ht="24" customHeight="1">
      <c r="A851" s="24" t="inlineStr">
        <is>
          <t>OpenDART_fnlttSinglAcntAll</t>
        </is>
      </c>
      <c r="B851" s="24" t="inlineStr">
        <is>
          <t>00161383</t>
        </is>
      </c>
      <c r="C851" s="24" t="inlineStr">
        <is>
          <t>한미반도체</t>
        </is>
      </c>
      <c r="D851" s="24" t="inlineStr">
        <is>
          <t>hanmi</t>
        </is>
      </c>
      <c r="E851" s="24" t="inlineStr">
        <is>
          <t>042700</t>
        </is>
      </c>
      <c r="F851" s="24" t="inlineStr">
        <is>
          <t>2024</t>
        </is>
      </c>
      <c r="G851" s="24" t="inlineStr">
        <is>
          <t>CFS</t>
        </is>
      </c>
      <c r="H851" s="24" t="inlineStr">
        <is>
          <t>SCE</t>
        </is>
      </c>
      <c r="I851" s="24" t="inlineStr">
        <is>
          <t>자본변동표</t>
        </is>
      </c>
      <c r="J851" s="24" t="inlineStr">
        <is>
          <t>ifrs-full_OtherComprehensiveIncome</t>
        </is>
      </c>
      <c r="K851" s="24" t="inlineStr">
        <is>
          <t>기타포괄손익</t>
        </is>
      </c>
      <c r="L851" s="24" t="inlineStr">
        <is>
          <t>자본 [구성요소]|지배기업의 소유주에게 귀속되는 지분 [구성요소]</t>
        </is>
      </c>
      <c r="M851" s="24" t="inlineStr">
        <is>
          <t>제 45 기</t>
        </is>
      </c>
      <c r="N851" s="24" t="inlineStr">
        <is>
          <t>-2114156815.0</t>
        </is>
      </c>
      <c r="O851" s="24" t="inlineStr">
        <is>
          <t>-751300859.0</t>
        </is>
      </c>
      <c r="P851" s="24" t="inlineStr">
        <is>
          <t>KRW</t>
        </is>
      </c>
      <c r="Q851" s="24" t="inlineStr">
        <is>
          <t>13</t>
        </is>
      </c>
    </row>
    <row r="852" ht="24" customHeight="1">
      <c r="A852" s="29" t="inlineStr">
        <is>
          <t>OpenDART_fnlttSinglAcntAll</t>
        </is>
      </c>
      <c r="B852" s="29" t="inlineStr">
        <is>
          <t>00161383</t>
        </is>
      </c>
      <c r="C852" s="29" t="inlineStr">
        <is>
          <t>한미반도체</t>
        </is>
      </c>
      <c r="D852" s="29" t="inlineStr">
        <is>
          <t>hanmi</t>
        </is>
      </c>
      <c r="E852" s="29" t="inlineStr">
        <is>
          <t>042700</t>
        </is>
      </c>
      <c r="F852" s="29" t="inlineStr">
        <is>
          <t>2024</t>
        </is>
      </c>
      <c r="G852" s="29" t="inlineStr">
        <is>
          <t>CFS</t>
        </is>
      </c>
      <c r="H852" s="29" t="inlineStr">
        <is>
          <t>SCE</t>
        </is>
      </c>
      <c r="I852" s="29" t="inlineStr">
        <is>
          <t>자본변동표</t>
        </is>
      </c>
      <c r="J852" s="29" t="inlineStr">
        <is>
          <t>ifrs-full_OtherComprehensiveIncome</t>
        </is>
      </c>
      <c r="K852" s="29" t="inlineStr">
        <is>
          <t>기타포괄손익</t>
        </is>
      </c>
      <c r="L852" s="29" t="inlineStr">
        <is>
          <t>자본 [구성요소]|지배기업의 소유주에게 귀속되는 지분 [구성요소]|기타포괄손익누계액 [구성요소]</t>
        </is>
      </c>
      <c r="M852" s="29" t="inlineStr">
        <is>
          <t>제 45 기</t>
        </is>
      </c>
      <c r="N852" s="29" t="inlineStr">
        <is>
          <t>240631470.0</t>
        </is>
      </c>
      <c r="O852" s="29" t="inlineStr">
        <is>
          <t>-696225481.0</t>
        </is>
      </c>
      <c r="P852" s="29" t="inlineStr">
        <is>
          <t>KRW</t>
        </is>
      </c>
      <c r="Q852" s="29" t="inlineStr">
        <is>
          <t>13</t>
        </is>
      </c>
    </row>
    <row r="853" ht="24" customHeight="1">
      <c r="A853" s="24" t="inlineStr">
        <is>
          <t>OpenDART_fnlttSinglAcntAll</t>
        </is>
      </c>
      <c r="B853" s="24" t="inlineStr">
        <is>
          <t>00161383</t>
        </is>
      </c>
      <c r="C853" s="24" t="inlineStr">
        <is>
          <t>한미반도체</t>
        </is>
      </c>
      <c r="D853" s="24" t="inlineStr">
        <is>
          <t>hanmi</t>
        </is>
      </c>
      <c r="E853" s="24" t="inlineStr">
        <is>
          <t>042700</t>
        </is>
      </c>
      <c r="F853" s="24" t="inlineStr">
        <is>
          <t>2024</t>
        </is>
      </c>
      <c r="G853" s="24" t="inlineStr">
        <is>
          <t>CFS</t>
        </is>
      </c>
      <c r="H853" s="24" t="inlineStr">
        <is>
          <t>SCE</t>
        </is>
      </c>
      <c r="I853" s="24" t="inlineStr">
        <is>
          <t>자본변동표</t>
        </is>
      </c>
      <c r="J853" s="24" t="inlineStr">
        <is>
          <t>ifrs-full_OtherComprehensiveIncome</t>
        </is>
      </c>
      <c r="K853" s="24" t="inlineStr">
        <is>
          <t>기타포괄손익</t>
        </is>
      </c>
      <c r="L853" s="24" t="inlineStr">
        <is>
          <t>자본 [구성요소]|지배기업의 소유주에게 귀속되는 지분 [구성요소]|이익잉여금 [구성요소]</t>
        </is>
      </c>
      <c r="M853" s="24" t="inlineStr">
        <is>
          <t>제 45 기</t>
        </is>
      </c>
      <c r="N853" s="24" t="inlineStr">
        <is>
          <t>-2354788285.0</t>
        </is>
      </c>
      <c r="O853" s="24" t="inlineStr">
        <is>
          <t>-55075378.0</t>
        </is>
      </c>
      <c r="P853" s="24" t="inlineStr">
        <is>
          <t>KRW</t>
        </is>
      </c>
      <c r="Q853" s="24" t="inlineStr">
        <is>
          <t>13</t>
        </is>
      </c>
    </row>
    <row r="854" ht="24" customHeight="1">
      <c r="A854" s="29" t="inlineStr">
        <is>
          <t>OpenDART_fnlttSinglAcntAll</t>
        </is>
      </c>
      <c r="B854" s="29" t="inlineStr">
        <is>
          <t>00161383</t>
        </is>
      </c>
      <c r="C854" s="29" t="inlineStr">
        <is>
          <t>한미반도체</t>
        </is>
      </c>
      <c r="D854" s="29" t="inlineStr">
        <is>
          <t>hanmi</t>
        </is>
      </c>
      <c r="E854" s="29" t="inlineStr">
        <is>
          <t>042700</t>
        </is>
      </c>
      <c r="F854" s="29" t="inlineStr">
        <is>
          <t>2024</t>
        </is>
      </c>
      <c r="G854" s="29" t="inlineStr">
        <is>
          <t>CFS</t>
        </is>
      </c>
      <c r="H854" s="29" t="inlineStr">
        <is>
          <t>SCE</t>
        </is>
      </c>
      <c r="I854" s="29" t="inlineStr">
        <is>
          <t>자본변동표</t>
        </is>
      </c>
      <c r="J854" s="29" t="inlineStr">
        <is>
          <t>ifrs-full_OtherComprehensiveIncome</t>
        </is>
      </c>
      <c r="K854" s="29" t="inlineStr">
        <is>
          <t>기타포괄손익</t>
        </is>
      </c>
      <c r="L854" s="29" t="inlineStr">
        <is>
          <t>연결재무제표 [member]</t>
        </is>
      </c>
      <c r="M854" s="29" t="inlineStr">
        <is>
          <t>제 45 기</t>
        </is>
      </c>
      <c r="N854" s="29" t="inlineStr">
        <is>
          <t>-2114156815.0</t>
        </is>
      </c>
      <c r="O854" s="29" t="inlineStr">
        <is>
          <t>-751300859.0</t>
        </is>
      </c>
      <c r="P854" s="29" t="inlineStr">
        <is>
          <t>KRW</t>
        </is>
      </c>
      <c r="Q854" s="29" t="inlineStr">
        <is>
          <t>13</t>
        </is>
      </c>
    </row>
    <row r="855" ht="24" customHeight="1">
      <c r="A855" s="24" t="inlineStr">
        <is>
          <t>OpenDART_fnlttSinglAcntAll</t>
        </is>
      </c>
      <c r="B855" s="24" t="inlineStr">
        <is>
          <t>00161383</t>
        </is>
      </c>
      <c r="C855" s="24" t="inlineStr">
        <is>
          <t>한미반도체</t>
        </is>
      </c>
      <c r="D855" s="24" t="inlineStr">
        <is>
          <t>hanmi</t>
        </is>
      </c>
      <c r="E855" s="24" t="inlineStr">
        <is>
          <t>042700</t>
        </is>
      </c>
      <c r="F855" s="24" t="inlineStr">
        <is>
          <t>2024</t>
        </is>
      </c>
      <c r="G855" s="24" t="inlineStr">
        <is>
          <t>CFS</t>
        </is>
      </c>
      <c r="H855" s="24" t="inlineStr">
        <is>
          <t>SCE</t>
        </is>
      </c>
      <c r="I855" s="24" t="inlineStr">
        <is>
          <t>자본변동표</t>
        </is>
      </c>
      <c r="J855" s="24" t="inlineStr">
        <is>
          <t>ifrs-full_GainsLossesOnExchangeDifferencesOnTranslationNetOfTax</t>
        </is>
      </c>
      <c r="K855" s="24" t="inlineStr">
        <is>
          <t>해외사업장환산외환차이(세후기타포괄손익)</t>
        </is>
      </c>
      <c r="L855" s="24" t="inlineStr">
        <is>
          <t>연결재무제표 [member]</t>
        </is>
      </c>
      <c r="M855" s="24" t="inlineStr">
        <is>
          <t>제 45 기</t>
        </is>
      </c>
      <c r="N855" s="24" t="inlineStr">
        <is>
          <t>240631470.0</t>
        </is>
      </c>
      <c r="O855" s="24" t="inlineStr">
        <is>
          <t>72723652.0</t>
        </is>
      </c>
      <c r="P855" s="24" t="inlineStr">
        <is>
          <t>KRW</t>
        </is>
      </c>
      <c r="Q855" s="24" t="inlineStr">
        <is>
          <t>14</t>
        </is>
      </c>
    </row>
    <row r="856" ht="24" customHeight="1">
      <c r="A856" s="29" t="inlineStr">
        <is>
          <t>OpenDART_fnlttSinglAcntAll</t>
        </is>
      </c>
      <c r="B856" s="29" t="inlineStr">
        <is>
          <t>00161383</t>
        </is>
      </c>
      <c r="C856" s="29" t="inlineStr">
        <is>
          <t>한미반도체</t>
        </is>
      </c>
      <c r="D856" s="29" t="inlineStr">
        <is>
          <t>hanmi</t>
        </is>
      </c>
      <c r="E856" s="29" t="inlineStr">
        <is>
          <t>042700</t>
        </is>
      </c>
      <c r="F856" s="29" t="inlineStr">
        <is>
          <t>2024</t>
        </is>
      </c>
      <c r="G856" s="29" t="inlineStr">
        <is>
          <t>CFS</t>
        </is>
      </c>
      <c r="H856" s="29" t="inlineStr">
        <is>
          <t>SCE</t>
        </is>
      </c>
      <c r="I856" s="29" t="inlineStr">
        <is>
          <t>자본변동표</t>
        </is>
      </c>
      <c r="J856" s="29" t="inlineStr">
        <is>
          <t>ifrs-full_GainsLossesOnExchangeDifferencesOnTranslationNetOfTax</t>
        </is>
      </c>
      <c r="K856" s="29" t="inlineStr">
        <is>
          <t>해외사업장환산외환차이(세후기타포괄손익)</t>
        </is>
      </c>
      <c r="L856" s="29" t="inlineStr">
        <is>
          <t>자본 [구성요소]|지배기업의 소유주에게 귀속되는 지분 [구성요소]</t>
        </is>
      </c>
      <c r="M856" s="29" t="inlineStr">
        <is>
          <t>제 45 기</t>
        </is>
      </c>
      <c r="N856" s="29" t="inlineStr">
        <is>
          <t>240631470.0</t>
        </is>
      </c>
      <c r="O856" s="29" t="inlineStr">
        <is>
          <t>72723652.0</t>
        </is>
      </c>
      <c r="P856" s="29" t="inlineStr">
        <is>
          <t>KRW</t>
        </is>
      </c>
      <c r="Q856" s="29" t="inlineStr">
        <is>
          <t>14</t>
        </is>
      </c>
    </row>
    <row r="857" ht="24" customHeight="1">
      <c r="A857" s="24" t="inlineStr">
        <is>
          <t>OpenDART_fnlttSinglAcntAll</t>
        </is>
      </c>
      <c r="B857" s="24" t="inlineStr">
        <is>
          <t>00161383</t>
        </is>
      </c>
      <c r="C857" s="24" t="inlineStr">
        <is>
          <t>한미반도체</t>
        </is>
      </c>
      <c r="D857" s="24" t="inlineStr">
        <is>
          <t>hanmi</t>
        </is>
      </c>
      <c r="E857" s="24" t="inlineStr">
        <is>
          <t>042700</t>
        </is>
      </c>
      <c r="F857" s="24" t="inlineStr">
        <is>
          <t>2024</t>
        </is>
      </c>
      <c r="G857" s="24" t="inlineStr">
        <is>
          <t>CFS</t>
        </is>
      </c>
      <c r="H857" s="24" t="inlineStr">
        <is>
          <t>SCE</t>
        </is>
      </c>
      <c r="I857" s="24" t="inlineStr">
        <is>
          <t>자본변동표</t>
        </is>
      </c>
      <c r="J857" s="24" t="inlineStr">
        <is>
          <t>ifrs-full_GainsLossesOnExchangeDifferencesOnTranslationNetOfTax</t>
        </is>
      </c>
      <c r="K857" s="24" t="inlineStr">
        <is>
          <t>해외사업장환산외환차이(세후기타포괄손익)</t>
        </is>
      </c>
      <c r="L857" s="24" t="inlineStr">
        <is>
          <t>자본 [구성요소]|지배기업의 소유주에게 귀속되는 지분 [구성요소]|기타포괄손익누계액 [구성요소]</t>
        </is>
      </c>
      <c r="M857" s="24" t="inlineStr">
        <is>
          <t>제 45 기</t>
        </is>
      </c>
      <c r="N857" s="24" t="inlineStr">
        <is>
          <t>240631470.0</t>
        </is>
      </c>
      <c r="O857" s="24" t="inlineStr">
        <is>
          <t>72723652.0</t>
        </is>
      </c>
      <c r="P857" s="24" t="inlineStr">
        <is>
          <t>KRW</t>
        </is>
      </c>
      <c r="Q857" s="24" t="inlineStr">
        <is>
          <t>14</t>
        </is>
      </c>
    </row>
    <row r="858" ht="24" customHeight="1">
      <c r="A858" s="29" t="inlineStr">
        <is>
          <t>OpenDART_fnlttSinglAcntAll</t>
        </is>
      </c>
      <c r="B858" s="29" t="inlineStr">
        <is>
          <t>00161383</t>
        </is>
      </c>
      <c r="C858" s="29" t="inlineStr">
        <is>
          <t>한미반도체</t>
        </is>
      </c>
      <c r="D858" s="29" t="inlineStr">
        <is>
          <t>hanmi</t>
        </is>
      </c>
      <c r="E858" s="29" t="inlineStr">
        <is>
          <t>042700</t>
        </is>
      </c>
      <c r="F858" s="29" t="inlineStr">
        <is>
          <t>2024</t>
        </is>
      </c>
      <c r="G858" s="29" t="inlineStr">
        <is>
          <t>CFS</t>
        </is>
      </c>
      <c r="H858" s="29" t="inlineStr">
        <is>
          <t>SCE</t>
        </is>
      </c>
      <c r="I858" s="29" t="inlineStr">
        <is>
          <t>자본변동표</t>
        </is>
      </c>
      <c r="J858" s="29" t="inlineStr">
        <is>
          <t>ifrs-full_OtherComprehensiveIncomeNetOfTaxGainsLossesOnRemeasurementsOfDefinedBenefitPlans</t>
        </is>
      </c>
      <c r="K858" s="29" t="inlineStr">
        <is>
          <t>확정급여제도의 재측정손익(세후기타포괄손익)</t>
        </is>
      </c>
      <c r="L858" s="29" t="inlineStr">
        <is>
          <t>자본 [구성요소]|지배기업의 소유주에게 귀속되는 지분 [구성요소]</t>
        </is>
      </c>
      <c r="M858" s="29" t="inlineStr">
        <is>
          <t>제 45 기</t>
        </is>
      </c>
      <c r="N858" s="29" t="inlineStr">
        <is>
          <t>-2354788285.0</t>
        </is>
      </c>
      <c r="O858" s="29" t="inlineStr">
        <is>
          <t>-55075378.0</t>
        </is>
      </c>
      <c r="P858" s="29" t="inlineStr">
        <is>
          <t>KRW</t>
        </is>
      </c>
      <c r="Q858" s="29" t="inlineStr">
        <is>
          <t>15</t>
        </is>
      </c>
    </row>
    <row r="859" ht="24" customHeight="1">
      <c r="A859" s="24" t="inlineStr">
        <is>
          <t>OpenDART_fnlttSinglAcntAll</t>
        </is>
      </c>
      <c r="B859" s="24" t="inlineStr">
        <is>
          <t>00161383</t>
        </is>
      </c>
      <c r="C859" s="24" t="inlineStr">
        <is>
          <t>한미반도체</t>
        </is>
      </c>
      <c r="D859" s="24" t="inlineStr">
        <is>
          <t>hanmi</t>
        </is>
      </c>
      <c r="E859" s="24" t="inlineStr">
        <is>
          <t>042700</t>
        </is>
      </c>
      <c r="F859" s="24" t="inlineStr">
        <is>
          <t>2024</t>
        </is>
      </c>
      <c r="G859" s="24" t="inlineStr">
        <is>
          <t>CFS</t>
        </is>
      </c>
      <c r="H859" s="24" t="inlineStr">
        <is>
          <t>SCE</t>
        </is>
      </c>
      <c r="I859" s="24" t="inlineStr">
        <is>
          <t>자본변동표</t>
        </is>
      </c>
      <c r="J859" s="24" t="inlineStr">
        <is>
          <t>ifrs-full_OtherComprehensiveIncomeNetOfTaxGainsLossesOnRemeasurementsOfDefinedBenefitPlans</t>
        </is>
      </c>
      <c r="K859" s="24" t="inlineStr">
        <is>
          <t>확정급여제도의 재측정손익(세후기타포괄손익)</t>
        </is>
      </c>
      <c r="L859" s="24" t="inlineStr">
        <is>
          <t>연결재무제표 [member]</t>
        </is>
      </c>
      <c r="M859" s="24" t="inlineStr">
        <is>
          <t>제 45 기</t>
        </is>
      </c>
      <c r="N859" s="24" t="inlineStr">
        <is>
          <t>-2354788285.0</t>
        </is>
      </c>
      <c r="O859" s="24" t="inlineStr">
        <is>
          <t>-55075378.0</t>
        </is>
      </c>
      <c r="P859" s="24" t="inlineStr">
        <is>
          <t>KRW</t>
        </is>
      </c>
      <c r="Q859" s="24" t="inlineStr">
        <is>
          <t>15</t>
        </is>
      </c>
    </row>
    <row r="860" ht="24" customHeight="1">
      <c r="A860" s="29" t="inlineStr">
        <is>
          <t>OpenDART_fnlttSinglAcntAll</t>
        </is>
      </c>
      <c r="B860" s="29" t="inlineStr">
        <is>
          <t>00161383</t>
        </is>
      </c>
      <c r="C860" s="29" t="inlineStr">
        <is>
          <t>한미반도체</t>
        </is>
      </c>
      <c r="D860" s="29" t="inlineStr">
        <is>
          <t>hanmi</t>
        </is>
      </c>
      <c r="E860" s="29" t="inlineStr">
        <is>
          <t>042700</t>
        </is>
      </c>
      <c r="F860" s="29" t="inlineStr">
        <is>
          <t>2024</t>
        </is>
      </c>
      <c r="G860" s="29" t="inlineStr">
        <is>
          <t>CFS</t>
        </is>
      </c>
      <c r="H860" s="29" t="inlineStr">
        <is>
          <t>SCE</t>
        </is>
      </c>
      <c r="I860" s="29" t="inlineStr">
        <is>
          <t>자본변동표</t>
        </is>
      </c>
      <c r="J860" s="29" t="inlineStr">
        <is>
          <t>ifrs-full_OtherComprehensiveIncomeNetOfTaxGainsLossesOnRemeasurementsOfDefinedBenefitPlans</t>
        </is>
      </c>
      <c r="K860" s="29" t="inlineStr">
        <is>
          <t>확정급여제도의 재측정손익(세후기타포괄손익)</t>
        </is>
      </c>
      <c r="L860" s="29" t="inlineStr">
        <is>
          <t>자본 [구성요소]|지배기업의 소유주에게 귀속되는 지분 [구성요소]|이익잉여금 [구성요소]</t>
        </is>
      </c>
      <c r="M860" s="29" t="inlineStr">
        <is>
          <t>제 45 기</t>
        </is>
      </c>
      <c r="N860" s="29" t="inlineStr">
        <is>
          <t>-2354788285.0</t>
        </is>
      </c>
      <c r="O860" s="29" t="inlineStr">
        <is>
          <t>-55075378.0</t>
        </is>
      </c>
      <c r="P860" s="29" t="inlineStr">
        <is>
          <t>KRW</t>
        </is>
      </c>
      <c r="Q860" s="29" t="inlineStr">
        <is>
          <t>15</t>
        </is>
      </c>
    </row>
    <row r="861" ht="24" customHeight="1">
      <c r="A861" s="24" t="inlineStr">
        <is>
          <t>OpenDART_fnlttSinglAcntAll</t>
        </is>
      </c>
      <c r="B861" s="24" t="inlineStr">
        <is>
          <t>00161383</t>
        </is>
      </c>
      <c r="C861" s="24" t="inlineStr">
        <is>
          <t>한미반도체</t>
        </is>
      </c>
      <c r="D861" s="24" t="inlineStr">
        <is>
          <t>hanmi</t>
        </is>
      </c>
      <c r="E861" s="24" t="inlineStr">
        <is>
          <t>042700</t>
        </is>
      </c>
      <c r="F861" s="24" t="inlineStr">
        <is>
          <t>2024</t>
        </is>
      </c>
      <c r="G861" s="24" t="inlineStr">
        <is>
          <t>CFS</t>
        </is>
      </c>
      <c r="H861" s="24" t="inlineStr">
        <is>
          <t>SCE</t>
        </is>
      </c>
      <c r="I861" s="24" t="inlineStr">
        <is>
          <t>자본변동표</t>
        </is>
      </c>
      <c r="J861" s="24" t="inlineStr">
        <is>
          <t>ifrs-full_ShareOfOtherComprehensiveIncomeOfAssociatesAndJointVenturesAccountedForUsingEquityMethodThatWillBeReclassifiedToProfitOrLossNetOfTax</t>
        </is>
      </c>
      <c r="K861" s="24" t="inlineStr">
        <is>
          <t>지분법 적용대상 관계기업과 공동기업의 기타포괄손익에 대한 지분(세후기타포괄손익)</t>
        </is>
      </c>
      <c r="L861" s="24" t="inlineStr">
        <is>
          <t>자본 [구성요소]|지배기업의 소유주에게 귀속되는 지분 [구성요소]|기타포괄손익누계액 [구성요소]</t>
        </is>
      </c>
      <c r="M861" s="24" t="inlineStr">
        <is>
          <t>제 45 기</t>
        </is>
      </c>
      <c r="N861" s="24" t="inlineStr">
        <is>
          <t>해당 없음</t>
        </is>
      </c>
      <c r="O861" s="24" t="inlineStr">
        <is>
          <t>-768949133.0</t>
        </is>
      </c>
      <c r="P861" s="24" t="inlineStr">
        <is>
          <t>KRW</t>
        </is>
      </c>
      <c r="Q861" s="24" t="inlineStr">
        <is>
          <t>16</t>
        </is>
      </c>
    </row>
    <row r="862" ht="24" customHeight="1">
      <c r="A862" s="29" t="inlineStr">
        <is>
          <t>OpenDART_fnlttSinglAcntAll</t>
        </is>
      </c>
      <c r="B862" s="29" t="inlineStr">
        <is>
          <t>00161383</t>
        </is>
      </c>
      <c r="C862" s="29" t="inlineStr">
        <is>
          <t>한미반도체</t>
        </is>
      </c>
      <c r="D862" s="29" t="inlineStr">
        <is>
          <t>hanmi</t>
        </is>
      </c>
      <c r="E862" s="29" t="inlineStr">
        <is>
          <t>042700</t>
        </is>
      </c>
      <c r="F862" s="29" t="inlineStr">
        <is>
          <t>2024</t>
        </is>
      </c>
      <c r="G862" s="29" t="inlineStr">
        <is>
          <t>CFS</t>
        </is>
      </c>
      <c r="H862" s="29" t="inlineStr">
        <is>
          <t>SCE</t>
        </is>
      </c>
      <c r="I862" s="29" t="inlineStr">
        <is>
          <t>자본변동표</t>
        </is>
      </c>
      <c r="J862" s="29" t="inlineStr">
        <is>
          <t>ifrs-full_ShareOfOtherComprehensiveIncomeOfAssociatesAndJointVenturesAccountedForUsingEquityMethodThatWillBeReclassifiedToProfitOrLossNetOfTax</t>
        </is>
      </c>
      <c r="K862" s="29" t="inlineStr">
        <is>
          <t>지분법 적용대상 관계기업과 공동기업의 기타포괄손익에 대한 지분(세후기타포괄손익)</t>
        </is>
      </c>
      <c r="L862" s="29" t="inlineStr">
        <is>
          <t>연결재무제표 [member]</t>
        </is>
      </c>
      <c r="M862" s="29" t="inlineStr">
        <is>
          <t>제 45 기</t>
        </is>
      </c>
      <c r="N862" s="29" t="inlineStr">
        <is>
          <t>해당 없음</t>
        </is>
      </c>
      <c r="O862" s="29" t="inlineStr">
        <is>
          <t>-768949133.0</t>
        </is>
      </c>
      <c r="P862" s="29" t="inlineStr">
        <is>
          <t>KRW</t>
        </is>
      </c>
      <c r="Q862" s="29" t="inlineStr">
        <is>
          <t>16</t>
        </is>
      </c>
    </row>
    <row r="863" ht="24" customHeight="1">
      <c r="A863" s="24" t="inlineStr">
        <is>
          <t>OpenDART_fnlttSinglAcntAll</t>
        </is>
      </c>
      <c r="B863" s="24" t="inlineStr">
        <is>
          <t>00161383</t>
        </is>
      </c>
      <c r="C863" s="24" t="inlineStr">
        <is>
          <t>한미반도체</t>
        </is>
      </c>
      <c r="D863" s="24" t="inlineStr">
        <is>
          <t>hanmi</t>
        </is>
      </c>
      <c r="E863" s="24" t="inlineStr">
        <is>
          <t>042700</t>
        </is>
      </c>
      <c r="F863" s="24" t="inlineStr">
        <is>
          <t>2024</t>
        </is>
      </c>
      <c r="G863" s="24" t="inlineStr">
        <is>
          <t>CFS</t>
        </is>
      </c>
      <c r="H863" s="24" t="inlineStr">
        <is>
          <t>SCE</t>
        </is>
      </c>
      <c r="I863" s="24" t="inlineStr">
        <is>
          <t>자본변동표</t>
        </is>
      </c>
      <c r="J863" s="24" t="inlineStr">
        <is>
          <t>ifrs-full_ShareOfOtherComprehensiveIncomeOfAssociatesAndJointVenturesAccountedForUsingEquityMethodThatWillBeReclassifiedToProfitOrLossNetOfTax</t>
        </is>
      </c>
      <c r="K863" s="24" t="inlineStr">
        <is>
          <t>지분법 적용대상 관계기업과 공동기업의 기타포괄손익에 대한 지분(세후기타포괄손익)</t>
        </is>
      </c>
      <c r="L863" s="24" t="inlineStr">
        <is>
          <t>자본 [구성요소]|지배기업의 소유주에게 귀속되는 지분 [구성요소]</t>
        </is>
      </c>
      <c r="M863" s="24" t="inlineStr">
        <is>
          <t>제 45 기</t>
        </is>
      </c>
      <c r="N863" s="24" t="inlineStr">
        <is>
          <t>해당 없음</t>
        </is>
      </c>
      <c r="O863" s="24" t="inlineStr">
        <is>
          <t>-768949133.0</t>
        </is>
      </c>
      <c r="P863" s="24" t="inlineStr">
        <is>
          <t>KRW</t>
        </is>
      </c>
      <c r="Q863" s="24" t="inlineStr">
        <is>
          <t>16</t>
        </is>
      </c>
    </row>
    <row r="864" ht="24" customHeight="1">
      <c r="A864" s="29" t="inlineStr">
        <is>
          <t>OpenDART_fnlttSinglAcntAll</t>
        </is>
      </c>
      <c r="B864" s="29" t="inlineStr">
        <is>
          <t>00161383</t>
        </is>
      </c>
      <c r="C864" s="29" t="inlineStr">
        <is>
          <t>한미반도체</t>
        </is>
      </c>
      <c r="D864" s="29" t="inlineStr">
        <is>
          <t>hanmi</t>
        </is>
      </c>
      <c r="E864" s="29" t="inlineStr">
        <is>
          <t>042700</t>
        </is>
      </c>
      <c r="F864" s="29" t="inlineStr">
        <is>
          <t>2024</t>
        </is>
      </c>
      <c r="G864" s="29" t="inlineStr">
        <is>
          <t>CFS</t>
        </is>
      </c>
      <c r="H864" s="29" t="inlineStr">
        <is>
          <t>SCE</t>
        </is>
      </c>
      <c r="I864" s="29" t="inlineStr">
        <is>
          <t>자본변동표</t>
        </is>
      </c>
      <c r="J864" s="29" t="inlineStr">
        <is>
          <t>ifrs-full_ProfitLoss</t>
        </is>
      </c>
      <c r="K864" s="29" t="inlineStr">
        <is>
          <t>당기순이익(손실)</t>
        </is>
      </c>
      <c r="L864" s="29" t="inlineStr">
        <is>
          <t>연결재무제표 [member]</t>
        </is>
      </c>
      <c r="M864" s="29" t="inlineStr">
        <is>
          <t>제 45 기</t>
        </is>
      </c>
      <c r="N864" s="29" t="inlineStr">
        <is>
          <t>152614498001.0</t>
        </is>
      </c>
      <c r="O864" s="29" t="inlineStr">
        <is>
          <t>267167515858.0</t>
        </is>
      </c>
      <c r="P864" s="29" t="inlineStr">
        <is>
          <t>KRW</t>
        </is>
      </c>
      <c r="Q864" s="29" t="inlineStr">
        <is>
          <t>17</t>
        </is>
      </c>
    </row>
    <row r="865" ht="24" customHeight="1">
      <c r="A865" s="24" t="inlineStr">
        <is>
          <t>OpenDART_fnlttSinglAcntAll</t>
        </is>
      </c>
      <c r="B865" s="24" t="inlineStr">
        <is>
          <t>00161383</t>
        </is>
      </c>
      <c r="C865" s="24" t="inlineStr">
        <is>
          <t>한미반도체</t>
        </is>
      </c>
      <c r="D865" s="24" t="inlineStr">
        <is>
          <t>hanmi</t>
        </is>
      </c>
      <c r="E865" s="24" t="inlineStr">
        <is>
          <t>042700</t>
        </is>
      </c>
      <c r="F865" s="24" t="inlineStr">
        <is>
          <t>2024</t>
        </is>
      </c>
      <c r="G865" s="24" t="inlineStr">
        <is>
          <t>CFS</t>
        </is>
      </c>
      <c r="H865" s="24" t="inlineStr">
        <is>
          <t>SCE</t>
        </is>
      </c>
      <c r="I865" s="24" t="inlineStr">
        <is>
          <t>자본변동표</t>
        </is>
      </c>
      <c r="J865" s="24" t="inlineStr">
        <is>
          <t>ifrs-full_ProfitLoss</t>
        </is>
      </c>
      <c r="K865" s="24" t="inlineStr">
        <is>
          <t>당기순이익(손실)</t>
        </is>
      </c>
      <c r="L865" s="24" t="inlineStr">
        <is>
          <t>자본 [구성요소]|지배기업의 소유주에게 귀속되는 지분 [구성요소]</t>
        </is>
      </c>
      <c r="M865" s="24" t="inlineStr">
        <is>
          <t>제 45 기</t>
        </is>
      </c>
      <c r="N865" s="24" t="inlineStr">
        <is>
          <t>152614498001.0</t>
        </is>
      </c>
      <c r="O865" s="24" t="inlineStr">
        <is>
          <t>267167515858.0</t>
        </is>
      </c>
      <c r="P865" s="24" t="inlineStr">
        <is>
          <t>KRW</t>
        </is>
      </c>
      <c r="Q865" s="24" t="inlineStr">
        <is>
          <t>17</t>
        </is>
      </c>
    </row>
    <row r="866" ht="24" customHeight="1">
      <c r="A866" s="29" t="inlineStr">
        <is>
          <t>OpenDART_fnlttSinglAcntAll</t>
        </is>
      </c>
      <c r="B866" s="29" t="inlineStr">
        <is>
          <t>00161383</t>
        </is>
      </c>
      <c r="C866" s="29" t="inlineStr">
        <is>
          <t>한미반도체</t>
        </is>
      </c>
      <c r="D866" s="29" t="inlineStr">
        <is>
          <t>hanmi</t>
        </is>
      </c>
      <c r="E866" s="29" t="inlineStr">
        <is>
          <t>042700</t>
        </is>
      </c>
      <c r="F866" s="29" t="inlineStr">
        <is>
          <t>2024</t>
        </is>
      </c>
      <c r="G866" s="29" t="inlineStr">
        <is>
          <t>CFS</t>
        </is>
      </c>
      <c r="H866" s="29" t="inlineStr">
        <is>
          <t>SCE</t>
        </is>
      </c>
      <c r="I866" s="29" t="inlineStr">
        <is>
          <t>자본변동표</t>
        </is>
      </c>
      <c r="J866" s="29" t="inlineStr">
        <is>
          <t>ifrs-full_ProfitLoss</t>
        </is>
      </c>
      <c r="K866" s="29" t="inlineStr">
        <is>
          <t>당기순이익(손실)</t>
        </is>
      </c>
      <c r="L866" s="29" t="inlineStr">
        <is>
          <t>자본 [구성요소]|지배기업의 소유주에게 귀속되는 지분 [구성요소]|이익잉여금 [구성요소]</t>
        </is>
      </c>
      <c r="M866" s="29" t="inlineStr">
        <is>
          <t>제 45 기</t>
        </is>
      </c>
      <c r="N866" s="29" t="inlineStr">
        <is>
          <t>152614498001.0</t>
        </is>
      </c>
      <c r="O866" s="29" t="inlineStr">
        <is>
          <t>267167515858.0</t>
        </is>
      </c>
      <c r="P866" s="29" t="inlineStr">
        <is>
          <t>KRW</t>
        </is>
      </c>
      <c r="Q866" s="29" t="inlineStr">
        <is>
          <t>17</t>
        </is>
      </c>
    </row>
    <row r="867" ht="24" customHeight="1">
      <c r="A867" s="24" t="inlineStr">
        <is>
          <t>OpenDART_fnlttSinglAcntAll</t>
        </is>
      </c>
      <c r="B867" s="24" t="inlineStr">
        <is>
          <t>00161383</t>
        </is>
      </c>
      <c r="C867" s="24" t="inlineStr">
        <is>
          <t>한미반도체</t>
        </is>
      </c>
      <c r="D867" s="24" t="inlineStr">
        <is>
          <t>hanmi</t>
        </is>
      </c>
      <c r="E867" s="24" t="inlineStr">
        <is>
          <t>042700</t>
        </is>
      </c>
      <c r="F867" s="24" t="inlineStr">
        <is>
          <t>2024</t>
        </is>
      </c>
      <c r="G867" s="24" t="inlineStr">
        <is>
          <t>CFS</t>
        </is>
      </c>
      <c r="H867" s="24" t="inlineStr">
        <is>
          <t>SCE</t>
        </is>
      </c>
      <c r="I867" s="24" t="inlineStr">
        <is>
          <t>자본변동표</t>
        </is>
      </c>
      <c r="J867" s="24" t="inlineStr">
        <is>
          <t>ifrs-full_PurchaseOfTreasuryShares</t>
        </is>
      </c>
      <c r="K867" s="24" t="inlineStr">
        <is>
          <t>자기주식의 취득</t>
        </is>
      </c>
      <c r="L867" s="24" t="inlineStr">
        <is>
          <t>연결재무제표 [member]</t>
        </is>
      </c>
      <c r="M867" s="24" t="inlineStr">
        <is>
          <t>제 45 기</t>
        </is>
      </c>
      <c r="N867" s="24" t="inlineStr">
        <is>
          <t>191903694800.0</t>
        </is>
      </c>
      <c r="O867" s="24" t="inlineStr">
        <is>
          <t>50503615450.0</t>
        </is>
      </c>
      <c r="P867" s="24" t="inlineStr">
        <is>
          <t>KRW</t>
        </is>
      </c>
      <c r="Q867" s="24" t="inlineStr">
        <is>
          <t>18</t>
        </is>
      </c>
    </row>
    <row r="868" ht="24" customHeight="1">
      <c r="A868" s="29" t="inlineStr">
        <is>
          <t>OpenDART_fnlttSinglAcntAll</t>
        </is>
      </c>
      <c r="B868" s="29" t="inlineStr">
        <is>
          <t>00161383</t>
        </is>
      </c>
      <c r="C868" s="29" t="inlineStr">
        <is>
          <t>한미반도체</t>
        </is>
      </c>
      <c r="D868" s="29" t="inlineStr">
        <is>
          <t>hanmi</t>
        </is>
      </c>
      <c r="E868" s="29" t="inlineStr">
        <is>
          <t>042700</t>
        </is>
      </c>
      <c r="F868" s="29" t="inlineStr">
        <is>
          <t>2024</t>
        </is>
      </c>
      <c r="G868" s="29" t="inlineStr">
        <is>
          <t>CFS</t>
        </is>
      </c>
      <c r="H868" s="29" t="inlineStr">
        <is>
          <t>SCE</t>
        </is>
      </c>
      <c r="I868" s="29" t="inlineStr">
        <is>
          <t>자본변동표</t>
        </is>
      </c>
      <c r="J868" s="29" t="inlineStr">
        <is>
          <t>ifrs-full_PurchaseOfTreasuryShares</t>
        </is>
      </c>
      <c r="K868" s="29" t="inlineStr">
        <is>
          <t>자기주식의 취득</t>
        </is>
      </c>
      <c r="L868" s="29" t="inlineStr">
        <is>
          <t>자본 [구성요소]|지배기업의 소유주에게 귀속되는 지분 [구성요소]</t>
        </is>
      </c>
      <c r="M868" s="29" t="inlineStr">
        <is>
          <t>제 45 기</t>
        </is>
      </c>
      <c r="N868" s="29" t="inlineStr">
        <is>
          <t>191903694800.0</t>
        </is>
      </c>
      <c r="O868" s="29" t="inlineStr">
        <is>
          <t>50503615450.0</t>
        </is>
      </c>
      <c r="P868" s="29" t="inlineStr">
        <is>
          <t>KRW</t>
        </is>
      </c>
      <c r="Q868" s="29" t="inlineStr">
        <is>
          <t>18</t>
        </is>
      </c>
    </row>
    <row r="869" ht="24" customHeight="1">
      <c r="A869" s="24" t="inlineStr">
        <is>
          <t>OpenDART_fnlttSinglAcntAll</t>
        </is>
      </c>
      <c r="B869" s="24" t="inlineStr">
        <is>
          <t>00161383</t>
        </is>
      </c>
      <c r="C869" s="24" t="inlineStr">
        <is>
          <t>한미반도체</t>
        </is>
      </c>
      <c r="D869" s="24" t="inlineStr">
        <is>
          <t>hanmi</t>
        </is>
      </c>
      <c r="E869" s="24" t="inlineStr">
        <is>
          <t>042700</t>
        </is>
      </c>
      <c r="F869" s="24" t="inlineStr">
        <is>
          <t>2024</t>
        </is>
      </c>
      <c r="G869" s="24" t="inlineStr">
        <is>
          <t>CFS</t>
        </is>
      </c>
      <c r="H869" s="24" t="inlineStr">
        <is>
          <t>SCE</t>
        </is>
      </c>
      <c r="I869" s="24" t="inlineStr">
        <is>
          <t>자본변동표</t>
        </is>
      </c>
      <c r="J869" s="24" t="inlineStr">
        <is>
          <t>ifrs-full_PurchaseOfTreasuryShares</t>
        </is>
      </c>
      <c r="K869" s="24" t="inlineStr">
        <is>
          <t>자기주식의 취득</t>
        </is>
      </c>
      <c r="L869" s="24" t="inlineStr">
        <is>
          <t>자본 [구성요소]|지배기업의 소유주에게 귀속되는 지분 [구성요소]|기타자본구성요소 [구성요소]</t>
        </is>
      </c>
      <c r="M869" s="24" t="inlineStr">
        <is>
          <t>제 45 기</t>
        </is>
      </c>
      <c r="N869" s="24" t="inlineStr">
        <is>
          <t>191903694800.0</t>
        </is>
      </c>
      <c r="O869" s="24" t="inlineStr">
        <is>
          <t>50503615450.0</t>
        </is>
      </c>
      <c r="P869" s="24" t="inlineStr">
        <is>
          <t>KRW</t>
        </is>
      </c>
      <c r="Q869" s="24" t="inlineStr">
        <is>
          <t>18</t>
        </is>
      </c>
    </row>
    <row r="870" ht="24" customHeight="1">
      <c r="A870" s="29" t="inlineStr">
        <is>
          <t>OpenDART_fnlttSinglAcntAll</t>
        </is>
      </c>
      <c r="B870" s="29" t="inlineStr">
        <is>
          <t>00161383</t>
        </is>
      </c>
      <c r="C870" s="29" t="inlineStr">
        <is>
          <t>한미반도체</t>
        </is>
      </c>
      <c r="D870" s="29" t="inlineStr">
        <is>
          <t>hanmi</t>
        </is>
      </c>
      <c r="E870" s="29" t="inlineStr">
        <is>
          <t>042700</t>
        </is>
      </c>
      <c r="F870" s="29" t="inlineStr">
        <is>
          <t>2024</t>
        </is>
      </c>
      <c r="G870" s="29" t="inlineStr">
        <is>
          <t>CFS</t>
        </is>
      </c>
      <c r="H870" s="29" t="inlineStr">
        <is>
          <t>SCE</t>
        </is>
      </c>
      <c r="I870" s="29" t="inlineStr">
        <is>
          <t>자본변동표</t>
        </is>
      </c>
      <c r="J870" s="29" t="inlineStr">
        <is>
          <t>ifrs-full_SaleOrIssueOfTreasuryShares</t>
        </is>
      </c>
      <c r="K870" s="29" t="inlineStr">
        <is>
          <t>자기주식의 처분 및 발행</t>
        </is>
      </c>
      <c r="L870" s="29" t="inlineStr">
        <is>
          <t>연결재무제표 [member]</t>
        </is>
      </c>
      <c r="M870" s="29" t="inlineStr">
        <is>
          <t>제 45 기</t>
        </is>
      </c>
      <c r="N870" s="29" t="inlineStr">
        <is>
          <t>해당 없음</t>
        </is>
      </c>
      <c r="O870" s="29" t="inlineStr">
        <is>
          <t>20532652450.0</t>
        </is>
      </c>
      <c r="P870" s="29" t="inlineStr">
        <is>
          <t>KRW</t>
        </is>
      </c>
      <c r="Q870" s="29" t="inlineStr">
        <is>
          <t>19</t>
        </is>
      </c>
    </row>
    <row r="871" ht="24" customHeight="1">
      <c r="A871" s="24" t="inlineStr">
        <is>
          <t>OpenDART_fnlttSinglAcntAll</t>
        </is>
      </c>
      <c r="B871" s="24" t="inlineStr">
        <is>
          <t>00161383</t>
        </is>
      </c>
      <c r="C871" s="24" t="inlineStr">
        <is>
          <t>한미반도체</t>
        </is>
      </c>
      <c r="D871" s="24" t="inlineStr">
        <is>
          <t>hanmi</t>
        </is>
      </c>
      <c r="E871" s="24" t="inlineStr">
        <is>
          <t>042700</t>
        </is>
      </c>
      <c r="F871" s="24" t="inlineStr">
        <is>
          <t>2024</t>
        </is>
      </c>
      <c r="G871" s="24" t="inlineStr">
        <is>
          <t>CFS</t>
        </is>
      </c>
      <c r="H871" s="24" t="inlineStr">
        <is>
          <t>SCE</t>
        </is>
      </c>
      <c r="I871" s="24" t="inlineStr">
        <is>
          <t>자본변동표</t>
        </is>
      </c>
      <c r="J871" s="24" t="inlineStr">
        <is>
          <t>ifrs-full_SaleOrIssueOfTreasuryShares</t>
        </is>
      </c>
      <c r="K871" s="24" t="inlineStr">
        <is>
          <t>자기주식의 처분 및 발행</t>
        </is>
      </c>
      <c r="L871" s="24" t="inlineStr">
        <is>
          <t>자본 [구성요소]|지배기업의 소유주에게 귀속되는 지분 [구성요소]</t>
        </is>
      </c>
      <c r="M871" s="24" t="inlineStr">
        <is>
          <t>제 45 기</t>
        </is>
      </c>
      <c r="N871" s="24" t="inlineStr">
        <is>
          <t>해당 없음</t>
        </is>
      </c>
      <c r="O871" s="24" t="inlineStr">
        <is>
          <t>20532652450.0</t>
        </is>
      </c>
      <c r="P871" s="24" t="inlineStr">
        <is>
          <t>KRW</t>
        </is>
      </c>
      <c r="Q871" s="24" t="inlineStr">
        <is>
          <t>19</t>
        </is>
      </c>
    </row>
    <row r="872" ht="24" customHeight="1">
      <c r="A872" s="29" t="inlineStr">
        <is>
          <t>OpenDART_fnlttSinglAcntAll</t>
        </is>
      </c>
      <c r="B872" s="29" t="inlineStr">
        <is>
          <t>00161383</t>
        </is>
      </c>
      <c r="C872" s="29" t="inlineStr">
        <is>
          <t>한미반도체</t>
        </is>
      </c>
      <c r="D872" s="29" t="inlineStr">
        <is>
          <t>hanmi</t>
        </is>
      </c>
      <c r="E872" s="29" t="inlineStr">
        <is>
          <t>042700</t>
        </is>
      </c>
      <c r="F872" s="29" t="inlineStr">
        <is>
          <t>2024</t>
        </is>
      </c>
      <c r="G872" s="29" t="inlineStr">
        <is>
          <t>CFS</t>
        </is>
      </c>
      <c r="H872" s="29" t="inlineStr">
        <is>
          <t>SCE</t>
        </is>
      </c>
      <c r="I872" s="29" t="inlineStr">
        <is>
          <t>자본변동표</t>
        </is>
      </c>
      <c r="J872" s="29" t="inlineStr">
        <is>
          <t>ifrs-full_SaleOrIssueOfTreasuryShares</t>
        </is>
      </c>
      <c r="K872" s="29" t="inlineStr">
        <is>
          <t>자기주식의 처분 및 발행</t>
        </is>
      </c>
      <c r="L872" s="29" t="inlineStr">
        <is>
          <t>자본 [구성요소]|지배기업의 소유주에게 귀속되는 지분 [구성요소]|기타자본구성요소 [구성요소]</t>
        </is>
      </c>
      <c r="M872" s="29" t="inlineStr">
        <is>
          <t>제 45 기</t>
        </is>
      </c>
      <c r="N872" s="29" t="inlineStr">
        <is>
          <t>해당 없음</t>
        </is>
      </c>
      <c r="O872" s="29" t="inlineStr">
        <is>
          <t>20532652450.0</t>
        </is>
      </c>
      <c r="P872" s="29" t="inlineStr">
        <is>
          <t>KRW</t>
        </is>
      </c>
      <c r="Q872" s="29" t="inlineStr">
        <is>
          <t>19</t>
        </is>
      </c>
    </row>
    <row r="873" ht="24" customHeight="1">
      <c r="A873" s="24" t="inlineStr">
        <is>
          <t>OpenDART_fnlttSinglAcntAll</t>
        </is>
      </c>
      <c r="B873" s="24" t="inlineStr">
        <is>
          <t>00161383</t>
        </is>
      </c>
      <c r="C873" s="24" t="inlineStr">
        <is>
          <t>한미반도체</t>
        </is>
      </c>
      <c r="D873" s="24" t="inlineStr">
        <is>
          <t>hanmi</t>
        </is>
      </c>
      <c r="E873" s="24" t="inlineStr">
        <is>
          <t>042700</t>
        </is>
      </c>
      <c r="F873" s="24" t="inlineStr">
        <is>
          <t>2025</t>
        </is>
      </c>
      <c r="G873" s="24" t="inlineStr">
        <is>
          <t>CFS</t>
        </is>
      </c>
      <c r="H873" s="24" t="inlineStr">
        <is>
          <t>BS</t>
        </is>
      </c>
      <c r="I873" s="24" t="inlineStr">
        <is>
          <t>재무상태표</t>
        </is>
      </c>
      <c r="J873" s="24" t="inlineStr">
        <is>
          <t>ifrs-full_Assets</t>
        </is>
      </c>
      <c r="K873" s="24" t="inlineStr">
        <is>
          <t>자산총계</t>
        </is>
      </c>
      <c r="L873" s="24" t="inlineStr">
        <is>
          <t>-</t>
        </is>
      </c>
      <c r="M873" s="24" t="inlineStr">
        <is>
          <t>제 46 기</t>
        </is>
      </c>
      <c r="N873" s="24" t="inlineStr">
        <is>
          <t>813331626120.0</t>
        </is>
      </c>
      <c r="O873" s="24" t="inlineStr">
        <is>
          <t>710872366678.0</t>
        </is>
      </c>
      <c r="P873" s="24" t="inlineStr">
        <is>
          <t>KRW</t>
        </is>
      </c>
      <c r="Q873" s="24" t="inlineStr">
        <is>
          <t>7</t>
        </is>
      </c>
    </row>
    <row r="874" ht="24" customHeight="1">
      <c r="A874" s="29" t="inlineStr">
        <is>
          <t>OpenDART_fnlttSinglAcntAll</t>
        </is>
      </c>
      <c r="B874" s="29" t="inlineStr">
        <is>
          <t>00161383</t>
        </is>
      </c>
      <c r="C874" s="29" t="inlineStr">
        <is>
          <t>한미반도체</t>
        </is>
      </c>
      <c r="D874" s="29" t="inlineStr">
        <is>
          <t>hanmi</t>
        </is>
      </c>
      <c r="E874" s="29" t="inlineStr">
        <is>
          <t>042700</t>
        </is>
      </c>
      <c r="F874" s="29" t="inlineStr">
        <is>
          <t>2025</t>
        </is>
      </c>
      <c r="G874" s="29" t="inlineStr">
        <is>
          <t>CFS</t>
        </is>
      </c>
      <c r="H874" s="29" t="inlineStr">
        <is>
          <t>BS</t>
        </is>
      </c>
      <c r="I874" s="29" t="inlineStr">
        <is>
          <t>재무상태표</t>
        </is>
      </c>
      <c r="J874" s="29" t="inlineStr">
        <is>
          <t>ifrs-full_CurrentAssets</t>
        </is>
      </c>
      <c r="K874" s="29" t="inlineStr">
        <is>
          <t>유동자산</t>
        </is>
      </c>
      <c r="L874" s="29" t="inlineStr">
        <is>
          <t>-</t>
        </is>
      </c>
      <c r="M874" s="29" t="inlineStr">
        <is>
          <t>제 46 기</t>
        </is>
      </c>
      <c r="N874" s="29" t="inlineStr">
        <is>
          <t>493274637718.0</t>
        </is>
      </c>
      <c r="O874" s="29" t="inlineStr">
        <is>
          <t>407791209288.0</t>
        </is>
      </c>
      <c r="P874" s="29" t="inlineStr">
        <is>
          <t>KRW</t>
        </is>
      </c>
      <c r="Q874" s="29" t="inlineStr">
        <is>
          <t>8</t>
        </is>
      </c>
    </row>
    <row r="875" ht="24" customHeight="1">
      <c r="A875" s="24" t="inlineStr">
        <is>
          <t>OpenDART_fnlttSinglAcntAll</t>
        </is>
      </c>
      <c r="B875" s="24" t="inlineStr">
        <is>
          <t>00161383</t>
        </is>
      </c>
      <c r="C875" s="24" t="inlineStr">
        <is>
          <t>한미반도체</t>
        </is>
      </c>
      <c r="D875" s="24" t="inlineStr">
        <is>
          <t>hanmi</t>
        </is>
      </c>
      <c r="E875" s="24" t="inlineStr">
        <is>
          <t>042700</t>
        </is>
      </c>
      <c r="F875" s="24" t="inlineStr">
        <is>
          <t>2025</t>
        </is>
      </c>
      <c r="G875" s="24" t="inlineStr">
        <is>
          <t>CFS</t>
        </is>
      </c>
      <c r="H875" s="24" t="inlineStr">
        <is>
          <t>BS</t>
        </is>
      </c>
      <c r="I875" s="24" t="inlineStr">
        <is>
          <t>재무상태표</t>
        </is>
      </c>
      <c r="J875" s="24" t="inlineStr">
        <is>
          <t>ifrs-full_CashAndCashEquivalents</t>
        </is>
      </c>
      <c r="K875" s="24" t="inlineStr">
        <is>
          <t>현금및현금성자산</t>
        </is>
      </c>
      <c r="L875" s="24" t="inlineStr">
        <is>
          <t>-</t>
        </is>
      </c>
      <c r="M875" s="24" t="inlineStr">
        <is>
          <t>제 46 기</t>
        </is>
      </c>
      <c r="N875" s="24" t="inlineStr">
        <is>
          <t>276235377529.0</t>
        </is>
      </c>
      <c r="O875" s="24" t="inlineStr">
        <is>
          <t>103966003566.0</t>
        </is>
      </c>
      <c r="P875" s="24" t="inlineStr">
        <is>
          <t>KRW</t>
        </is>
      </c>
      <c r="Q875" s="24" t="inlineStr">
        <is>
          <t>9</t>
        </is>
      </c>
    </row>
    <row r="876" ht="24" customHeight="1">
      <c r="A876" s="29" t="inlineStr">
        <is>
          <t>OpenDART_fnlttSinglAcntAll</t>
        </is>
      </c>
      <c r="B876" s="29" t="inlineStr">
        <is>
          <t>00161383</t>
        </is>
      </c>
      <c r="C876" s="29" t="inlineStr">
        <is>
          <t>한미반도체</t>
        </is>
      </c>
      <c r="D876" s="29" t="inlineStr">
        <is>
          <t>hanmi</t>
        </is>
      </c>
      <c r="E876" s="29" t="inlineStr">
        <is>
          <t>042700</t>
        </is>
      </c>
      <c r="F876" s="29" t="inlineStr">
        <is>
          <t>2025</t>
        </is>
      </c>
      <c r="G876" s="29" t="inlineStr">
        <is>
          <t>CFS</t>
        </is>
      </c>
      <c r="H876" s="29" t="inlineStr">
        <is>
          <t>BS</t>
        </is>
      </c>
      <c r="I876" s="29" t="inlineStr">
        <is>
          <t>재무상태표</t>
        </is>
      </c>
      <c r="J876" s="29" t="inlineStr">
        <is>
          <t>ifrs-full_CurrentTradeReceivables</t>
        </is>
      </c>
      <c r="K876" s="29" t="inlineStr">
        <is>
          <t>유동매출채권</t>
        </is>
      </c>
      <c r="L876" s="29" t="inlineStr">
        <is>
          <t>-</t>
        </is>
      </c>
      <c r="M876" s="29" t="inlineStr">
        <is>
          <t>제 46 기</t>
        </is>
      </c>
      <c r="N876" s="29" t="inlineStr">
        <is>
          <t>62375238496.0</t>
        </is>
      </c>
      <c r="O876" s="29" t="inlineStr">
        <is>
          <t>146876971415.0</t>
        </is>
      </c>
      <c r="P876" s="29" t="inlineStr">
        <is>
          <t>KRW</t>
        </is>
      </c>
      <c r="Q876" s="29" t="inlineStr">
        <is>
          <t>10</t>
        </is>
      </c>
    </row>
    <row r="877" ht="24" customHeight="1">
      <c r="A877" s="24" t="inlineStr">
        <is>
          <t>OpenDART_fnlttSinglAcntAll</t>
        </is>
      </c>
      <c r="B877" s="24" t="inlineStr">
        <is>
          <t>00161383</t>
        </is>
      </c>
      <c r="C877" s="24" t="inlineStr">
        <is>
          <t>한미반도체</t>
        </is>
      </c>
      <c r="D877" s="24" t="inlineStr">
        <is>
          <t>hanmi</t>
        </is>
      </c>
      <c r="E877" s="24" t="inlineStr">
        <is>
          <t>042700</t>
        </is>
      </c>
      <c r="F877" s="24" t="inlineStr">
        <is>
          <t>2025</t>
        </is>
      </c>
      <c r="G877" s="24" t="inlineStr">
        <is>
          <t>CFS</t>
        </is>
      </c>
      <c r="H877" s="24" t="inlineStr">
        <is>
          <t>BS</t>
        </is>
      </c>
      <c r="I877" s="24" t="inlineStr">
        <is>
          <t>재무상태표</t>
        </is>
      </c>
      <c r="J877" s="24" t="inlineStr">
        <is>
          <t>ifrs-full_Inventories</t>
        </is>
      </c>
      <c r="K877" s="24" t="inlineStr">
        <is>
          <t>유동재고자산</t>
        </is>
      </c>
      <c r="L877" s="24" t="inlineStr">
        <is>
          <t>-</t>
        </is>
      </c>
      <c r="M877" s="24" t="inlineStr">
        <is>
          <t>제 46 기</t>
        </is>
      </c>
      <c r="N877" s="24" t="inlineStr">
        <is>
          <t>150384035752.0</t>
        </is>
      </c>
      <c r="O877" s="24" t="inlineStr">
        <is>
          <t>153401207241.0</t>
        </is>
      </c>
      <c r="P877" s="24" t="inlineStr">
        <is>
          <t>KRW</t>
        </is>
      </c>
      <c r="Q877" s="24" t="inlineStr">
        <is>
          <t>11</t>
        </is>
      </c>
    </row>
    <row r="878" ht="24" customHeight="1">
      <c r="A878" s="29" t="inlineStr">
        <is>
          <t>OpenDART_fnlttSinglAcntAll</t>
        </is>
      </c>
      <c r="B878" s="29" t="inlineStr">
        <is>
          <t>00161383</t>
        </is>
      </c>
      <c r="C878" s="29" t="inlineStr">
        <is>
          <t>한미반도체</t>
        </is>
      </c>
      <c r="D878" s="29" t="inlineStr">
        <is>
          <t>hanmi</t>
        </is>
      </c>
      <c r="E878" s="29" t="inlineStr">
        <is>
          <t>042700</t>
        </is>
      </c>
      <c r="F878" s="29" t="inlineStr">
        <is>
          <t>2025</t>
        </is>
      </c>
      <c r="G878" s="29" t="inlineStr">
        <is>
          <t>CFS</t>
        </is>
      </c>
      <c r="H878" s="29" t="inlineStr">
        <is>
          <t>BS</t>
        </is>
      </c>
      <c r="I878" s="29" t="inlineStr">
        <is>
          <t>재무상태표</t>
        </is>
      </c>
      <c r="J878" s="29" t="inlineStr">
        <is>
          <t>ifrs-full_OtherCurrentAssets</t>
        </is>
      </c>
      <c r="K878" s="29" t="inlineStr">
        <is>
          <t>기타유동자산</t>
        </is>
      </c>
      <c r="L878" s="29" t="inlineStr">
        <is>
          <t>-</t>
        </is>
      </c>
      <c r="M878" s="29" t="inlineStr">
        <is>
          <t>제 46 기</t>
        </is>
      </c>
      <c r="N878" s="29" t="inlineStr">
        <is>
          <t>2659136525.0</t>
        </is>
      </c>
      <c r="O878" s="29" t="inlineStr">
        <is>
          <t>2467827147.0</t>
        </is>
      </c>
      <c r="P878" s="29" t="inlineStr">
        <is>
          <t>KRW</t>
        </is>
      </c>
      <c r="Q878" s="29" t="inlineStr">
        <is>
          <t>12</t>
        </is>
      </c>
    </row>
    <row r="879" ht="24" customHeight="1">
      <c r="A879" s="24" t="inlineStr">
        <is>
          <t>OpenDART_fnlttSinglAcntAll</t>
        </is>
      </c>
      <c r="B879" s="24" t="inlineStr">
        <is>
          <t>00161383</t>
        </is>
      </c>
      <c r="C879" s="24" t="inlineStr">
        <is>
          <t>한미반도체</t>
        </is>
      </c>
      <c r="D879" s="24" t="inlineStr">
        <is>
          <t>hanmi</t>
        </is>
      </c>
      <c r="E879" s="24" t="inlineStr">
        <is>
          <t>042700</t>
        </is>
      </c>
      <c r="F879" s="24" t="inlineStr">
        <is>
          <t>2025</t>
        </is>
      </c>
      <c r="G879" s="24" t="inlineStr">
        <is>
          <t>CFS</t>
        </is>
      </c>
      <c r="H879" s="24" t="inlineStr">
        <is>
          <t>BS</t>
        </is>
      </c>
      <c r="I879" s="24" t="inlineStr">
        <is>
          <t>재무상태표</t>
        </is>
      </c>
      <c r="J879" s="24" t="inlineStr">
        <is>
          <t>ifrs-full_OtherCurrentFinancialAssets</t>
        </is>
      </c>
      <c r="K879" s="24" t="inlineStr">
        <is>
          <t>기타유동금융자산</t>
        </is>
      </c>
      <c r="L879" s="24" t="inlineStr">
        <is>
          <t>-</t>
        </is>
      </c>
      <c r="M879" s="24" t="inlineStr">
        <is>
          <t>제 46 기</t>
        </is>
      </c>
      <c r="N879" s="24" t="inlineStr">
        <is>
          <t>1620849416.0</t>
        </is>
      </c>
      <c r="O879" s="24" t="inlineStr">
        <is>
          <t>1079199919.0</t>
        </is>
      </c>
      <c r="P879" s="24" t="inlineStr">
        <is>
          <t>KRW</t>
        </is>
      </c>
      <c r="Q879" s="24" t="inlineStr">
        <is>
          <t>13</t>
        </is>
      </c>
    </row>
    <row r="880" ht="24" customHeight="1">
      <c r="A880" s="29" t="inlineStr">
        <is>
          <t>OpenDART_fnlttSinglAcntAll</t>
        </is>
      </c>
      <c r="B880" s="29" t="inlineStr">
        <is>
          <t>00161383</t>
        </is>
      </c>
      <c r="C880" s="29" t="inlineStr">
        <is>
          <t>한미반도체</t>
        </is>
      </c>
      <c r="D880" s="29" t="inlineStr">
        <is>
          <t>hanmi</t>
        </is>
      </c>
      <c r="E880" s="29" t="inlineStr">
        <is>
          <t>042700</t>
        </is>
      </c>
      <c r="F880" s="29" t="inlineStr">
        <is>
          <t>2025</t>
        </is>
      </c>
      <c r="G880" s="29" t="inlineStr">
        <is>
          <t>CFS</t>
        </is>
      </c>
      <c r="H880" s="29" t="inlineStr">
        <is>
          <t>BS</t>
        </is>
      </c>
      <c r="I880" s="29" t="inlineStr">
        <is>
          <t>재무상태표</t>
        </is>
      </c>
      <c r="J880" s="29" t="inlineStr">
        <is>
          <t>ifrs-full_NoncurrentAssets</t>
        </is>
      </c>
      <c r="K880" s="29" t="inlineStr">
        <is>
          <t>비유동자산</t>
        </is>
      </c>
      <c r="L880" s="29" t="inlineStr">
        <is>
          <t>-</t>
        </is>
      </c>
      <c r="M880" s="29" t="inlineStr">
        <is>
          <t>제 46 기</t>
        </is>
      </c>
      <c r="N880" s="29" t="inlineStr">
        <is>
          <t>320056988402.0</t>
        </is>
      </c>
      <c r="O880" s="29" t="inlineStr">
        <is>
          <t>303081157390.0</t>
        </is>
      </c>
      <c r="P880" s="29" t="inlineStr">
        <is>
          <t>KRW</t>
        </is>
      </c>
      <c r="Q880" s="29" t="inlineStr">
        <is>
          <t>14</t>
        </is>
      </c>
    </row>
    <row r="881" ht="24" customHeight="1">
      <c r="A881" s="24" t="inlineStr">
        <is>
          <t>OpenDART_fnlttSinglAcntAll</t>
        </is>
      </c>
      <c r="B881" s="24" t="inlineStr">
        <is>
          <t>00161383</t>
        </is>
      </c>
      <c r="C881" s="24" t="inlineStr">
        <is>
          <t>한미반도체</t>
        </is>
      </c>
      <c r="D881" s="24" t="inlineStr">
        <is>
          <t>hanmi</t>
        </is>
      </c>
      <c r="E881" s="24" t="inlineStr">
        <is>
          <t>042700</t>
        </is>
      </c>
      <c r="F881" s="24" t="inlineStr">
        <is>
          <t>2025</t>
        </is>
      </c>
      <c r="G881" s="24" t="inlineStr">
        <is>
          <t>CFS</t>
        </is>
      </c>
      <c r="H881" s="24" t="inlineStr">
        <is>
          <t>BS</t>
        </is>
      </c>
      <c r="I881" s="24" t="inlineStr">
        <is>
          <t>재무상태표</t>
        </is>
      </c>
      <c r="J881" s="24" t="inlineStr">
        <is>
          <t>dart_EquitySecuritiesAtFairValueThroughProfitOrLoss</t>
        </is>
      </c>
      <c r="K881" s="24" t="inlineStr">
        <is>
          <t>기타투자자산</t>
        </is>
      </c>
      <c r="L881" s="24" t="inlineStr">
        <is>
          <t>-</t>
        </is>
      </c>
      <c r="M881" s="24" t="inlineStr">
        <is>
          <t>제 46 기</t>
        </is>
      </c>
      <c r="N881" s="24" t="inlineStr">
        <is>
          <t>12080856500.0</t>
        </is>
      </c>
      <c r="O881" s="24" t="inlineStr">
        <is>
          <t>100636884750.0</t>
        </is>
      </c>
      <c r="P881" s="24" t="inlineStr">
        <is>
          <t>KRW</t>
        </is>
      </c>
      <c r="Q881" s="24" t="inlineStr">
        <is>
          <t>15</t>
        </is>
      </c>
    </row>
    <row r="882" ht="24" customHeight="1">
      <c r="A882" s="29" t="inlineStr">
        <is>
          <t>OpenDART_fnlttSinglAcntAll</t>
        </is>
      </c>
      <c r="B882" s="29" t="inlineStr">
        <is>
          <t>00161383</t>
        </is>
      </c>
      <c r="C882" s="29" t="inlineStr">
        <is>
          <t>한미반도체</t>
        </is>
      </c>
      <c r="D882" s="29" t="inlineStr">
        <is>
          <t>hanmi</t>
        </is>
      </c>
      <c r="E882" s="29" t="inlineStr">
        <is>
          <t>042700</t>
        </is>
      </c>
      <c r="F882" s="29" t="inlineStr">
        <is>
          <t>2025</t>
        </is>
      </c>
      <c r="G882" s="29" t="inlineStr">
        <is>
          <t>CFS</t>
        </is>
      </c>
      <c r="H882" s="29" t="inlineStr">
        <is>
          <t>BS</t>
        </is>
      </c>
      <c r="I882" s="29" t="inlineStr">
        <is>
          <t>재무상태표</t>
        </is>
      </c>
      <c r="J882" s="29" t="inlineStr">
        <is>
          <t>dart_LongTermDepositsNotClassifiedAsCashEquivalents</t>
        </is>
      </c>
      <c r="K882" s="29" t="inlineStr">
        <is>
          <t>장기금융상품</t>
        </is>
      </c>
      <c r="L882" s="29" t="inlineStr">
        <is>
          <t>-</t>
        </is>
      </c>
      <c r="M882" s="29" t="inlineStr">
        <is>
          <t>제 46 기</t>
        </is>
      </c>
      <c r="N882" s="29" t="inlineStr">
        <is>
          <t>1026000.0</t>
        </is>
      </c>
      <c r="O882" s="29" t="inlineStr">
        <is>
          <t>3494400.0</t>
        </is>
      </c>
      <c r="P882" s="29" t="inlineStr">
        <is>
          <t>KRW</t>
        </is>
      </c>
      <c r="Q882" s="29" t="inlineStr">
        <is>
          <t>16</t>
        </is>
      </c>
    </row>
    <row r="883" ht="24" customHeight="1">
      <c r="A883" s="24" t="inlineStr">
        <is>
          <t>OpenDART_fnlttSinglAcntAll</t>
        </is>
      </c>
      <c r="B883" s="24" t="inlineStr">
        <is>
          <t>00161383</t>
        </is>
      </c>
      <c r="C883" s="24" t="inlineStr">
        <is>
          <t>한미반도체</t>
        </is>
      </c>
      <c r="D883" s="24" t="inlineStr">
        <is>
          <t>hanmi</t>
        </is>
      </c>
      <c r="E883" s="24" t="inlineStr">
        <is>
          <t>042700</t>
        </is>
      </c>
      <c r="F883" s="24" t="inlineStr">
        <is>
          <t>2025</t>
        </is>
      </c>
      <c r="G883" s="24" t="inlineStr">
        <is>
          <t>CFS</t>
        </is>
      </c>
      <c r="H883" s="24" t="inlineStr">
        <is>
          <t>BS</t>
        </is>
      </c>
      <c r="I883" s="24" t="inlineStr">
        <is>
          <t>재무상태표</t>
        </is>
      </c>
      <c r="J883" s="24" t="inlineStr">
        <is>
          <t>ifrs-full_DeferredTaxAssets</t>
        </is>
      </c>
      <c r="K883" s="24" t="inlineStr">
        <is>
          <t>이연법인세자산</t>
        </is>
      </c>
      <c r="L883" s="24" t="inlineStr">
        <is>
          <t>-</t>
        </is>
      </c>
      <c r="M883" s="24" t="inlineStr">
        <is>
          <t>제 46 기</t>
        </is>
      </c>
      <c r="N883" s="24" t="inlineStr">
        <is>
          <t>23340059049.0</t>
        </is>
      </c>
      <c r="O883" s="24" t="inlineStr">
        <is>
          <t>4824648.0</t>
        </is>
      </c>
      <c r="P883" s="24" t="inlineStr">
        <is>
          <t>KRW</t>
        </is>
      </c>
      <c r="Q883" s="24" t="inlineStr">
        <is>
          <t>17</t>
        </is>
      </c>
    </row>
    <row r="884" ht="24" customHeight="1">
      <c r="A884" s="29" t="inlineStr">
        <is>
          <t>OpenDART_fnlttSinglAcntAll</t>
        </is>
      </c>
      <c r="B884" s="29" t="inlineStr">
        <is>
          <t>00161383</t>
        </is>
      </c>
      <c r="C884" s="29" t="inlineStr">
        <is>
          <t>한미반도체</t>
        </is>
      </c>
      <c r="D884" s="29" t="inlineStr">
        <is>
          <t>hanmi</t>
        </is>
      </c>
      <c r="E884" s="29" t="inlineStr">
        <is>
          <t>042700</t>
        </is>
      </c>
      <c r="F884" s="29" t="inlineStr">
        <is>
          <t>2025</t>
        </is>
      </c>
      <c r="G884" s="29" t="inlineStr">
        <is>
          <t>CFS</t>
        </is>
      </c>
      <c r="H884" s="29" t="inlineStr">
        <is>
          <t>BS</t>
        </is>
      </c>
      <c r="I884" s="29" t="inlineStr">
        <is>
          <t>재무상태표</t>
        </is>
      </c>
      <c r="J884" s="29" t="inlineStr">
        <is>
          <t>ifrs-full_IntangibleAssetsOtherThanGoodwill</t>
        </is>
      </c>
      <c r="K884" s="29" t="inlineStr">
        <is>
          <t>영업권 이외의 무형자산</t>
        </is>
      </c>
      <c r="L884" s="29" t="inlineStr">
        <is>
          <t>-</t>
        </is>
      </c>
      <c r="M884" s="29" t="inlineStr">
        <is>
          <t>제 46 기</t>
        </is>
      </c>
      <c r="N884" s="29" t="inlineStr">
        <is>
          <t>23326987170.0</t>
        </is>
      </c>
      <c r="O884" s="29" t="inlineStr">
        <is>
          <t>4627653813.0</t>
        </is>
      </c>
      <c r="P884" s="29" t="inlineStr">
        <is>
          <t>KRW</t>
        </is>
      </c>
      <c r="Q884" s="29" t="inlineStr">
        <is>
          <t>18</t>
        </is>
      </c>
    </row>
    <row r="885" ht="24" customHeight="1">
      <c r="A885" s="24" t="inlineStr">
        <is>
          <t>OpenDART_fnlttSinglAcntAll</t>
        </is>
      </c>
      <c r="B885" s="24" t="inlineStr">
        <is>
          <t>00161383</t>
        </is>
      </c>
      <c r="C885" s="24" t="inlineStr">
        <is>
          <t>한미반도체</t>
        </is>
      </c>
      <c r="D885" s="24" t="inlineStr">
        <is>
          <t>hanmi</t>
        </is>
      </c>
      <c r="E885" s="24" t="inlineStr">
        <is>
          <t>042700</t>
        </is>
      </c>
      <c r="F885" s="24" t="inlineStr">
        <is>
          <t>2025</t>
        </is>
      </c>
      <c r="G885" s="24" t="inlineStr">
        <is>
          <t>CFS</t>
        </is>
      </c>
      <c r="H885" s="24" t="inlineStr">
        <is>
          <t>BS</t>
        </is>
      </c>
      <c r="I885" s="24" t="inlineStr">
        <is>
          <t>재무상태표</t>
        </is>
      </c>
      <c r="J885" s="24" t="inlineStr">
        <is>
          <t>ifrs-full_InvestmentAccountedForUsingEquityMethod</t>
        </is>
      </c>
      <c r="K885" s="24" t="inlineStr">
        <is>
          <t>지분법적용 투자지분</t>
        </is>
      </c>
      <c r="L885" s="24" t="inlineStr">
        <is>
          <t>-</t>
        </is>
      </c>
      <c r="M885" s="24" t="inlineStr">
        <is>
          <t>제 46 기</t>
        </is>
      </c>
      <c r="N885" s="24" t="inlineStr">
        <is>
          <t>9316336247.0</t>
        </is>
      </c>
      <c r="O885" s="24" t="inlineStr">
        <is>
          <t>12256436422.0</t>
        </is>
      </c>
      <c r="P885" s="24" t="inlineStr">
        <is>
          <t>KRW</t>
        </is>
      </c>
      <c r="Q885" s="24" t="inlineStr">
        <is>
          <t>19</t>
        </is>
      </c>
    </row>
    <row r="886" ht="24" customHeight="1">
      <c r="A886" s="29" t="inlineStr">
        <is>
          <t>OpenDART_fnlttSinglAcntAll</t>
        </is>
      </c>
      <c r="B886" s="29" t="inlineStr">
        <is>
          <t>00161383</t>
        </is>
      </c>
      <c r="C886" s="29" t="inlineStr">
        <is>
          <t>한미반도체</t>
        </is>
      </c>
      <c r="D886" s="29" t="inlineStr">
        <is>
          <t>hanmi</t>
        </is>
      </c>
      <c r="E886" s="29" t="inlineStr">
        <is>
          <t>042700</t>
        </is>
      </c>
      <c r="F886" s="29" t="inlineStr">
        <is>
          <t>2025</t>
        </is>
      </c>
      <c r="G886" s="29" t="inlineStr">
        <is>
          <t>CFS</t>
        </is>
      </c>
      <c r="H886" s="29" t="inlineStr">
        <is>
          <t>BS</t>
        </is>
      </c>
      <c r="I886" s="29" t="inlineStr">
        <is>
          <t>재무상태표</t>
        </is>
      </c>
      <c r="J886" s="29" t="inlineStr">
        <is>
          <t>ifrs-full_InvestmentProperty</t>
        </is>
      </c>
      <c r="K886" s="29" t="inlineStr">
        <is>
          <t>투자부동산</t>
        </is>
      </c>
      <c r="L886" s="29" t="inlineStr">
        <is>
          <t>-</t>
        </is>
      </c>
      <c r="M886" s="29" t="inlineStr">
        <is>
          <t>제 46 기</t>
        </is>
      </c>
      <c r="N886" s="29" t="inlineStr">
        <is>
          <t>8749874585.0</t>
        </is>
      </c>
      <c r="O886" s="29" t="inlineStr">
        <is>
          <t>8943602285.0</t>
        </is>
      </c>
      <c r="P886" s="29" t="inlineStr">
        <is>
          <t>KRW</t>
        </is>
      </c>
      <c r="Q886" s="29" t="inlineStr">
        <is>
          <t>20</t>
        </is>
      </c>
    </row>
    <row r="887" ht="24" customHeight="1">
      <c r="A887" s="24" t="inlineStr">
        <is>
          <t>OpenDART_fnlttSinglAcntAll</t>
        </is>
      </c>
      <c r="B887" s="24" t="inlineStr">
        <is>
          <t>00161383</t>
        </is>
      </c>
      <c r="C887" s="24" t="inlineStr">
        <is>
          <t>한미반도체</t>
        </is>
      </c>
      <c r="D887" s="24" t="inlineStr">
        <is>
          <t>hanmi</t>
        </is>
      </c>
      <c r="E887" s="24" t="inlineStr">
        <is>
          <t>042700</t>
        </is>
      </c>
      <c r="F887" s="24" t="inlineStr">
        <is>
          <t>2025</t>
        </is>
      </c>
      <c r="G887" s="24" t="inlineStr">
        <is>
          <t>CFS</t>
        </is>
      </c>
      <c r="H887" s="24" t="inlineStr">
        <is>
          <t>BS</t>
        </is>
      </c>
      <c r="I887" s="24" t="inlineStr">
        <is>
          <t>재무상태표</t>
        </is>
      </c>
      <c r="J887" s="24" t="inlineStr">
        <is>
          <t>ifrs-full_NoncurrentRecognisedAssetsDefinedBenefitPlan</t>
        </is>
      </c>
      <c r="K887" s="24" t="inlineStr">
        <is>
          <t>비유동 순확정급여자산</t>
        </is>
      </c>
      <c r="L887" s="24" t="inlineStr">
        <is>
          <t>-</t>
        </is>
      </c>
      <c r="M887" s="24" t="inlineStr">
        <is>
          <t>제 46 기</t>
        </is>
      </c>
      <c r="N887" s="24" t="inlineStr">
        <is>
          <t>3814860031.0</t>
        </is>
      </c>
      <c r="O887" s="24" t="inlineStr">
        <is>
          <t>210098030.0</t>
        </is>
      </c>
      <c r="P887" s="24" t="inlineStr">
        <is>
          <t>KRW</t>
        </is>
      </c>
      <c r="Q887" s="24" t="inlineStr">
        <is>
          <t>21</t>
        </is>
      </c>
    </row>
    <row r="888" ht="24" customHeight="1">
      <c r="A888" s="29" t="inlineStr">
        <is>
          <t>OpenDART_fnlttSinglAcntAll</t>
        </is>
      </c>
      <c r="B888" s="29" t="inlineStr">
        <is>
          <t>00161383</t>
        </is>
      </c>
      <c r="C888" s="29" t="inlineStr">
        <is>
          <t>한미반도체</t>
        </is>
      </c>
      <c r="D888" s="29" t="inlineStr">
        <is>
          <t>hanmi</t>
        </is>
      </c>
      <c r="E888" s="29" t="inlineStr">
        <is>
          <t>042700</t>
        </is>
      </c>
      <c r="F888" s="29" t="inlineStr">
        <is>
          <t>2025</t>
        </is>
      </c>
      <c r="G888" s="29" t="inlineStr">
        <is>
          <t>CFS</t>
        </is>
      </c>
      <c r="H888" s="29" t="inlineStr">
        <is>
          <t>BS</t>
        </is>
      </c>
      <c r="I888" s="29" t="inlineStr">
        <is>
          <t>재무상태표</t>
        </is>
      </c>
      <c r="J888" s="29" t="inlineStr">
        <is>
          <t>ifrs-full_OtherNoncurrentAssets</t>
        </is>
      </c>
      <c r="K888" s="29" t="inlineStr">
        <is>
          <t>기타비유동자산</t>
        </is>
      </c>
      <c r="L888" s="29" t="inlineStr">
        <is>
          <t>-</t>
        </is>
      </c>
      <c r="M888" s="29" t="inlineStr">
        <is>
          <t>제 46 기</t>
        </is>
      </c>
      <c r="N888" s="29" t="inlineStr">
        <is>
          <t>624830393.0</t>
        </is>
      </c>
      <c r="O888" s="29" t="inlineStr">
        <is>
          <t>818776726.0</t>
        </is>
      </c>
      <c r="P888" s="29" t="inlineStr">
        <is>
          <t>KRW</t>
        </is>
      </c>
      <c r="Q888" s="29" t="inlineStr">
        <is>
          <t>22</t>
        </is>
      </c>
    </row>
    <row r="889" ht="24" customHeight="1">
      <c r="A889" s="24" t="inlineStr">
        <is>
          <t>OpenDART_fnlttSinglAcntAll</t>
        </is>
      </c>
      <c r="B889" s="24" t="inlineStr">
        <is>
          <t>00161383</t>
        </is>
      </c>
      <c r="C889" s="24" t="inlineStr">
        <is>
          <t>한미반도체</t>
        </is>
      </c>
      <c r="D889" s="24" t="inlineStr">
        <is>
          <t>hanmi</t>
        </is>
      </c>
      <c r="E889" s="24" t="inlineStr">
        <is>
          <t>042700</t>
        </is>
      </c>
      <c r="F889" s="24" t="inlineStr">
        <is>
          <t>2025</t>
        </is>
      </c>
      <c r="G889" s="24" t="inlineStr">
        <is>
          <t>CFS</t>
        </is>
      </c>
      <c r="H889" s="24" t="inlineStr">
        <is>
          <t>BS</t>
        </is>
      </c>
      <c r="I889" s="24" t="inlineStr">
        <is>
          <t>재무상태표</t>
        </is>
      </c>
      <c r="J889" s="24" t="inlineStr">
        <is>
          <t>ifrs-full_OtherNoncurrentFinancialAssets</t>
        </is>
      </c>
      <c r="K889" s="24" t="inlineStr">
        <is>
          <t>기타비유동금융자산</t>
        </is>
      </c>
      <c r="L889" s="24" t="inlineStr">
        <is>
          <t>-</t>
        </is>
      </c>
      <c r="M889" s="24" t="inlineStr">
        <is>
          <t>제 46 기</t>
        </is>
      </c>
      <c r="N889" s="24" t="inlineStr">
        <is>
          <t>665177126.0</t>
        </is>
      </c>
      <c r="O889" s="24" t="inlineStr">
        <is>
          <t>848389962.0</t>
        </is>
      </c>
      <c r="P889" s="24" t="inlineStr">
        <is>
          <t>KRW</t>
        </is>
      </c>
      <c r="Q889" s="24" t="inlineStr">
        <is>
          <t>23</t>
        </is>
      </c>
    </row>
    <row r="890" ht="24" customHeight="1">
      <c r="A890" s="29" t="inlineStr">
        <is>
          <t>OpenDART_fnlttSinglAcntAll</t>
        </is>
      </c>
      <c r="B890" s="29" t="inlineStr">
        <is>
          <t>00161383</t>
        </is>
      </c>
      <c r="C890" s="29" t="inlineStr">
        <is>
          <t>한미반도체</t>
        </is>
      </c>
      <c r="D890" s="29" t="inlineStr">
        <is>
          <t>hanmi</t>
        </is>
      </c>
      <c r="E890" s="29" t="inlineStr">
        <is>
          <t>042700</t>
        </is>
      </c>
      <c r="F890" s="29" t="inlineStr">
        <is>
          <t>2025</t>
        </is>
      </c>
      <c r="G890" s="29" t="inlineStr">
        <is>
          <t>CFS</t>
        </is>
      </c>
      <c r="H890" s="29" t="inlineStr">
        <is>
          <t>BS</t>
        </is>
      </c>
      <c r="I890" s="29" t="inlineStr">
        <is>
          <t>재무상태표</t>
        </is>
      </c>
      <c r="J890" s="29" t="inlineStr">
        <is>
          <t>ifrs-full_PropertyPlantAndEquipment</t>
        </is>
      </c>
      <c r="K890" s="29" t="inlineStr">
        <is>
          <t>유형자산</t>
        </is>
      </c>
      <c r="L890" s="29" t="inlineStr">
        <is>
          <t>-</t>
        </is>
      </c>
      <c r="M890" s="29" t="inlineStr">
        <is>
          <t>제 46 기</t>
        </is>
      </c>
      <c r="N890" s="29" t="inlineStr">
        <is>
          <t>238136981301.0</t>
        </is>
      </c>
      <c r="O890" s="29" t="inlineStr">
        <is>
          <t>174730996354.0</t>
        </is>
      </c>
      <c r="P890" s="29" t="inlineStr">
        <is>
          <t>KRW</t>
        </is>
      </c>
      <c r="Q890" s="29" t="inlineStr">
        <is>
          <t>24</t>
        </is>
      </c>
    </row>
    <row r="891" ht="24" customHeight="1">
      <c r="A891" s="24" t="inlineStr">
        <is>
          <t>OpenDART_fnlttSinglAcntAll</t>
        </is>
      </c>
      <c r="B891" s="24" t="inlineStr">
        <is>
          <t>00161383</t>
        </is>
      </c>
      <c r="C891" s="24" t="inlineStr">
        <is>
          <t>한미반도체</t>
        </is>
      </c>
      <c r="D891" s="24" t="inlineStr">
        <is>
          <t>hanmi</t>
        </is>
      </c>
      <c r="E891" s="24" t="inlineStr">
        <is>
          <t>042700</t>
        </is>
      </c>
      <c r="F891" s="24" t="inlineStr">
        <is>
          <t>2025</t>
        </is>
      </c>
      <c r="G891" s="24" t="inlineStr">
        <is>
          <t>CFS</t>
        </is>
      </c>
      <c r="H891" s="24" t="inlineStr">
        <is>
          <t>BS</t>
        </is>
      </c>
      <c r="I891" s="24" t="inlineStr">
        <is>
          <t>재무상태표</t>
        </is>
      </c>
      <c r="J891" s="24" t="inlineStr">
        <is>
          <t>ifrs-full_Equity</t>
        </is>
      </c>
      <c r="K891" s="24" t="inlineStr">
        <is>
          <t>자본총계</t>
        </is>
      </c>
      <c r="L891" s="24" t="inlineStr">
        <is>
          <t>-</t>
        </is>
      </c>
      <c r="M891" s="24" t="inlineStr">
        <is>
          <t>제 46 기</t>
        </is>
      </c>
      <c r="N891" s="24" t="inlineStr">
        <is>
          <t>690327519537.0</t>
        </is>
      </c>
      <c r="O891" s="24" t="inlineStr">
        <is>
          <t>540887863389.0</t>
        </is>
      </c>
      <c r="P891" s="24" t="inlineStr">
        <is>
          <t>KRW</t>
        </is>
      </c>
      <c r="Q891" s="24" t="inlineStr">
        <is>
          <t>26</t>
        </is>
      </c>
    </row>
    <row r="892" ht="24" customHeight="1">
      <c r="A892" s="29" t="inlineStr">
        <is>
          <t>OpenDART_fnlttSinglAcntAll</t>
        </is>
      </c>
      <c r="B892" s="29" t="inlineStr">
        <is>
          <t>00161383</t>
        </is>
      </c>
      <c r="C892" s="29" t="inlineStr">
        <is>
          <t>한미반도체</t>
        </is>
      </c>
      <c r="D892" s="29" t="inlineStr">
        <is>
          <t>hanmi</t>
        </is>
      </c>
      <c r="E892" s="29" t="inlineStr">
        <is>
          <t>042700</t>
        </is>
      </c>
      <c r="F892" s="29" t="inlineStr">
        <is>
          <t>2025</t>
        </is>
      </c>
      <c r="G892" s="29" t="inlineStr">
        <is>
          <t>CFS</t>
        </is>
      </c>
      <c r="H892" s="29" t="inlineStr">
        <is>
          <t>BS</t>
        </is>
      </c>
      <c r="I892" s="29" t="inlineStr">
        <is>
          <t>재무상태표</t>
        </is>
      </c>
      <c r="J892" s="29" t="inlineStr">
        <is>
          <t>ifrs-full_EquityAttributableToOwnersOfParent</t>
        </is>
      </c>
      <c r="K892" s="29" t="inlineStr">
        <is>
          <t>지배기업의 소유주에게 귀속되는 자본</t>
        </is>
      </c>
      <c r="L892" s="29" t="inlineStr">
        <is>
          <t>-</t>
        </is>
      </c>
      <c r="M892" s="29" t="inlineStr">
        <is>
          <t>제 46 기</t>
        </is>
      </c>
      <c r="N892" s="29" t="inlineStr">
        <is>
          <t>690327519537.0</t>
        </is>
      </c>
      <c r="O892" s="29" t="inlineStr">
        <is>
          <t>540887863389.0</t>
        </is>
      </c>
      <c r="P892" s="29" t="inlineStr">
        <is>
          <t>KRW</t>
        </is>
      </c>
      <c r="Q892" s="29" t="inlineStr">
        <is>
          <t>27</t>
        </is>
      </c>
    </row>
    <row r="893" ht="24" customHeight="1">
      <c r="A893" s="24" t="inlineStr">
        <is>
          <t>OpenDART_fnlttSinglAcntAll</t>
        </is>
      </c>
      <c r="B893" s="24" t="inlineStr">
        <is>
          <t>00161383</t>
        </is>
      </c>
      <c r="C893" s="24" t="inlineStr">
        <is>
          <t>한미반도체</t>
        </is>
      </c>
      <c r="D893" s="24" t="inlineStr">
        <is>
          <t>hanmi</t>
        </is>
      </c>
      <c r="E893" s="24" t="inlineStr">
        <is>
          <t>042700</t>
        </is>
      </c>
      <c r="F893" s="24" t="inlineStr">
        <is>
          <t>2025</t>
        </is>
      </c>
      <c r="G893" s="24" t="inlineStr">
        <is>
          <t>CFS</t>
        </is>
      </c>
      <c r="H893" s="24" t="inlineStr">
        <is>
          <t>BS</t>
        </is>
      </c>
      <c r="I893" s="24" t="inlineStr">
        <is>
          <t>재무상태표</t>
        </is>
      </c>
      <c r="J893" s="24" t="inlineStr">
        <is>
          <t>dart_CapitalSurplus</t>
        </is>
      </c>
      <c r="K893" s="24" t="inlineStr">
        <is>
          <t>자본잉여금</t>
        </is>
      </c>
      <c r="L893" s="24" t="inlineStr">
        <is>
          <t>-</t>
        </is>
      </c>
      <c r="M893" s="24" t="inlineStr">
        <is>
          <t>제 46 기</t>
        </is>
      </c>
      <c r="N893" s="24" t="inlineStr">
        <is>
          <t>41455743069.0</t>
        </is>
      </c>
      <c r="O893" s="24" t="inlineStr">
        <is>
          <t>56382072938.0</t>
        </is>
      </c>
      <c r="P893" s="24" t="inlineStr">
        <is>
          <t>KRW</t>
        </is>
      </c>
      <c r="Q893" s="24" t="inlineStr">
        <is>
          <t>28</t>
        </is>
      </c>
    </row>
    <row r="894" ht="24" customHeight="1">
      <c r="A894" s="29" t="inlineStr">
        <is>
          <t>OpenDART_fnlttSinglAcntAll</t>
        </is>
      </c>
      <c r="B894" s="29" t="inlineStr">
        <is>
          <t>00161383</t>
        </is>
      </c>
      <c r="C894" s="29" t="inlineStr">
        <is>
          <t>한미반도체</t>
        </is>
      </c>
      <c r="D894" s="29" t="inlineStr">
        <is>
          <t>hanmi</t>
        </is>
      </c>
      <c r="E894" s="29" t="inlineStr">
        <is>
          <t>042700</t>
        </is>
      </c>
      <c r="F894" s="29" t="inlineStr">
        <is>
          <t>2025</t>
        </is>
      </c>
      <c r="G894" s="29" t="inlineStr">
        <is>
          <t>CFS</t>
        </is>
      </c>
      <c r="H894" s="29" t="inlineStr">
        <is>
          <t>BS</t>
        </is>
      </c>
      <c r="I894" s="29" t="inlineStr">
        <is>
          <t>재무상태표</t>
        </is>
      </c>
      <c r="J894" s="29" t="inlineStr">
        <is>
          <t>dart_ElementsOfOtherStockholdersEquity</t>
        </is>
      </c>
      <c r="K894" s="29" t="inlineStr">
        <is>
          <t>기타자본구성요소</t>
        </is>
      </c>
      <c r="L894" s="29" t="inlineStr">
        <is>
          <t>-</t>
        </is>
      </c>
      <c r="M894" s="29" t="inlineStr">
        <is>
          <t>제 46 기</t>
        </is>
      </c>
      <c r="N894" s="29" t="inlineStr">
        <is>
          <t>-3588190111.0</t>
        </is>
      </c>
      <c r="O894" s="29" t="inlineStr">
        <is>
          <t>-138594816411.0</t>
        </is>
      </c>
      <c r="P894" s="29" t="inlineStr">
        <is>
          <t>KRW</t>
        </is>
      </c>
      <c r="Q894" s="29" t="inlineStr">
        <is>
          <t>29</t>
        </is>
      </c>
    </row>
    <row r="895" ht="24" customHeight="1">
      <c r="A895" s="24" t="inlineStr">
        <is>
          <t>OpenDART_fnlttSinglAcntAll</t>
        </is>
      </c>
      <c r="B895" s="24" t="inlineStr">
        <is>
          <t>00161383</t>
        </is>
      </c>
      <c r="C895" s="24" t="inlineStr">
        <is>
          <t>한미반도체</t>
        </is>
      </c>
      <c r="D895" s="24" t="inlineStr">
        <is>
          <t>hanmi</t>
        </is>
      </c>
      <c r="E895" s="24" t="inlineStr">
        <is>
          <t>042700</t>
        </is>
      </c>
      <c r="F895" s="24" t="inlineStr">
        <is>
          <t>2025</t>
        </is>
      </c>
      <c r="G895" s="24" t="inlineStr">
        <is>
          <t>CFS</t>
        </is>
      </c>
      <c r="H895" s="24" t="inlineStr">
        <is>
          <t>BS</t>
        </is>
      </c>
      <c r="I895" s="24" t="inlineStr">
        <is>
          <t>재무상태표</t>
        </is>
      </c>
      <c r="J895" s="24" t="inlineStr">
        <is>
          <t>dart_OtherComprehensiveIncomeLossAccumulatedAmount</t>
        </is>
      </c>
      <c r="K895" s="24" t="inlineStr">
        <is>
          <t>기타포괄손익누계액</t>
        </is>
      </c>
      <c r="L895" s="24" t="inlineStr">
        <is>
          <t>-</t>
        </is>
      </c>
      <c r="M895" s="24" t="inlineStr">
        <is>
          <t>제 46 기</t>
        </is>
      </c>
      <c r="N895" s="24" t="inlineStr">
        <is>
          <t>490057578.0</t>
        </is>
      </c>
      <c r="O895" s="24" t="inlineStr">
        <is>
          <t>334222965.0</t>
        </is>
      </c>
      <c r="P895" s="24" t="inlineStr">
        <is>
          <t>KRW</t>
        </is>
      </c>
      <c r="Q895" s="24" t="inlineStr">
        <is>
          <t>30</t>
        </is>
      </c>
    </row>
    <row r="896" ht="24" customHeight="1">
      <c r="A896" s="29" t="inlineStr">
        <is>
          <t>OpenDART_fnlttSinglAcntAll</t>
        </is>
      </c>
      <c r="B896" s="29" t="inlineStr">
        <is>
          <t>00161383</t>
        </is>
      </c>
      <c r="C896" s="29" t="inlineStr">
        <is>
          <t>한미반도체</t>
        </is>
      </c>
      <c r="D896" s="29" t="inlineStr">
        <is>
          <t>hanmi</t>
        </is>
      </c>
      <c r="E896" s="29" t="inlineStr">
        <is>
          <t>042700</t>
        </is>
      </c>
      <c r="F896" s="29" t="inlineStr">
        <is>
          <t>2025</t>
        </is>
      </c>
      <c r="G896" s="29" t="inlineStr">
        <is>
          <t>CFS</t>
        </is>
      </c>
      <c r="H896" s="29" t="inlineStr">
        <is>
          <t>BS</t>
        </is>
      </c>
      <c r="I896" s="29" t="inlineStr">
        <is>
          <t>재무상태표</t>
        </is>
      </c>
      <c r="J896" s="29" t="inlineStr">
        <is>
          <t>ifrs-full_IssuedCapital</t>
        </is>
      </c>
      <c r="K896" s="29" t="inlineStr">
        <is>
          <t>자본금</t>
        </is>
      </c>
      <c r="L896" s="29" t="inlineStr">
        <is>
          <t>-</t>
        </is>
      </c>
      <c r="M896" s="29" t="inlineStr">
        <is>
          <t>제 46 기</t>
        </is>
      </c>
      <c r="N896" s="29" t="inlineStr">
        <is>
          <t>12716420500.0</t>
        </is>
      </c>
      <c r="O896" s="29" t="inlineStr">
        <is>
          <t>12716420500.0</t>
        </is>
      </c>
      <c r="P896" s="29" t="inlineStr">
        <is>
          <t>KRW</t>
        </is>
      </c>
      <c r="Q896" s="29" t="inlineStr">
        <is>
          <t>31</t>
        </is>
      </c>
    </row>
    <row r="897" ht="24" customHeight="1">
      <c r="A897" s="24" t="inlineStr">
        <is>
          <t>OpenDART_fnlttSinglAcntAll</t>
        </is>
      </c>
      <c r="B897" s="24" t="inlineStr">
        <is>
          <t>00161383</t>
        </is>
      </c>
      <c r="C897" s="24" t="inlineStr">
        <is>
          <t>한미반도체</t>
        </is>
      </c>
      <c r="D897" s="24" t="inlineStr">
        <is>
          <t>hanmi</t>
        </is>
      </c>
      <c r="E897" s="24" t="inlineStr">
        <is>
          <t>042700</t>
        </is>
      </c>
      <c r="F897" s="24" t="inlineStr">
        <is>
          <t>2025</t>
        </is>
      </c>
      <c r="G897" s="24" t="inlineStr">
        <is>
          <t>CFS</t>
        </is>
      </c>
      <c r="H897" s="24" t="inlineStr">
        <is>
          <t>BS</t>
        </is>
      </c>
      <c r="I897" s="24" t="inlineStr">
        <is>
          <t>재무상태표</t>
        </is>
      </c>
      <c r="J897" s="24" t="inlineStr">
        <is>
          <t>ifrs-full_RetainedEarnings</t>
        </is>
      </c>
      <c r="K897" s="24" t="inlineStr">
        <is>
          <t>이익잉여금(결손금)</t>
        </is>
      </c>
      <c r="L897" s="24" t="inlineStr">
        <is>
          <t>-</t>
        </is>
      </c>
      <c r="M897" s="24" t="inlineStr">
        <is>
          <t>제 46 기</t>
        </is>
      </c>
      <c r="N897" s="24" t="inlineStr">
        <is>
          <t>639253488501.0</t>
        </is>
      </c>
      <c r="O897" s="24" t="inlineStr">
        <is>
          <t>610049963397.0</t>
        </is>
      </c>
      <c r="P897" s="24" t="inlineStr">
        <is>
          <t>KRW</t>
        </is>
      </c>
      <c r="Q897" s="24" t="inlineStr">
        <is>
          <t>32</t>
        </is>
      </c>
    </row>
    <row r="898" ht="24" customHeight="1">
      <c r="A898" s="29" t="inlineStr">
        <is>
          <t>OpenDART_fnlttSinglAcntAll</t>
        </is>
      </c>
      <c r="B898" s="29" t="inlineStr">
        <is>
          <t>00161383</t>
        </is>
      </c>
      <c r="C898" s="29" t="inlineStr">
        <is>
          <t>한미반도체</t>
        </is>
      </c>
      <c r="D898" s="29" t="inlineStr">
        <is>
          <t>hanmi</t>
        </is>
      </c>
      <c r="E898" s="29" t="inlineStr">
        <is>
          <t>042700</t>
        </is>
      </c>
      <c r="F898" s="29" t="inlineStr">
        <is>
          <t>2025</t>
        </is>
      </c>
      <c r="G898" s="29" t="inlineStr">
        <is>
          <t>CFS</t>
        </is>
      </c>
      <c r="H898" s="29" t="inlineStr">
        <is>
          <t>BS</t>
        </is>
      </c>
      <c r="I898" s="29" t="inlineStr">
        <is>
          <t>재무상태표</t>
        </is>
      </c>
      <c r="J898" s="29" t="inlineStr">
        <is>
          <t>ifrs-full_NoncontrollingInterests</t>
        </is>
      </c>
      <c r="K898" s="29" t="inlineStr">
        <is>
          <t>비지배지분</t>
        </is>
      </c>
      <c r="L898" s="29" t="inlineStr">
        <is>
          <t>-</t>
        </is>
      </c>
      <c r="M898" s="29" t="inlineStr">
        <is>
          <t>제 46 기</t>
        </is>
      </c>
      <c r="N898" s="29" t="inlineStr">
        <is>
          <t>0.0</t>
        </is>
      </c>
      <c r="O898" s="29" t="inlineStr">
        <is>
          <t>0.0</t>
        </is>
      </c>
      <c r="P898" s="29" t="inlineStr">
        <is>
          <t>KRW</t>
        </is>
      </c>
      <c r="Q898" s="29" t="inlineStr">
        <is>
          <t>33</t>
        </is>
      </c>
    </row>
    <row r="899" ht="24" customHeight="1">
      <c r="A899" s="24" t="inlineStr">
        <is>
          <t>OpenDART_fnlttSinglAcntAll</t>
        </is>
      </c>
      <c r="B899" s="24" t="inlineStr">
        <is>
          <t>00161383</t>
        </is>
      </c>
      <c r="C899" s="24" t="inlineStr">
        <is>
          <t>한미반도체</t>
        </is>
      </c>
      <c r="D899" s="24" t="inlineStr">
        <is>
          <t>hanmi</t>
        </is>
      </c>
      <c r="E899" s="24" t="inlineStr">
        <is>
          <t>042700</t>
        </is>
      </c>
      <c r="F899" s="24" t="inlineStr">
        <is>
          <t>2025</t>
        </is>
      </c>
      <c r="G899" s="24" t="inlineStr">
        <is>
          <t>CFS</t>
        </is>
      </c>
      <c r="H899" s="24" t="inlineStr">
        <is>
          <t>BS</t>
        </is>
      </c>
      <c r="I899" s="24" t="inlineStr">
        <is>
          <t>재무상태표</t>
        </is>
      </c>
      <c r="J899" s="24" t="inlineStr">
        <is>
          <t>ifrs-full_EquityAndLiabilities</t>
        </is>
      </c>
      <c r="K899" s="24" t="inlineStr">
        <is>
          <t>자본과부채총계</t>
        </is>
      </c>
      <c r="L899" s="24" t="inlineStr">
        <is>
          <t>-</t>
        </is>
      </c>
      <c r="M899" s="24" t="inlineStr">
        <is>
          <t>제 46 기</t>
        </is>
      </c>
      <c r="N899" s="24" t="inlineStr">
        <is>
          <t>813331626120.0</t>
        </is>
      </c>
      <c r="O899" s="24" t="inlineStr">
        <is>
          <t>710872366678.0</t>
        </is>
      </c>
      <c r="P899" s="24" t="inlineStr">
        <is>
          <t>KRW</t>
        </is>
      </c>
      <c r="Q899" s="24" t="inlineStr">
        <is>
          <t>34</t>
        </is>
      </c>
    </row>
    <row r="900" ht="24" customHeight="1">
      <c r="A900" s="29" t="inlineStr">
        <is>
          <t>OpenDART_fnlttSinglAcntAll</t>
        </is>
      </c>
      <c r="B900" s="29" t="inlineStr">
        <is>
          <t>00161383</t>
        </is>
      </c>
      <c r="C900" s="29" t="inlineStr">
        <is>
          <t>한미반도체</t>
        </is>
      </c>
      <c r="D900" s="29" t="inlineStr">
        <is>
          <t>hanmi</t>
        </is>
      </c>
      <c r="E900" s="29" t="inlineStr">
        <is>
          <t>042700</t>
        </is>
      </c>
      <c r="F900" s="29" t="inlineStr">
        <is>
          <t>2025</t>
        </is>
      </c>
      <c r="G900" s="29" t="inlineStr">
        <is>
          <t>CFS</t>
        </is>
      </c>
      <c r="H900" s="29" t="inlineStr">
        <is>
          <t>BS</t>
        </is>
      </c>
      <c r="I900" s="29" t="inlineStr">
        <is>
          <t>재무상태표</t>
        </is>
      </c>
      <c r="J900" s="29" t="inlineStr">
        <is>
          <t>ifrs-full_CurrentLiabilities</t>
        </is>
      </c>
      <c r="K900" s="29" t="inlineStr">
        <is>
          <t>유동부채</t>
        </is>
      </c>
      <c r="L900" s="29" t="inlineStr">
        <is>
          <t>-</t>
        </is>
      </c>
      <c r="M900" s="29" t="inlineStr">
        <is>
          <t>제 46 기</t>
        </is>
      </c>
      <c r="N900" s="29" t="inlineStr">
        <is>
          <t>120120329892.0</t>
        </is>
      </c>
      <c r="O900" s="29" t="inlineStr">
        <is>
          <t>160040613379.0</t>
        </is>
      </c>
      <c r="P900" s="29" t="inlineStr">
        <is>
          <t>KRW</t>
        </is>
      </c>
      <c r="Q900" s="29" t="inlineStr">
        <is>
          <t>36</t>
        </is>
      </c>
    </row>
    <row r="901" ht="24" customHeight="1">
      <c r="A901" s="24" t="inlineStr">
        <is>
          <t>OpenDART_fnlttSinglAcntAll</t>
        </is>
      </c>
      <c r="B901" s="24" t="inlineStr">
        <is>
          <t>00161383</t>
        </is>
      </c>
      <c r="C901" s="24" t="inlineStr">
        <is>
          <t>한미반도체</t>
        </is>
      </c>
      <c r="D901" s="24" t="inlineStr">
        <is>
          <t>hanmi</t>
        </is>
      </c>
      <c r="E901" s="24" t="inlineStr">
        <is>
          <t>042700</t>
        </is>
      </c>
      <c r="F901" s="24" t="inlineStr">
        <is>
          <t>2025</t>
        </is>
      </c>
      <c r="G901" s="24" t="inlineStr">
        <is>
          <t>CFS</t>
        </is>
      </c>
      <c r="H901" s="24" t="inlineStr">
        <is>
          <t>BS</t>
        </is>
      </c>
      <c r="I901" s="24" t="inlineStr">
        <is>
          <t>재무상태표</t>
        </is>
      </c>
      <c r="J901" s="24" t="inlineStr">
        <is>
          <t>ifrs-full_CurrentLeaseLiabilities</t>
        </is>
      </c>
      <c r="K901" s="24" t="inlineStr">
        <is>
          <t>유동 리스부채</t>
        </is>
      </c>
      <c r="L901" s="24" t="inlineStr">
        <is>
          <t>-</t>
        </is>
      </c>
      <c r="M901" s="24" t="inlineStr">
        <is>
          <t>제 46 기</t>
        </is>
      </c>
      <c r="N901" s="24" t="inlineStr">
        <is>
          <t>1339920077.0</t>
        </is>
      </c>
      <c r="O901" s="24" t="inlineStr">
        <is>
          <t>1446065944.0</t>
        </is>
      </c>
      <c r="P901" s="24" t="inlineStr">
        <is>
          <t>KRW</t>
        </is>
      </c>
      <c r="Q901" s="24" t="inlineStr">
        <is>
          <t>37</t>
        </is>
      </c>
    </row>
    <row r="902" ht="24" customHeight="1">
      <c r="A902" s="29" t="inlineStr">
        <is>
          <t>OpenDART_fnlttSinglAcntAll</t>
        </is>
      </c>
      <c r="B902" s="29" t="inlineStr">
        <is>
          <t>00161383</t>
        </is>
      </c>
      <c r="C902" s="29" t="inlineStr">
        <is>
          <t>한미반도체</t>
        </is>
      </c>
      <c r="D902" s="29" t="inlineStr">
        <is>
          <t>hanmi</t>
        </is>
      </c>
      <c r="E902" s="29" t="inlineStr">
        <is>
          <t>042700</t>
        </is>
      </c>
      <c r="F902" s="29" t="inlineStr">
        <is>
          <t>2025</t>
        </is>
      </c>
      <c r="G902" s="29" t="inlineStr">
        <is>
          <t>CFS</t>
        </is>
      </c>
      <c r="H902" s="29" t="inlineStr">
        <is>
          <t>BS</t>
        </is>
      </c>
      <c r="I902" s="29" t="inlineStr">
        <is>
          <t>재무상태표</t>
        </is>
      </c>
      <c r="J902" s="29" t="inlineStr">
        <is>
          <t>ifrs-full_CurrentProvisions</t>
        </is>
      </c>
      <c r="K902" s="29" t="inlineStr">
        <is>
          <t>유동충당부채</t>
        </is>
      </c>
      <c r="L902" s="29" t="inlineStr">
        <is>
          <t>-</t>
        </is>
      </c>
      <c r="M902" s="29" t="inlineStr">
        <is>
          <t>제 46 기</t>
        </is>
      </c>
      <c r="N902" s="29" t="inlineStr">
        <is>
          <t>9681930399.0</t>
        </is>
      </c>
      <c r="O902" s="29" t="inlineStr">
        <is>
          <t>7661643573.0</t>
        </is>
      </c>
      <c r="P902" s="29" t="inlineStr">
        <is>
          <t>KRW</t>
        </is>
      </c>
      <c r="Q902" s="29" t="inlineStr">
        <is>
          <t>38</t>
        </is>
      </c>
    </row>
    <row r="903" ht="24" customHeight="1">
      <c r="A903" s="24" t="inlineStr">
        <is>
          <t>OpenDART_fnlttSinglAcntAll</t>
        </is>
      </c>
      <c r="B903" s="24" t="inlineStr">
        <is>
          <t>00161383</t>
        </is>
      </c>
      <c r="C903" s="24" t="inlineStr">
        <is>
          <t>한미반도체</t>
        </is>
      </c>
      <c r="D903" s="24" t="inlineStr">
        <is>
          <t>hanmi</t>
        </is>
      </c>
      <c r="E903" s="24" t="inlineStr">
        <is>
          <t>042700</t>
        </is>
      </c>
      <c r="F903" s="24" t="inlineStr">
        <is>
          <t>2025</t>
        </is>
      </c>
      <c r="G903" s="24" t="inlineStr">
        <is>
          <t>CFS</t>
        </is>
      </c>
      <c r="H903" s="24" t="inlineStr">
        <is>
          <t>BS</t>
        </is>
      </c>
      <c r="I903" s="24" t="inlineStr">
        <is>
          <t>재무상태표</t>
        </is>
      </c>
      <c r="J903" s="24" t="inlineStr">
        <is>
          <t>ifrs-full_CurrentTaxLiabilities</t>
        </is>
      </c>
      <c r="K903" s="24" t="inlineStr">
        <is>
          <t>당기법인세부채</t>
        </is>
      </c>
      <c r="L903" s="24" t="inlineStr">
        <is>
          <t>-</t>
        </is>
      </c>
      <c r="M903" s="24" t="inlineStr">
        <is>
          <t>제 46 기</t>
        </is>
      </c>
      <c r="N903" s="24" t="inlineStr">
        <is>
          <t>54533750436.0</t>
        </is>
      </c>
      <c r="O903" s="24" t="inlineStr">
        <is>
          <t>71678767604.0</t>
        </is>
      </c>
      <c r="P903" s="24" t="inlineStr">
        <is>
          <t>KRW</t>
        </is>
      </c>
      <c r="Q903" s="24" t="inlineStr">
        <is>
          <t>39</t>
        </is>
      </c>
    </row>
    <row r="904" ht="24" customHeight="1">
      <c r="A904" s="29" t="inlineStr">
        <is>
          <t>OpenDART_fnlttSinglAcntAll</t>
        </is>
      </c>
      <c r="B904" s="29" t="inlineStr">
        <is>
          <t>00161383</t>
        </is>
      </c>
      <c r="C904" s="29" t="inlineStr">
        <is>
          <t>한미반도체</t>
        </is>
      </c>
      <c r="D904" s="29" t="inlineStr">
        <is>
          <t>hanmi</t>
        </is>
      </c>
      <c r="E904" s="29" t="inlineStr">
        <is>
          <t>042700</t>
        </is>
      </c>
      <c r="F904" s="29" t="inlineStr">
        <is>
          <t>2025</t>
        </is>
      </c>
      <c r="G904" s="29" t="inlineStr">
        <is>
          <t>CFS</t>
        </is>
      </c>
      <c r="H904" s="29" t="inlineStr">
        <is>
          <t>BS</t>
        </is>
      </c>
      <c r="I904" s="29" t="inlineStr">
        <is>
          <t>재무상태표</t>
        </is>
      </c>
      <c r="J904" s="29" t="inlineStr">
        <is>
          <t>ifrs-full_OtherCurrentFinancialLiabilities</t>
        </is>
      </c>
      <c r="K904" s="29" t="inlineStr">
        <is>
          <t>기타유동금융부채</t>
        </is>
      </c>
      <c r="L904" s="29" t="inlineStr">
        <is>
          <t>-</t>
        </is>
      </c>
      <c r="M904" s="29" t="inlineStr">
        <is>
          <t>제 46 기</t>
        </is>
      </c>
      <c r="N904" s="29" t="inlineStr">
        <is>
          <t>13546142809.0</t>
        </is>
      </c>
      <c r="O904" s="29" t="inlineStr">
        <is>
          <t>13930004103.0</t>
        </is>
      </c>
      <c r="P904" s="29" t="inlineStr">
        <is>
          <t>KRW</t>
        </is>
      </c>
      <c r="Q904" s="29" t="inlineStr">
        <is>
          <t>40</t>
        </is>
      </c>
    </row>
    <row r="905" ht="24" customHeight="1">
      <c r="A905" s="24" t="inlineStr">
        <is>
          <t>OpenDART_fnlttSinglAcntAll</t>
        </is>
      </c>
      <c r="B905" s="24" t="inlineStr">
        <is>
          <t>00161383</t>
        </is>
      </c>
      <c r="C905" s="24" t="inlineStr">
        <is>
          <t>한미반도체</t>
        </is>
      </c>
      <c r="D905" s="24" t="inlineStr">
        <is>
          <t>hanmi</t>
        </is>
      </c>
      <c r="E905" s="24" t="inlineStr">
        <is>
          <t>042700</t>
        </is>
      </c>
      <c r="F905" s="24" t="inlineStr">
        <is>
          <t>2025</t>
        </is>
      </c>
      <c r="G905" s="24" t="inlineStr">
        <is>
          <t>CFS</t>
        </is>
      </c>
      <c r="H905" s="24" t="inlineStr">
        <is>
          <t>BS</t>
        </is>
      </c>
      <c r="I905" s="24" t="inlineStr">
        <is>
          <t>재무상태표</t>
        </is>
      </c>
      <c r="J905" s="24" t="inlineStr">
        <is>
          <t>ifrs-full_OtherCurrentLiabilities</t>
        </is>
      </c>
      <c r="K905" s="24" t="inlineStr">
        <is>
          <t>기타 유동부채</t>
        </is>
      </c>
      <c r="L905" s="24" t="inlineStr">
        <is>
          <t>-</t>
        </is>
      </c>
      <c r="M905" s="24" t="inlineStr">
        <is>
          <t>제 46 기</t>
        </is>
      </c>
      <c r="N905" s="24" t="inlineStr">
        <is>
          <t>19970099251.0</t>
        </is>
      </c>
      <c r="O905" s="24" t="inlineStr">
        <is>
          <t>11717099878.0</t>
        </is>
      </c>
      <c r="P905" s="24" t="inlineStr">
        <is>
          <t>KRW</t>
        </is>
      </c>
      <c r="Q905" s="24" t="inlineStr">
        <is>
          <t>41</t>
        </is>
      </c>
    </row>
    <row r="906" ht="24" customHeight="1">
      <c r="A906" s="29" t="inlineStr">
        <is>
          <t>OpenDART_fnlttSinglAcntAll</t>
        </is>
      </c>
      <c r="B906" s="29" t="inlineStr">
        <is>
          <t>00161383</t>
        </is>
      </c>
      <c r="C906" s="29" t="inlineStr">
        <is>
          <t>한미반도체</t>
        </is>
      </c>
      <c r="D906" s="29" t="inlineStr">
        <is>
          <t>hanmi</t>
        </is>
      </c>
      <c r="E906" s="29" t="inlineStr">
        <is>
          <t>042700</t>
        </is>
      </c>
      <c r="F906" s="29" t="inlineStr">
        <is>
          <t>2025</t>
        </is>
      </c>
      <c r="G906" s="29" t="inlineStr">
        <is>
          <t>CFS</t>
        </is>
      </c>
      <c r="H906" s="29" t="inlineStr">
        <is>
          <t>BS</t>
        </is>
      </c>
      <c r="I906" s="29" t="inlineStr">
        <is>
          <t>재무상태표</t>
        </is>
      </c>
      <c r="J906" s="29" t="inlineStr">
        <is>
          <t>ifrs-full_TradeAndOtherCurrentPayablesToTradeSuppliers</t>
        </is>
      </c>
      <c r="K906" s="29" t="inlineStr">
        <is>
          <t>유동매입채무</t>
        </is>
      </c>
      <c r="L906" s="29" t="inlineStr">
        <is>
          <t>-</t>
        </is>
      </c>
      <c r="M906" s="29" t="inlineStr">
        <is>
          <t>제 46 기</t>
        </is>
      </c>
      <c r="N906" s="29" t="inlineStr">
        <is>
          <t>21048486920.0</t>
        </is>
      </c>
      <c r="O906" s="29" t="inlineStr">
        <is>
          <t>53607032277.0</t>
        </is>
      </c>
      <c r="P906" s="29" t="inlineStr">
        <is>
          <t>KRW</t>
        </is>
      </c>
      <c r="Q906" s="29" t="inlineStr">
        <is>
          <t>42</t>
        </is>
      </c>
    </row>
    <row r="907" ht="24" customHeight="1">
      <c r="A907" s="24" t="inlineStr">
        <is>
          <t>OpenDART_fnlttSinglAcntAll</t>
        </is>
      </c>
      <c r="B907" s="24" t="inlineStr">
        <is>
          <t>00161383</t>
        </is>
      </c>
      <c r="C907" s="24" t="inlineStr">
        <is>
          <t>한미반도체</t>
        </is>
      </c>
      <c r="D907" s="24" t="inlineStr">
        <is>
          <t>hanmi</t>
        </is>
      </c>
      <c r="E907" s="24" t="inlineStr">
        <is>
          <t>042700</t>
        </is>
      </c>
      <c r="F907" s="24" t="inlineStr">
        <is>
          <t>2025</t>
        </is>
      </c>
      <c r="G907" s="24" t="inlineStr">
        <is>
          <t>CFS</t>
        </is>
      </c>
      <c r="H907" s="24" t="inlineStr">
        <is>
          <t>BS</t>
        </is>
      </c>
      <c r="I907" s="24" t="inlineStr">
        <is>
          <t>재무상태표</t>
        </is>
      </c>
      <c r="J907" s="24" t="inlineStr">
        <is>
          <t>ifrs-full_Liabilities</t>
        </is>
      </c>
      <c r="K907" s="24" t="inlineStr">
        <is>
          <t>부채총계</t>
        </is>
      </c>
      <c r="L907" s="24" t="inlineStr">
        <is>
          <t>-</t>
        </is>
      </c>
      <c r="M907" s="24" t="inlineStr">
        <is>
          <t>제 46 기</t>
        </is>
      </c>
      <c r="N907" s="24" t="inlineStr">
        <is>
          <t>123004106583.0</t>
        </is>
      </c>
      <c r="O907" s="24" t="inlineStr">
        <is>
          <t>169984503289.0</t>
        </is>
      </c>
      <c r="P907" s="24" t="inlineStr">
        <is>
          <t>KRW</t>
        </is>
      </c>
      <c r="Q907" s="24" t="inlineStr">
        <is>
          <t>43</t>
        </is>
      </c>
    </row>
    <row r="908" ht="24" customHeight="1">
      <c r="A908" s="29" t="inlineStr">
        <is>
          <t>OpenDART_fnlttSinglAcntAll</t>
        </is>
      </c>
      <c r="B908" s="29" t="inlineStr">
        <is>
          <t>00161383</t>
        </is>
      </c>
      <c r="C908" s="29" t="inlineStr">
        <is>
          <t>한미반도체</t>
        </is>
      </c>
      <c r="D908" s="29" t="inlineStr">
        <is>
          <t>hanmi</t>
        </is>
      </c>
      <c r="E908" s="29" t="inlineStr">
        <is>
          <t>042700</t>
        </is>
      </c>
      <c r="F908" s="29" t="inlineStr">
        <is>
          <t>2025</t>
        </is>
      </c>
      <c r="G908" s="29" t="inlineStr">
        <is>
          <t>CFS</t>
        </is>
      </c>
      <c r="H908" s="29" t="inlineStr">
        <is>
          <t>BS</t>
        </is>
      </c>
      <c r="I908" s="29" t="inlineStr">
        <is>
          <t>재무상태표</t>
        </is>
      </c>
      <c r="J908" s="29" t="inlineStr">
        <is>
          <t>ifrs-full_NoncurrentLiabilities</t>
        </is>
      </c>
      <c r="K908" s="29" t="inlineStr">
        <is>
          <t>비유동부채</t>
        </is>
      </c>
      <c r="L908" s="29" t="inlineStr">
        <is>
          <t>-</t>
        </is>
      </c>
      <c r="M908" s="29" t="inlineStr">
        <is>
          <t>제 46 기</t>
        </is>
      </c>
      <c r="N908" s="29" t="inlineStr">
        <is>
          <t>2883776691.0</t>
        </is>
      </c>
      <c r="O908" s="29" t="inlineStr">
        <is>
          <t>9943889910.0</t>
        </is>
      </c>
      <c r="P908" s="29" t="inlineStr">
        <is>
          <t>KRW</t>
        </is>
      </c>
      <c r="Q908" s="29" t="inlineStr">
        <is>
          <t>44</t>
        </is>
      </c>
    </row>
    <row r="909" ht="24" customHeight="1">
      <c r="A909" s="24" t="inlineStr">
        <is>
          <t>OpenDART_fnlttSinglAcntAll</t>
        </is>
      </c>
      <c r="B909" s="24" t="inlineStr">
        <is>
          <t>00161383</t>
        </is>
      </c>
      <c r="C909" s="24" t="inlineStr">
        <is>
          <t>한미반도체</t>
        </is>
      </c>
      <c r="D909" s="24" t="inlineStr">
        <is>
          <t>hanmi</t>
        </is>
      </c>
      <c r="E909" s="24" t="inlineStr">
        <is>
          <t>042700</t>
        </is>
      </c>
      <c r="F909" s="24" t="inlineStr">
        <is>
          <t>2025</t>
        </is>
      </c>
      <c r="G909" s="24" t="inlineStr">
        <is>
          <t>CFS</t>
        </is>
      </c>
      <c r="H909" s="24" t="inlineStr">
        <is>
          <t>BS</t>
        </is>
      </c>
      <c r="I909" s="24" t="inlineStr">
        <is>
          <t>재무상태표</t>
        </is>
      </c>
      <c r="J909" s="24" t="inlineStr">
        <is>
          <t>ifrs-full_DeferredTaxLiabilities</t>
        </is>
      </c>
      <c r="K909" s="24" t="inlineStr">
        <is>
          <t>이연법인세부채</t>
        </is>
      </c>
      <c r="L909" s="24" t="inlineStr">
        <is>
          <t>-</t>
        </is>
      </c>
      <c r="M909" s="24" t="inlineStr">
        <is>
          <t>제 46 기</t>
        </is>
      </c>
      <c r="N909" s="24" t="inlineStr">
        <is>
          <t>0.0</t>
        </is>
      </c>
      <c r="O909" s="24" t="inlineStr">
        <is>
          <t>7076065011.0</t>
        </is>
      </c>
      <c r="P909" s="24" t="inlineStr">
        <is>
          <t>KRW</t>
        </is>
      </c>
      <c r="Q909" s="24" t="inlineStr">
        <is>
          <t>45</t>
        </is>
      </c>
    </row>
    <row r="910" ht="24" customHeight="1">
      <c r="A910" s="29" t="inlineStr">
        <is>
          <t>OpenDART_fnlttSinglAcntAll</t>
        </is>
      </c>
      <c r="B910" s="29" t="inlineStr">
        <is>
          <t>00161383</t>
        </is>
      </c>
      <c r="C910" s="29" t="inlineStr">
        <is>
          <t>한미반도체</t>
        </is>
      </c>
      <c r="D910" s="29" t="inlineStr">
        <is>
          <t>hanmi</t>
        </is>
      </c>
      <c r="E910" s="29" t="inlineStr">
        <is>
          <t>042700</t>
        </is>
      </c>
      <c r="F910" s="29" t="inlineStr">
        <is>
          <t>2025</t>
        </is>
      </c>
      <c r="G910" s="29" t="inlineStr">
        <is>
          <t>CFS</t>
        </is>
      </c>
      <c r="H910" s="29" t="inlineStr">
        <is>
          <t>BS</t>
        </is>
      </c>
      <c r="I910" s="29" t="inlineStr">
        <is>
          <t>재무상태표</t>
        </is>
      </c>
      <c r="J910" s="29" t="inlineStr">
        <is>
          <t>ifrs-full_NoncurrentLeaseLiabilities</t>
        </is>
      </c>
      <c r="K910" s="29" t="inlineStr">
        <is>
          <t>비유동 리스부채</t>
        </is>
      </c>
      <c r="L910" s="29" t="inlineStr">
        <is>
          <t>-</t>
        </is>
      </c>
      <c r="M910" s="29" t="inlineStr">
        <is>
          <t>제 46 기</t>
        </is>
      </c>
      <c r="N910" s="29" t="inlineStr">
        <is>
          <t>1214399871.0</t>
        </is>
      </c>
      <c r="O910" s="29" t="inlineStr">
        <is>
          <t>1462969932.0</t>
        </is>
      </c>
      <c r="P910" s="29" t="inlineStr">
        <is>
          <t>KRW</t>
        </is>
      </c>
      <c r="Q910" s="29" t="inlineStr">
        <is>
          <t>46</t>
        </is>
      </c>
    </row>
    <row r="911" ht="24" customHeight="1">
      <c r="A911" s="24" t="inlineStr">
        <is>
          <t>OpenDART_fnlttSinglAcntAll</t>
        </is>
      </c>
      <c r="B911" s="24" t="inlineStr">
        <is>
          <t>00161383</t>
        </is>
      </c>
      <c r="C911" s="24" t="inlineStr">
        <is>
          <t>한미반도체</t>
        </is>
      </c>
      <c r="D911" s="24" t="inlineStr">
        <is>
          <t>hanmi</t>
        </is>
      </c>
      <c r="E911" s="24" t="inlineStr">
        <is>
          <t>042700</t>
        </is>
      </c>
      <c r="F911" s="24" t="inlineStr">
        <is>
          <t>2025</t>
        </is>
      </c>
      <c r="G911" s="24" t="inlineStr">
        <is>
          <t>CFS</t>
        </is>
      </c>
      <c r="H911" s="24" t="inlineStr">
        <is>
          <t>BS</t>
        </is>
      </c>
      <c r="I911" s="24" t="inlineStr">
        <is>
          <t>재무상태표</t>
        </is>
      </c>
      <c r="J911" s="24" t="inlineStr">
        <is>
          <t>ifrs-full_NoncurrentProvisions</t>
        </is>
      </c>
      <c r="K911" s="24" t="inlineStr">
        <is>
          <t>비유동충당부채</t>
        </is>
      </c>
      <c r="L911" s="24" t="inlineStr">
        <is>
          <t>-</t>
        </is>
      </c>
      <c r="M911" s="24" t="inlineStr">
        <is>
          <t>제 46 기</t>
        </is>
      </c>
      <c r="N911" s="24" t="inlineStr">
        <is>
          <t>52990931.0</t>
        </is>
      </c>
      <c r="O911" s="24" t="inlineStr">
        <is>
          <t>15522064.0</t>
        </is>
      </c>
      <c r="P911" s="24" t="inlineStr">
        <is>
          <t>KRW</t>
        </is>
      </c>
      <c r="Q911" s="24" t="inlineStr">
        <is>
          <t>47</t>
        </is>
      </c>
    </row>
    <row r="912" ht="24" customHeight="1">
      <c r="A912" s="29" t="inlineStr">
        <is>
          <t>OpenDART_fnlttSinglAcntAll</t>
        </is>
      </c>
      <c r="B912" s="29" t="inlineStr">
        <is>
          <t>00161383</t>
        </is>
      </c>
      <c r="C912" s="29" t="inlineStr">
        <is>
          <t>한미반도체</t>
        </is>
      </c>
      <c r="D912" s="29" t="inlineStr">
        <is>
          <t>hanmi</t>
        </is>
      </c>
      <c r="E912" s="29" t="inlineStr">
        <is>
          <t>042700</t>
        </is>
      </c>
      <c r="F912" s="29" t="inlineStr">
        <is>
          <t>2025</t>
        </is>
      </c>
      <c r="G912" s="29" t="inlineStr">
        <is>
          <t>CFS</t>
        </is>
      </c>
      <c r="H912" s="29" t="inlineStr">
        <is>
          <t>BS</t>
        </is>
      </c>
      <c r="I912" s="29" t="inlineStr">
        <is>
          <t>재무상태표</t>
        </is>
      </c>
      <c r="J912" s="29" t="inlineStr">
        <is>
          <t>ifrs-full_OtherNoncurrentFinancialLiabilities</t>
        </is>
      </c>
      <c r="K912" s="29" t="inlineStr">
        <is>
          <t>기타비유동금융부채</t>
        </is>
      </c>
      <c r="L912" s="29" t="inlineStr">
        <is>
          <t>-</t>
        </is>
      </c>
      <c r="M912" s="29" t="inlineStr">
        <is>
          <t>제 46 기</t>
        </is>
      </c>
      <c r="N912" s="29" t="inlineStr">
        <is>
          <t>486384085.0</t>
        </is>
      </c>
      <c r="O912" s="29" t="inlineStr">
        <is>
          <t>448550134.0</t>
        </is>
      </c>
      <c r="P912" s="29" t="inlineStr">
        <is>
          <t>KRW</t>
        </is>
      </c>
      <c r="Q912" s="29" t="inlineStr">
        <is>
          <t>48</t>
        </is>
      </c>
    </row>
    <row r="913" ht="24" customHeight="1">
      <c r="A913" s="24" t="inlineStr">
        <is>
          <t>OpenDART_fnlttSinglAcntAll</t>
        </is>
      </c>
      <c r="B913" s="24" t="inlineStr">
        <is>
          <t>00161383</t>
        </is>
      </c>
      <c r="C913" s="24" t="inlineStr">
        <is>
          <t>한미반도체</t>
        </is>
      </c>
      <c r="D913" s="24" t="inlineStr">
        <is>
          <t>hanmi</t>
        </is>
      </c>
      <c r="E913" s="24" t="inlineStr">
        <is>
          <t>042700</t>
        </is>
      </c>
      <c r="F913" s="24" t="inlineStr">
        <is>
          <t>2025</t>
        </is>
      </c>
      <c r="G913" s="24" t="inlineStr">
        <is>
          <t>CFS</t>
        </is>
      </c>
      <c r="H913" s="24" t="inlineStr">
        <is>
          <t>BS</t>
        </is>
      </c>
      <c r="I913" s="24" t="inlineStr">
        <is>
          <t>재무상태표</t>
        </is>
      </c>
      <c r="J913" s="24" t="inlineStr">
        <is>
          <t>ifrs-full_OtherNoncurrentLiabilities</t>
        </is>
      </c>
      <c r="K913" s="24" t="inlineStr">
        <is>
          <t>기타 비유동 부채</t>
        </is>
      </c>
      <c r="L913" s="24" t="inlineStr">
        <is>
          <t>-</t>
        </is>
      </c>
      <c r="M913" s="24" t="inlineStr">
        <is>
          <t>제 46 기</t>
        </is>
      </c>
      <c r="N913" s="24" t="inlineStr">
        <is>
          <t>1130001804.0</t>
        </is>
      </c>
      <c r="O913" s="24" t="inlineStr">
        <is>
          <t>940782769.0</t>
        </is>
      </c>
      <c r="P913" s="24" t="inlineStr">
        <is>
          <t>KRW</t>
        </is>
      </c>
      <c r="Q913" s="24" t="inlineStr">
        <is>
          <t>49</t>
        </is>
      </c>
    </row>
    <row r="914" ht="24" customHeight="1">
      <c r="A914" s="29" t="inlineStr">
        <is>
          <t>OpenDART_fnlttSinglAcntAll</t>
        </is>
      </c>
      <c r="B914" s="29" t="inlineStr">
        <is>
          <t>00161383</t>
        </is>
      </c>
      <c r="C914" s="29" t="inlineStr">
        <is>
          <t>한미반도체</t>
        </is>
      </c>
      <c r="D914" s="29" t="inlineStr">
        <is>
          <t>hanmi</t>
        </is>
      </c>
      <c r="E914" s="29" t="inlineStr">
        <is>
          <t>042700</t>
        </is>
      </c>
      <c r="F914" s="29" t="inlineStr">
        <is>
          <t>2025</t>
        </is>
      </c>
      <c r="G914" s="29" t="inlineStr">
        <is>
          <t>CFS</t>
        </is>
      </c>
      <c r="H914" s="29" t="inlineStr">
        <is>
          <t>CIS</t>
        </is>
      </c>
      <c r="I914" s="29" t="inlineStr">
        <is>
          <t>포괄손익계산서</t>
        </is>
      </c>
      <c r="J914" s="29" t="inlineStr">
        <is>
          <t>dart_NonOperatingExpense</t>
        </is>
      </c>
      <c r="K914" s="29" t="inlineStr">
        <is>
          <t>영업외비용</t>
        </is>
      </c>
      <c r="L914" s="29" t="inlineStr">
        <is>
          <t>-</t>
        </is>
      </c>
      <c r="M914" s="29" t="inlineStr">
        <is>
          <t>제 46 기</t>
        </is>
      </c>
      <c r="N914" s="29" t="inlineStr">
        <is>
          <t>3192835802.0</t>
        </is>
      </c>
      <c r="O914" s="29" t="inlineStr">
        <is>
          <t>88370636180.0</t>
        </is>
      </c>
      <c r="P914" s="29" t="inlineStr">
        <is>
          <t>KRW</t>
        </is>
      </c>
      <c r="Q914" s="29" t="inlineStr">
        <is>
          <t>6</t>
        </is>
      </c>
    </row>
    <row r="915" ht="24" customHeight="1">
      <c r="A915" s="24" t="inlineStr">
        <is>
          <t>OpenDART_fnlttSinglAcntAll</t>
        </is>
      </c>
      <c r="B915" s="24" t="inlineStr">
        <is>
          <t>00161383</t>
        </is>
      </c>
      <c r="C915" s="24" t="inlineStr">
        <is>
          <t>한미반도체</t>
        </is>
      </c>
      <c r="D915" s="24" t="inlineStr">
        <is>
          <t>hanmi</t>
        </is>
      </c>
      <c r="E915" s="24" t="inlineStr">
        <is>
          <t>042700</t>
        </is>
      </c>
      <c r="F915" s="24" t="inlineStr">
        <is>
          <t>2025</t>
        </is>
      </c>
      <c r="G915" s="24" t="inlineStr">
        <is>
          <t>CFS</t>
        </is>
      </c>
      <c r="H915" s="24" t="inlineStr">
        <is>
          <t>CIS</t>
        </is>
      </c>
      <c r="I915" s="24" t="inlineStr">
        <is>
          <t>포괄손익계산서</t>
        </is>
      </c>
      <c r="J915" s="24" t="inlineStr">
        <is>
          <t>dart_NonOperatingIncome</t>
        </is>
      </c>
      <c r="K915" s="24" t="inlineStr">
        <is>
          <t>영업외수익</t>
        </is>
      </c>
      <c r="L915" s="24" t="inlineStr">
        <is>
          <t>-</t>
        </is>
      </c>
      <c r="M915" s="24" t="inlineStr">
        <is>
          <t>제 46 기</t>
        </is>
      </c>
      <c r="N915" s="24" t="inlineStr">
        <is>
          <t>23239415653.0</t>
        </is>
      </c>
      <c r="O915" s="24" t="inlineStr">
        <is>
          <t>2822640774.0</t>
        </is>
      </c>
      <c r="P915" s="24" t="inlineStr">
        <is>
          <t>KRW</t>
        </is>
      </c>
      <c r="Q915" s="24" t="inlineStr">
        <is>
          <t>7</t>
        </is>
      </c>
    </row>
    <row r="916" ht="24" customHeight="1">
      <c r="A916" s="29" t="inlineStr">
        <is>
          <t>OpenDART_fnlttSinglAcntAll</t>
        </is>
      </c>
      <c r="B916" s="29" t="inlineStr">
        <is>
          <t>00161383</t>
        </is>
      </c>
      <c r="C916" s="29" t="inlineStr">
        <is>
          <t>한미반도체</t>
        </is>
      </c>
      <c r="D916" s="29" t="inlineStr">
        <is>
          <t>hanmi</t>
        </is>
      </c>
      <c r="E916" s="29" t="inlineStr">
        <is>
          <t>042700</t>
        </is>
      </c>
      <c r="F916" s="29" t="inlineStr">
        <is>
          <t>2025</t>
        </is>
      </c>
      <c r="G916" s="29" t="inlineStr">
        <is>
          <t>CFS</t>
        </is>
      </c>
      <c r="H916" s="29" t="inlineStr">
        <is>
          <t>CIS</t>
        </is>
      </c>
      <c r="I916" s="29" t="inlineStr">
        <is>
          <t>포괄손익계산서</t>
        </is>
      </c>
      <c r="J916" s="29" t="inlineStr">
        <is>
          <t>dart_OperatingIncomeLoss</t>
        </is>
      </c>
      <c r="K916" s="29" t="inlineStr">
        <is>
          <t>영업이익(손실)</t>
        </is>
      </c>
      <c r="L916" s="29" t="inlineStr">
        <is>
          <t>-</t>
        </is>
      </c>
      <c r="M916" s="29" t="inlineStr">
        <is>
          <t>제 46 기</t>
        </is>
      </c>
      <c r="N916" s="29" t="inlineStr">
        <is>
          <t>251390142142.0</t>
        </is>
      </c>
      <c r="O916" s="29" t="inlineStr">
        <is>
          <t>255391604854.0</t>
        </is>
      </c>
      <c r="P916" s="29" t="inlineStr">
        <is>
          <t>KRW</t>
        </is>
      </c>
      <c r="Q916" s="29" t="inlineStr">
        <is>
          <t>8</t>
        </is>
      </c>
    </row>
    <row r="917" ht="24" customHeight="1">
      <c r="A917" s="24" t="inlineStr">
        <is>
          <t>OpenDART_fnlttSinglAcntAll</t>
        </is>
      </c>
      <c r="B917" s="24" t="inlineStr">
        <is>
          <t>00161383</t>
        </is>
      </c>
      <c r="C917" s="24" t="inlineStr">
        <is>
          <t>한미반도체</t>
        </is>
      </c>
      <c r="D917" s="24" t="inlineStr">
        <is>
          <t>hanmi</t>
        </is>
      </c>
      <c r="E917" s="24" t="inlineStr">
        <is>
          <t>042700</t>
        </is>
      </c>
      <c r="F917" s="24" t="inlineStr">
        <is>
          <t>2025</t>
        </is>
      </c>
      <c r="G917" s="24" t="inlineStr">
        <is>
          <t>CFS</t>
        </is>
      </c>
      <c r="H917" s="24" t="inlineStr">
        <is>
          <t>CIS</t>
        </is>
      </c>
      <c r="I917" s="24" t="inlineStr">
        <is>
          <t>포괄손익계산서</t>
        </is>
      </c>
      <c r="J917" s="24" t="inlineStr">
        <is>
          <t>dart_TotalSellingGeneralAdministrativeExpenses</t>
        </is>
      </c>
      <c r="K917" s="24" t="inlineStr">
        <is>
          <t>판매비와관리비</t>
        </is>
      </c>
      <c r="L917" s="24" t="inlineStr">
        <is>
          <t>-</t>
        </is>
      </c>
      <c r="M917" s="24" t="inlineStr">
        <is>
          <t>제 46 기</t>
        </is>
      </c>
      <c r="N917" s="24" t="inlineStr">
        <is>
          <t>61281136435.0</t>
        </is>
      </c>
      <c r="O917" s="24" t="inlineStr">
        <is>
          <t>41275747991.0</t>
        </is>
      </c>
      <c r="P917" s="24" t="inlineStr">
        <is>
          <t>KRW</t>
        </is>
      </c>
      <c r="Q917" s="24" t="inlineStr">
        <is>
          <t>9</t>
        </is>
      </c>
    </row>
    <row r="918" ht="24" customHeight="1">
      <c r="A918" s="29" t="inlineStr">
        <is>
          <t>OpenDART_fnlttSinglAcntAll</t>
        </is>
      </c>
      <c r="B918" s="29" t="inlineStr">
        <is>
          <t>00161383</t>
        </is>
      </c>
      <c r="C918" s="29" t="inlineStr">
        <is>
          <t>한미반도체</t>
        </is>
      </c>
      <c r="D918" s="29" t="inlineStr">
        <is>
          <t>hanmi</t>
        </is>
      </c>
      <c r="E918" s="29" t="inlineStr">
        <is>
          <t>042700</t>
        </is>
      </c>
      <c r="F918" s="29" t="inlineStr">
        <is>
          <t>2025</t>
        </is>
      </c>
      <c r="G918" s="29" t="inlineStr">
        <is>
          <t>CFS</t>
        </is>
      </c>
      <c r="H918" s="29" t="inlineStr">
        <is>
          <t>CIS</t>
        </is>
      </c>
      <c r="I918" s="29" t="inlineStr">
        <is>
          <t>포괄손익계산서</t>
        </is>
      </c>
      <c r="J918" s="29" t="inlineStr">
        <is>
          <t>ifrs-full_ComprehensiveIncome</t>
        </is>
      </c>
      <c r="K918" s="29" t="inlineStr">
        <is>
          <t>총포괄손익</t>
        </is>
      </c>
      <c r="L918" s="29" t="inlineStr">
        <is>
          <t>-</t>
        </is>
      </c>
      <c r="M918" s="29" t="inlineStr">
        <is>
          <t>제 46 기</t>
        </is>
      </c>
      <c r="N918" s="29" t="inlineStr">
        <is>
          <t>213007483908.0</t>
        </is>
      </c>
      <c r="O918" s="29" t="inlineStr">
        <is>
          <t>150500341186.0</t>
        </is>
      </c>
      <c r="P918" s="29" t="inlineStr">
        <is>
          <t>KRW</t>
        </is>
      </c>
      <c r="Q918" s="29" t="inlineStr">
        <is>
          <t>10</t>
        </is>
      </c>
    </row>
    <row r="919" ht="24" customHeight="1">
      <c r="A919" s="24" t="inlineStr">
        <is>
          <t>OpenDART_fnlttSinglAcntAll</t>
        </is>
      </c>
      <c r="B919" s="24" t="inlineStr">
        <is>
          <t>00161383</t>
        </is>
      </c>
      <c r="C919" s="24" t="inlineStr">
        <is>
          <t>한미반도체</t>
        </is>
      </c>
      <c r="D919" s="24" t="inlineStr">
        <is>
          <t>hanmi</t>
        </is>
      </c>
      <c r="E919" s="24" t="inlineStr">
        <is>
          <t>042700</t>
        </is>
      </c>
      <c r="F919" s="24" t="inlineStr">
        <is>
          <t>2025</t>
        </is>
      </c>
      <c r="G919" s="24" t="inlineStr">
        <is>
          <t>CFS</t>
        </is>
      </c>
      <c r="H919" s="24" t="inlineStr">
        <is>
          <t>CIS</t>
        </is>
      </c>
      <c r="I919" s="24" t="inlineStr">
        <is>
          <t>포괄손익계산서</t>
        </is>
      </c>
      <c r="J919" s="24" t="inlineStr">
        <is>
          <t>ifrs-full_ComprehensiveIncomeAttributableToOwnersOfParent</t>
        </is>
      </c>
      <c r="K919" s="24" t="inlineStr">
        <is>
          <t>포괄손익, 지배기업의 소유주에게 귀속되는 지분</t>
        </is>
      </c>
      <c r="L919" s="24" t="inlineStr">
        <is>
          <t>-</t>
        </is>
      </c>
      <c r="M919" s="24" t="inlineStr">
        <is>
          <t>제 46 기</t>
        </is>
      </c>
      <c r="N919" s="24" t="inlineStr">
        <is>
          <t>213007483908.0</t>
        </is>
      </c>
      <c r="O919" s="24" t="inlineStr">
        <is>
          <t>150500341186.0</t>
        </is>
      </c>
      <c r="P919" s="24" t="inlineStr">
        <is>
          <t>KRW</t>
        </is>
      </c>
      <c r="Q919" s="24" t="inlineStr">
        <is>
          <t>13</t>
        </is>
      </c>
    </row>
    <row r="920" ht="24" customHeight="1">
      <c r="A920" s="29" t="inlineStr">
        <is>
          <t>OpenDART_fnlttSinglAcntAll</t>
        </is>
      </c>
      <c r="B920" s="29" t="inlineStr">
        <is>
          <t>00161383</t>
        </is>
      </c>
      <c r="C920" s="29" t="inlineStr">
        <is>
          <t>한미반도체</t>
        </is>
      </c>
      <c r="D920" s="29" t="inlineStr">
        <is>
          <t>hanmi</t>
        </is>
      </c>
      <c r="E920" s="29" t="inlineStr">
        <is>
          <t>042700</t>
        </is>
      </c>
      <c r="F920" s="29" t="inlineStr">
        <is>
          <t>2025</t>
        </is>
      </c>
      <c r="G920" s="29" t="inlineStr">
        <is>
          <t>CFS</t>
        </is>
      </c>
      <c r="H920" s="29" t="inlineStr">
        <is>
          <t>CIS</t>
        </is>
      </c>
      <c r="I920" s="29" t="inlineStr">
        <is>
          <t>포괄손익계산서</t>
        </is>
      </c>
      <c r="J920" s="29" t="inlineStr">
        <is>
          <t>ifrs-full_CostOfSales</t>
        </is>
      </c>
      <c r="K920" s="29" t="inlineStr">
        <is>
          <t>매출원가</t>
        </is>
      </c>
      <c r="L920" s="29" t="inlineStr">
        <is>
          <t>-</t>
        </is>
      </c>
      <c r="M920" s="29" t="inlineStr">
        <is>
          <t>제 46 기</t>
        </is>
      </c>
      <c r="N920" s="29" t="inlineStr">
        <is>
          <t>244617054373.0</t>
        </is>
      </c>
      <c r="O920" s="29" t="inlineStr">
        <is>
          <t>244394994634.0</t>
        </is>
      </c>
      <c r="P920" s="29" t="inlineStr">
        <is>
          <t>KRW</t>
        </is>
      </c>
      <c r="Q920" s="29" t="inlineStr">
        <is>
          <t>14</t>
        </is>
      </c>
    </row>
    <row r="921" ht="24" customHeight="1">
      <c r="A921" s="24" t="inlineStr">
        <is>
          <t>OpenDART_fnlttSinglAcntAll</t>
        </is>
      </c>
      <c r="B921" s="24" t="inlineStr">
        <is>
          <t>00161383</t>
        </is>
      </c>
      <c r="C921" s="24" t="inlineStr">
        <is>
          <t>한미반도체</t>
        </is>
      </c>
      <c r="D921" s="24" t="inlineStr">
        <is>
          <t>hanmi</t>
        </is>
      </c>
      <c r="E921" s="24" t="inlineStr">
        <is>
          <t>042700</t>
        </is>
      </c>
      <c r="F921" s="24" t="inlineStr">
        <is>
          <t>2025</t>
        </is>
      </c>
      <c r="G921" s="24" t="inlineStr">
        <is>
          <t>CFS</t>
        </is>
      </c>
      <c r="H921" s="24" t="inlineStr">
        <is>
          <t>CIS</t>
        </is>
      </c>
      <c r="I921" s="24" t="inlineStr">
        <is>
          <t>포괄손익계산서</t>
        </is>
      </c>
      <c r="J921" s="24" t="inlineStr">
        <is>
          <t>ifrs-full_BasicEarningsLossPerShare</t>
        </is>
      </c>
      <c r="K921" s="24" t="inlineStr">
        <is>
          <t>기본주당이익(손실)</t>
        </is>
      </c>
      <c r="L921" s="24" t="inlineStr">
        <is>
          <t>-</t>
        </is>
      </c>
      <c r="M921" s="24" t="inlineStr">
        <is>
          <t>제 46 기</t>
        </is>
      </c>
      <c r="N921" s="24" t="inlineStr">
        <is>
          <t>2256.0</t>
        </is>
      </c>
      <c r="O921" s="24" t="inlineStr">
        <is>
          <t>1589.0</t>
        </is>
      </c>
      <c r="P921" s="24" t="inlineStr">
        <is>
          <t>KRW</t>
        </is>
      </c>
      <c r="Q921" s="24" t="inlineStr">
        <is>
          <t>16</t>
        </is>
      </c>
    </row>
    <row r="922" ht="24" customHeight="1">
      <c r="A922" s="29" t="inlineStr">
        <is>
          <t>OpenDART_fnlttSinglAcntAll</t>
        </is>
      </c>
      <c r="B922" s="29" t="inlineStr">
        <is>
          <t>00161383</t>
        </is>
      </c>
      <c r="C922" s="29" t="inlineStr">
        <is>
          <t>한미반도체</t>
        </is>
      </c>
      <c r="D922" s="29" t="inlineStr">
        <is>
          <t>hanmi</t>
        </is>
      </c>
      <c r="E922" s="29" t="inlineStr">
        <is>
          <t>042700</t>
        </is>
      </c>
      <c r="F922" s="29" t="inlineStr">
        <is>
          <t>2025</t>
        </is>
      </c>
      <c r="G922" s="29" t="inlineStr">
        <is>
          <t>CFS</t>
        </is>
      </c>
      <c r="H922" s="29" t="inlineStr">
        <is>
          <t>CIS</t>
        </is>
      </c>
      <c r="I922" s="29" t="inlineStr">
        <is>
          <t>포괄손익계산서</t>
        </is>
      </c>
      <c r="J922" s="29" t="inlineStr">
        <is>
          <t>ifrs-full_DilutedEarningsLossPerShare</t>
        </is>
      </c>
      <c r="K922" s="29" t="inlineStr">
        <is>
          <t>희석주당이익(손실)</t>
        </is>
      </c>
      <c r="L922" s="29" t="inlineStr">
        <is>
          <t>-</t>
        </is>
      </c>
      <c r="M922" s="29" t="inlineStr">
        <is>
          <t>제 46 기</t>
        </is>
      </c>
      <c r="N922" s="29" t="inlineStr">
        <is>
          <t>2248.0</t>
        </is>
      </c>
      <c r="O922" s="29" t="inlineStr">
        <is>
          <t>1584.0</t>
        </is>
      </c>
      <c r="P922" s="29" t="inlineStr">
        <is>
          <t>KRW</t>
        </is>
      </c>
      <c r="Q922" s="29" t="inlineStr">
        <is>
          <t>17</t>
        </is>
      </c>
    </row>
    <row r="923" ht="24" customHeight="1">
      <c r="A923" s="24" t="inlineStr">
        <is>
          <t>OpenDART_fnlttSinglAcntAll</t>
        </is>
      </c>
      <c r="B923" s="24" t="inlineStr">
        <is>
          <t>00161383</t>
        </is>
      </c>
      <c r="C923" s="24" t="inlineStr">
        <is>
          <t>한미반도체</t>
        </is>
      </c>
      <c r="D923" s="24" t="inlineStr">
        <is>
          <t>hanmi</t>
        </is>
      </c>
      <c r="E923" s="24" t="inlineStr">
        <is>
          <t>042700</t>
        </is>
      </c>
      <c r="F923" s="24" t="inlineStr">
        <is>
          <t>2025</t>
        </is>
      </c>
      <c r="G923" s="24" t="inlineStr">
        <is>
          <t>CFS</t>
        </is>
      </c>
      <c r="H923" s="24" t="inlineStr">
        <is>
          <t>CIS</t>
        </is>
      </c>
      <c r="I923" s="24" t="inlineStr">
        <is>
          <t>포괄손익계산서</t>
        </is>
      </c>
      <c r="J923" s="24" t="inlineStr">
        <is>
          <t>ifrs-full_FinanceCosts</t>
        </is>
      </c>
      <c r="K923" s="24" t="inlineStr">
        <is>
          <t>금융원가</t>
        </is>
      </c>
      <c r="L923" s="24" t="inlineStr">
        <is>
          <t>-</t>
        </is>
      </c>
      <c r="M923" s="24" t="inlineStr">
        <is>
          <t>제 46 기</t>
        </is>
      </c>
      <c r="N923" s="24" t="inlineStr">
        <is>
          <t>10309063583.0</t>
        </is>
      </c>
      <c r="O923" s="24" t="inlineStr">
        <is>
          <t>6078237057.0</t>
        </is>
      </c>
      <c r="P923" s="24" t="inlineStr">
        <is>
          <t>KRW</t>
        </is>
      </c>
      <c r="Q923" s="24" t="inlineStr">
        <is>
          <t>18</t>
        </is>
      </c>
    </row>
    <row r="924" ht="24" customHeight="1">
      <c r="A924" s="29" t="inlineStr">
        <is>
          <t>OpenDART_fnlttSinglAcntAll</t>
        </is>
      </c>
      <c r="B924" s="29" t="inlineStr">
        <is>
          <t>00161383</t>
        </is>
      </c>
      <c r="C924" s="29" t="inlineStr">
        <is>
          <t>한미반도체</t>
        </is>
      </c>
      <c r="D924" s="29" t="inlineStr">
        <is>
          <t>hanmi</t>
        </is>
      </c>
      <c r="E924" s="29" t="inlineStr">
        <is>
          <t>042700</t>
        </is>
      </c>
      <c r="F924" s="29" t="inlineStr">
        <is>
          <t>2025</t>
        </is>
      </c>
      <c r="G924" s="29" t="inlineStr">
        <is>
          <t>CFS</t>
        </is>
      </c>
      <c r="H924" s="29" t="inlineStr">
        <is>
          <t>CIS</t>
        </is>
      </c>
      <c r="I924" s="29" t="inlineStr">
        <is>
          <t>포괄손익계산서</t>
        </is>
      </c>
      <c r="J924" s="29" t="inlineStr">
        <is>
          <t>ifrs-full_FinanceIncome</t>
        </is>
      </c>
      <c r="K924" s="29" t="inlineStr">
        <is>
          <t>금융수익</t>
        </is>
      </c>
      <c r="L924" s="29" t="inlineStr">
        <is>
          <t>-</t>
        </is>
      </c>
      <c r="M924" s="29" t="inlineStr">
        <is>
          <t>제 46 기</t>
        </is>
      </c>
      <c r="N924" s="29" t="inlineStr">
        <is>
          <t>17909294993.0</t>
        </is>
      </c>
      <c r="O924" s="29" t="inlineStr">
        <is>
          <t>34491545262.0</t>
        </is>
      </c>
      <c r="P924" s="29" t="inlineStr">
        <is>
          <t>KRW</t>
        </is>
      </c>
      <c r="Q924" s="29" t="inlineStr">
        <is>
          <t>19</t>
        </is>
      </c>
    </row>
    <row r="925" ht="24" customHeight="1">
      <c r="A925" s="24" t="inlineStr">
        <is>
          <t>OpenDART_fnlttSinglAcntAll</t>
        </is>
      </c>
      <c r="B925" s="24" t="inlineStr">
        <is>
          <t>00161383</t>
        </is>
      </c>
      <c r="C925" s="24" t="inlineStr">
        <is>
          <t>한미반도체</t>
        </is>
      </c>
      <c r="D925" s="24" t="inlineStr">
        <is>
          <t>hanmi</t>
        </is>
      </c>
      <c r="E925" s="24" t="inlineStr">
        <is>
          <t>042700</t>
        </is>
      </c>
      <c r="F925" s="24" t="inlineStr">
        <is>
          <t>2025</t>
        </is>
      </c>
      <c r="G925" s="24" t="inlineStr">
        <is>
          <t>CFS</t>
        </is>
      </c>
      <c r="H925" s="24" t="inlineStr">
        <is>
          <t>CIS</t>
        </is>
      </c>
      <c r="I925" s="24" t="inlineStr">
        <is>
          <t>포괄손익계산서</t>
        </is>
      </c>
      <c r="J925" s="24" t="inlineStr">
        <is>
          <t>ifrs-full_GrossProfit</t>
        </is>
      </c>
      <c r="K925" s="24" t="inlineStr">
        <is>
          <t>매출총이익</t>
        </is>
      </c>
      <c r="L925" s="24" t="inlineStr">
        <is>
          <t>-</t>
        </is>
      </c>
      <c r="M925" s="24" t="inlineStr">
        <is>
          <t>제 46 기</t>
        </is>
      </c>
      <c r="N925" s="24" t="inlineStr">
        <is>
          <t>332067565154.0</t>
        </is>
      </c>
      <c r="O925" s="24" t="inlineStr">
        <is>
          <t>314522196913.0</t>
        </is>
      </c>
      <c r="P925" s="24" t="inlineStr">
        <is>
          <t>KRW</t>
        </is>
      </c>
      <c r="Q925" s="24" t="inlineStr">
        <is>
          <t>20</t>
        </is>
      </c>
    </row>
    <row r="926" ht="24" customHeight="1">
      <c r="A926" s="29" t="inlineStr">
        <is>
          <t>OpenDART_fnlttSinglAcntAll</t>
        </is>
      </c>
      <c r="B926" s="29" t="inlineStr">
        <is>
          <t>00161383</t>
        </is>
      </c>
      <c r="C926" s="29" t="inlineStr">
        <is>
          <t>한미반도체</t>
        </is>
      </c>
      <c r="D926" s="29" t="inlineStr">
        <is>
          <t>hanmi</t>
        </is>
      </c>
      <c r="E926" s="29" t="inlineStr">
        <is>
          <t>042700</t>
        </is>
      </c>
      <c r="F926" s="29" t="inlineStr">
        <is>
          <t>2025</t>
        </is>
      </c>
      <c r="G926" s="29" t="inlineStr">
        <is>
          <t>CFS</t>
        </is>
      </c>
      <c r="H926" s="29" t="inlineStr">
        <is>
          <t>CIS</t>
        </is>
      </c>
      <c r="I926" s="29" t="inlineStr">
        <is>
          <t>포괄손익계산서</t>
        </is>
      </c>
      <c r="J926" s="29" t="inlineStr">
        <is>
          <t>ifrs-full_IncomeTaxExpenseContinuingOperations</t>
        </is>
      </c>
      <c r="K926" s="29" t="inlineStr">
        <is>
          <t>법인세비용(수익)</t>
        </is>
      </c>
      <c r="L926" s="29" t="inlineStr">
        <is>
          <t>-</t>
        </is>
      </c>
      <c r="M926" s="29" t="inlineStr">
        <is>
          <t>제 46 기</t>
        </is>
      </c>
      <c r="N926" s="29" t="inlineStr">
        <is>
          <t>64375520296.0</t>
        </is>
      </c>
      <c r="O926" s="29" t="inlineStr">
        <is>
          <t>45759900620.0</t>
        </is>
      </c>
      <c r="P926" s="29" t="inlineStr">
        <is>
          <t>KRW</t>
        </is>
      </c>
      <c r="Q926" s="29" t="inlineStr">
        <is>
          <t>21</t>
        </is>
      </c>
    </row>
    <row r="927" ht="24" customHeight="1">
      <c r="A927" s="24" t="inlineStr">
        <is>
          <t>OpenDART_fnlttSinglAcntAll</t>
        </is>
      </c>
      <c r="B927" s="24" t="inlineStr">
        <is>
          <t>00161383</t>
        </is>
      </c>
      <c r="C927" s="24" t="inlineStr">
        <is>
          <t>한미반도체</t>
        </is>
      </c>
      <c r="D927" s="24" t="inlineStr">
        <is>
          <t>hanmi</t>
        </is>
      </c>
      <c r="E927" s="24" t="inlineStr">
        <is>
          <t>042700</t>
        </is>
      </c>
      <c r="F927" s="24" t="inlineStr">
        <is>
          <t>2025</t>
        </is>
      </c>
      <c r="G927" s="24" t="inlineStr">
        <is>
          <t>CFS</t>
        </is>
      </c>
      <c r="H927" s="24" t="inlineStr">
        <is>
          <t>CIS</t>
        </is>
      </c>
      <c r="I927" s="24" t="inlineStr">
        <is>
          <t>포괄손익계산서</t>
        </is>
      </c>
      <c r="J927" s="24" t="inlineStr">
        <is>
          <t>ifrs-full_OtherComprehensiveIncome</t>
        </is>
      </c>
      <c r="K927" s="24" t="inlineStr">
        <is>
          <t>기타포괄손익</t>
        </is>
      </c>
      <c r="L927" s="24" t="inlineStr">
        <is>
          <t>-</t>
        </is>
      </c>
      <c r="M927" s="24" t="inlineStr">
        <is>
          <t>제 46 기</t>
        </is>
      </c>
      <c r="N927" s="24" t="inlineStr">
        <is>
          <t>-1000064503.0</t>
        </is>
      </c>
      <c r="O927" s="24" t="inlineStr">
        <is>
          <t>-2114156815.0</t>
        </is>
      </c>
      <c r="P927" s="24" t="inlineStr">
        <is>
          <t>KRW</t>
        </is>
      </c>
      <c r="Q927" s="24" t="inlineStr">
        <is>
          <t>22</t>
        </is>
      </c>
    </row>
    <row r="928" ht="24" customHeight="1">
      <c r="A928" s="29" t="inlineStr">
        <is>
          <t>OpenDART_fnlttSinglAcntAll</t>
        </is>
      </c>
      <c r="B928" s="29" t="inlineStr">
        <is>
          <t>00161383</t>
        </is>
      </c>
      <c r="C928" s="29" t="inlineStr">
        <is>
          <t>한미반도체</t>
        </is>
      </c>
      <c r="D928" s="29" t="inlineStr">
        <is>
          <t>hanmi</t>
        </is>
      </c>
      <c r="E928" s="29" t="inlineStr">
        <is>
          <t>042700</t>
        </is>
      </c>
      <c r="F928" s="29" t="inlineStr">
        <is>
          <t>2025</t>
        </is>
      </c>
      <c r="G928" s="29" t="inlineStr">
        <is>
          <t>CFS</t>
        </is>
      </c>
      <c r="H928" s="29" t="inlineStr">
        <is>
          <t>CIS</t>
        </is>
      </c>
      <c r="I928" s="29" t="inlineStr">
        <is>
          <t>포괄손익계산서</t>
        </is>
      </c>
      <c r="J928" s="29" t="inlineStr">
        <is>
          <t>ifrs-full_OtherComprehensiveIncomeThatWillBeReclassifiedToProfitOrLossNetOfTax</t>
        </is>
      </c>
      <c r="K928" s="29" t="inlineStr">
        <is>
          <t>당기손익으로 재분류될 수 있는 항목(세후기타포괄손익)</t>
        </is>
      </c>
      <c r="L928" s="29" t="inlineStr">
        <is>
          <t>-</t>
        </is>
      </c>
      <c r="M928" s="29" t="inlineStr">
        <is>
          <t>제 46 기</t>
        </is>
      </c>
      <c r="N928" s="29" t="inlineStr">
        <is>
          <t>146597275.0</t>
        </is>
      </c>
      <c r="O928" s="29" t="inlineStr">
        <is>
          <t>240631470.0</t>
        </is>
      </c>
      <c r="P928" s="29" t="inlineStr">
        <is>
          <t>KRW</t>
        </is>
      </c>
      <c r="Q928" s="29" t="inlineStr">
        <is>
          <t>23</t>
        </is>
      </c>
    </row>
    <row r="929" ht="24" customHeight="1">
      <c r="A929" s="24" t="inlineStr">
        <is>
          <t>OpenDART_fnlttSinglAcntAll</t>
        </is>
      </c>
      <c r="B929" s="24" t="inlineStr">
        <is>
          <t>00161383</t>
        </is>
      </c>
      <c r="C929" s="24" t="inlineStr">
        <is>
          <t>한미반도체</t>
        </is>
      </c>
      <c r="D929" s="24" t="inlineStr">
        <is>
          <t>hanmi</t>
        </is>
      </c>
      <c r="E929" s="24" t="inlineStr">
        <is>
          <t>042700</t>
        </is>
      </c>
      <c r="F929" s="24" t="inlineStr">
        <is>
          <t>2025</t>
        </is>
      </c>
      <c r="G929" s="24" t="inlineStr">
        <is>
          <t>CFS</t>
        </is>
      </c>
      <c r="H929" s="24" t="inlineStr">
        <is>
          <t>CIS</t>
        </is>
      </c>
      <c r="I929" s="24" t="inlineStr">
        <is>
          <t>포괄손익계산서</t>
        </is>
      </c>
      <c r="J929" s="24" t="inlineStr">
        <is>
          <t>ifrs-full_GainsLossesOnExchangeDifferencesOnTranslationNetOfTax</t>
        </is>
      </c>
      <c r="K929" s="24" t="inlineStr">
        <is>
          <t>해외사업장환산외환차이(세후기타포괄손익)</t>
        </is>
      </c>
      <c r="L929" s="24" t="inlineStr">
        <is>
          <t>-</t>
        </is>
      </c>
      <c r="M929" s="24" t="inlineStr">
        <is>
          <t>제 46 기</t>
        </is>
      </c>
      <c r="N929" s="24" t="inlineStr">
        <is>
          <t>146597275.0</t>
        </is>
      </c>
      <c r="O929" s="24" t="inlineStr">
        <is>
          <t>240631470.0</t>
        </is>
      </c>
      <c r="P929" s="24" t="inlineStr">
        <is>
          <t>KRW</t>
        </is>
      </c>
      <c r="Q929" s="24" t="inlineStr">
        <is>
          <t>24</t>
        </is>
      </c>
    </row>
    <row r="930" ht="24" customHeight="1">
      <c r="A930" s="29" t="inlineStr">
        <is>
          <t>OpenDART_fnlttSinglAcntAll</t>
        </is>
      </c>
      <c r="B930" s="29" t="inlineStr">
        <is>
          <t>00161383</t>
        </is>
      </c>
      <c r="C930" s="29" t="inlineStr">
        <is>
          <t>한미반도체</t>
        </is>
      </c>
      <c r="D930" s="29" t="inlineStr">
        <is>
          <t>hanmi</t>
        </is>
      </c>
      <c r="E930" s="29" t="inlineStr">
        <is>
          <t>042700</t>
        </is>
      </c>
      <c r="F930" s="29" t="inlineStr">
        <is>
          <t>2025</t>
        </is>
      </c>
      <c r="G930" s="29" t="inlineStr">
        <is>
          <t>CFS</t>
        </is>
      </c>
      <c r="H930" s="29" t="inlineStr">
        <is>
          <t>CIS</t>
        </is>
      </c>
      <c r="I930" s="29" t="inlineStr">
        <is>
          <t>포괄손익계산서</t>
        </is>
      </c>
      <c r="J930" s="29" t="inlineStr">
        <is>
          <t>ifrs-full_ShareOfOtherComprehensiveIncomeOfAssociatesAndJointVenturesAccountedForUsingEquityMethodThatWillBeReclassifiedToProfitOrLossNetOfTax</t>
        </is>
      </c>
      <c r="K930" s="29" t="inlineStr">
        <is>
          <t>지분법 적용대상 관계기업과 공동기업의 기타포괄손익에 대한 지분(세후기타포괄손익)</t>
        </is>
      </c>
      <c r="L930" s="29" t="inlineStr">
        <is>
          <t>-</t>
        </is>
      </c>
      <c r="M930" s="29" t="inlineStr">
        <is>
          <t>제 46 기</t>
        </is>
      </c>
      <c r="N930" s="29" t="inlineStr">
        <is>
          <t>0.0</t>
        </is>
      </c>
      <c r="O930" s="29" t="inlineStr">
        <is>
          <t>0.0</t>
        </is>
      </c>
      <c r="P930" s="29" t="inlineStr">
        <is>
          <t>KRW</t>
        </is>
      </c>
      <c r="Q930" s="29" t="inlineStr">
        <is>
          <t>25</t>
        </is>
      </c>
    </row>
    <row r="931" ht="24" customHeight="1">
      <c r="A931" s="24" t="inlineStr">
        <is>
          <t>OpenDART_fnlttSinglAcntAll</t>
        </is>
      </c>
      <c r="B931" s="24" t="inlineStr">
        <is>
          <t>00161383</t>
        </is>
      </c>
      <c r="C931" s="24" t="inlineStr">
        <is>
          <t>한미반도체</t>
        </is>
      </c>
      <c r="D931" s="24" t="inlineStr">
        <is>
          <t>hanmi</t>
        </is>
      </c>
      <c r="E931" s="24" t="inlineStr">
        <is>
          <t>042700</t>
        </is>
      </c>
      <c r="F931" s="24" t="inlineStr">
        <is>
          <t>2025</t>
        </is>
      </c>
      <c r="G931" s="24" t="inlineStr">
        <is>
          <t>CFS</t>
        </is>
      </c>
      <c r="H931" s="24" t="inlineStr">
        <is>
          <t>CIS</t>
        </is>
      </c>
      <c r="I931" s="24" t="inlineStr">
        <is>
          <t>포괄손익계산서</t>
        </is>
      </c>
      <c r="J931" s="24" t="inlineStr">
        <is>
          <t>ifrs-full_OtherComprehensiveIncomeThatWillNotBeReclassifiedToProfitOrLossNetOfTax</t>
        </is>
      </c>
      <c r="K931" s="24" t="inlineStr">
        <is>
          <t>당기손익으로 재분류되지 않는항목(세후기타포괄손익)</t>
        </is>
      </c>
      <c r="L931" s="24" t="inlineStr">
        <is>
          <t>-</t>
        </is>
      </c>
      <c r="M931" s="24" t="inlineStr">
        <is>
          <t>제 46 기</t>
        </is>
      </c>
      <c r="N931" s="24" t="inlineStr">
        <is>
          <t>-1146661778.0</t>
        </is>
      </c>
      <c r="O931" s="24" t="inlineStr">
        <is>
          <t>-2354788285.0</t>
        </is>
      </c>
      <c r="P931" s="24" t="inlineStr">
        <is>
          <t>KRW</t>
        </is>
      </c>
      <c r="Q931" s="24" t="inlineStr">
        <is>
          <t>26</t>
        </is>
      </c>
    </row>
    <row r="932" ht="24" customHeight="1">
      <c r="A932" s="29" t="inlineStr">
        <is>
          <t>OpenDART_fnlttSinglAcntAll</t>
        </is>
      </c>
      <c r="B932" s="29" t="inlineStr">
        <is>
          <t>00161383</t>
        </is>
      </c>
      <c r="C932" s="29" t="inlineStr">
        <is>
          <t>한미반도체</t>
        </is>
      </c>
      <c r="D932" s="29" t="inlineStr">
        <is>
          <t>hanmi</t>
        </is>
      </c>
      <c r="E932" s="29" t="inlineStr">
        <is>
          <t>042700</t>
        </is>
      </c>
      <c r="F932" s="29" t="inlineStr">
        <is>
          <t>2025</t>
        </is>
      </c>
      <c r="G932" s="29" t="inlineStr">
        <is>
          <t>CFS</t>
        </is>
      </c>
      <c r="H932" s="29" t="inlineStr">
        <is>
          <t>CIS</t>
        </is>
      </c>
      <c r="I932" s="29" t="inlineStr">
        <is>
          <t>포괄손익계산서</t>
        </is>
      </c>
      <c r="J932" s="29" t="inlineStr">
        <is>
          <t>ifrs-full_IncomeTaxRelatingToComponentsOfOtherComprehensiveIncomeThatWillNotBeReclassifiedToProfitOrLoss</t>
        </is>
      </c>
      <c r="K932" s="29" t="inlineStr">
        <is>
          <t>당기손익으로 재분류되지 않는 항목과 관련된 법인세</t>
        </is>
      </c>
      <c r="L932" s="29" t="inlineStr">
        <is>
          <t>-</t>
        </is>
      </c>
      <c r="M932" s="29" t="inlineStr">
        <is>
          <t>제 46 기</t>
        </is>
      </c>
      <c r="N932" s="29" t="inlineStr">
        <is>
          <t>-366084631.0</t>
        </is>
      </c>
      <c r="O932" s="29" t="inlineStr">
        <is>
          <t>-707355129.0</t>
        </is>
      </c>
      <c r="P932" s="29" t="inlineStr">
        <is>
          <t>KRW</t>
        </is>
      </c>
      <c r="Q932" s="29" t="inlineStr">
        <is>
          <t>27</t>
        </is>
      </c>
    </row>
    <row r="933" ht="24" customHeight="1">
      <c r="A933" s="24" t="inlineStr">
        <is>
          <t>OpenDART_fnlttSinglAcntAll</t>
        </is>
      </c>
      <c r="B933" s="24" t="inlineStr">
        <is>
          <t>00161383</t>
        </is>
      </c>
      <c r="C933" s="24" t="inlineStr">
        <is>
          <t>한미반도체</t>
        </is>
      </c>
      <c r="D933" s="24" t="inlineStr">
        <is>
          <t>hanmi</t>
        </is>
      </c>
      <c r="E933" s="24" t="inlineStr">
        <is>
          <t>042700</t>
        </is>
      </c>
      <c r="F933" s="24" t="inlineStr">
        <is>
          <t>2025</t>
        </is>
      </c>
      <c r="G933" s="24" t="inlineStr">
        <is>
          <t>CFS</t>
        </is>
      </c>
      <c r="H933" s="24" t="inlineStr">
        <is>
          <t>CIS</t>
        </is>
      </c>
      <c r="I933" s="24" t="inlineStr">
        <is>
          <t>포괄손익계산서</t>
        </is>
      </c>
      <c r="J933" s="24" t="inlineStr">
        <is>
          <t>ifrs-full_OtherComprehensiveIncomeBeforeTaxGainsLossesOnRemeasurementsOfDefinedBenefitPlans</t>
        </is>
      </c>
      <c r="K933" s="24" t="inlineStr">
        <is>
          <t>확정급여제도의 재측정손익(세전기타포괄손익)</t>
        </is>
      </c>
      <c r="L933" s="24" t="inlineStr">
        <is>
          <t>-</t>
        </is>
      </c>
      <c r="M933" s="24" t="inlineStr">
        <is>
          <t>제 46 기</t>
        </is>
      </c>
      <c r="N933" s="24" t="inlineStr">
        <is>
          <t>-1512746409.0</t>
        </is>
      </c>
      <c r="O933" s="24" t="inlineStr">
        <is>
          <t>-3062143414.0</t>
        </is>
      </c>
      <c r="P933" s="24" t="inlineStr">
        <is>
          <t>KRW</t>
        </is>
      </c>
      <c r="Q933" s="24" t="inlineStr">
        <is>
          <t>28</t>
        </is>
      </c>
    </row>
    <row r="934" ht="24" customHeight="1">
      <c r="A934" s="29" t="inlineStr">
        <is>
          <t>OpenDART_fnlttSinglAcntAll</t>
        </is>
      </c>
      <c r="B934" s="29" t="inlineStr">
        <is>
          <t>00161383</t>
        </is>
      </c>
      <c r="C934" s="29" t="inlineStr">
        <is>
          <t>한미반도체</t>
        </is>
      </c>
      <c r="D934" s="29" t="inlineStr">
        <is>
          <t>hanmi</t>
        </is>
      </c>
      <c r="E934" s="29" t="inlineStr">
        <is>
          <t>042700</t>
        </is>
      </c>
      <c r="F934" s="29" t="inlineStr">
        <is>
          <t>2025</t>
        </is>
      </c>
      <c r="G934" s="29" t="inlineStr">
        <is>
          <t>CFS</t>
        </is>
      </c>
      <c r="H934" s="29" t="inlineStr">
        <is>
          <t>CIS</t>
        </is>
      </c>
      <c r="I934" s="29" t="inlineStr">
        <is>
          <t>포괄손익계산서</t>
        </is>
      </c>
      <c r="J934" s="29" t="inlineStr">
        <is>
          <t>ifrs-full_ProfitLoss</t>
        </is>
      </c>
      <c r="K934" s="29" t="inlineStr">
        <is>
          <t>당기순이익(손실)</t>
        </is>
      </c>
      <c r="L934" s="29" t="inlineStr">
        <is>
          <t>-</t>
        </is>
      </c>
      <c r="M934" s="29" t="inlineStr">
        <is>
          <t>제 46 기</t>
        </is>
      </c>
      <c r="N934" s="29" t="inlineStr">
        <is>
          <t>214007548411.0</t>
        </is>
      </c>
      <c r="O934" s="29" t="inlineStr">
        <is>
          <t>152614498001.0</t>
        </is>
      </c>
      <c r="P934" s="29" t="inlineStr">
        <is>
          <t>KRW</t>
        </is>
      </c>
      <c r="Q934" s="29" t="inlineStr">
        <is>
          <t>29</t>
        </is>
      </c>
    </row>
    <row r="935" ht="24" customHeight="1">
      <c r="A935" s="24" t="inlineStr">
        <is>
          <t>OpenDART_fnlttSinglAcntAll</t>
        </is>
      </c>
      <c r="B935" s="24" t="inlineStr">
        <is>
          <t>00161383</t>
        </is>
      </c>
      <c r="C935" s="24" t="inlineStr">
        <is>
          <t>한미반도체</t>
        </is>
      </c>
      <c r="D935" s="24" t="inlineStr">
        <is>
          <t>hanmi</t>
        </is>
      </c>
      <c r="E935" s="24" t="inlineStr">
        <is>
          <t>042700</t>
        </is>
      </c>
      <c r="F935" s="24" t="inlineStr">
        <is>
          <t>2025</t>
        </is>
      </c>
      <c r="G935" s="24" t="inlineStr">
        <is>
          <t>CFS</t>
        </is>
      </c>
      <c r="H935" s="24" t="inlineStr">
        <is>
          <t>CIS</t>
        </is>
      </c>
      <c r="I935" s="24" t="inlineStr">
        <is>
          <t>포괄손익계산서</t>
        </is>
      </c>
      <c r="J935" s="24" t="inlineStr">
        <is>
          <t>ifrs-full_ProfitLossAttributableToOwnersOfParent</t>
        </is>
      </c>
      <c r="K935" s="24" t="inlineStr">
        <is>
          <t>지배기업의 소유주에게 귀속되는 당기순이익(손실)</t>
        </is>
      </c>
      <c r="L935" s="24" t="inlineStr">
        <is>
          <t>-</t>
        </is>
      </c>
      <c r="M935" s="24" t="inlineStr">
        <is>
          <t>제 46 기</t>
        </is>
      </c>
      <c r="N935" s="24" t="inlineStr">
        <is>
          <t>214007548411.0</t>
        </is>
      </c>
      <c r="O935" s="24" t="inlineStr">
        <is>
          <t>152614498001.0</t>
        </is>
      </c>
      <c r="P935" s="24" t="inlineStr">
        <is>
          <t>KRW</t>
        </is>
      </c>
      <c r="Q935" s="24" t="inlineStr">
        <is>
          <t>32</t>
        </is>
      </c>
    </row>
    <row r="936" ht="24" customHeight="1">
      <c r="A936" s="29" t="inlineStr">
        <is>
          <t>OpenDART_fnlttSinglAcntAll</t>
        </is>
      </c>
      <c r="B936" s="29" t="inlineStr">
        <is>
          <t>00161383</t>
        </is>
      </c>
      <c r="C936" s="29" t="inlineStr">
        <is>
          <t>한미반도체</t>
        </is>
      </c>
      <c r="D936" s="29" t="inlineStr">
        <is>
          <t>hanmi</t>
        </is>
      </c>
      <c r="E936" s="29" t="inlineStr">
        <is>
          <t>042700</t>
        </is>
      </c>
      <c r="F936" s="29" t="inlineStr">
        <is>
          <t>2025</t>
        </is>
      </c>
      <c r="G936" s="29" t="inlineStr">
        <is>
          <t>CFS</t>
        </is>
      </c>
      <c r="H936" s="29" t="inlineStr">
        <is>
          <t>CIS</t>
        </is>
      </c>
      <c r="I936" s="29" t="inlineStr">
        <is>
          <t>포괄손익계산서</t>
        </is>
      </c>
      <c r="J936" s="29" t="inlineStr">
        <is>
          <t>ifrs-full_ProfitLossBeforeTax</t>
        </is>
      </c>
      <c r="K936" s="29" t="inlineStr">
        <is>
          <t>법인세비용차감전순이익(손실)</t>
        </is>
      </c>
      <c r="L936" s="29" t="inlineStr">
        <is>
          <t>-</t>
        </is>
      </c>
      <c r="M936" s="29" t="inlineStr">
        <is>
          <t>제 46 기</t>
        </is>
      </c>
      <c r="N936" s="29" t="inlineStr">
        <is>
          <t>278383068707.0</t>
        </is>
      </c>
      <c r="O936" s="29" t="inlineStr">
        <is>
          <t>198374398621.0</t>
        </is>
      </c>
      <c r="P936" s="29" t="inlineStr">
        <is>
          <t>KRW</t>
        </is>
      </c>
      <c r="Q936" s="29" t="inlineStr">
        <is>
          <t>33</t>
        </is>
      </c>
    </row>
    <row r="937" ht="24" customHeight="1">
      <c r="A937" s="24" t="inlineStr">
        <is>
          <t>OpenDART_fnlttSinglAcntAll</t>
        </is>
      </c>
      <c r="B937" s="24" t="inlineStr">
        <is>
          <t>00161383</t>
        </is>
      </c>
      <c r="C937" s="24" t="inlineStr">
        <is>
          <t>한미반도체</t>
        </is>
      </c>
      <c r="D937" s="24" t="inlineStr">
        <is>
          <t>hanmi</t>
        </is>
      </c>
      <c r="E937" s="24" t="inlineStr">
        <is>
          <t>042700</t>
        </is>
      </c>
      <c r="F937" s="24" t="inlineStr">
        <is>
          <t>2025</t>
        </is>
      </c>
      <c r="G937" s="24" t="inlineStr">
        <is>
          <t>CFS</t>
        </is>
      </c>
      <c r="H937" s="24" t="inlineStr">
        <is>
          <t>CIS</t>
        </is>
      </c>
      <c r="I937" s="24" t="inlineStr">
        <is>
          <t>포괄손익계산서</t>
        </is>
      </c>
      <c r="J937" s="24" t="inlineStr">
        <is>
          <t>ifrs-full_ResearchAndDevelopmentExpense</t>
        </is>
      </c>
      <c r="K937" s="24" t="inlineStr">
        <is>
          <t>연구와 개발 비용</t>
        </is>
      </c>
      <c r="L937" s="24" t="inlineStr">
        <is>
          <t>-</t>
        </is>
      </c>
      <c r="M937" s="24" t="inlineStr">
        <is>
          <t>제 46 기</t>
        </is>
      </c>
      <c r="N937" s="24" t="inlineStr">
        <is>
          <t>19396286577.0</t>
        </is>
      </c>
      <c r="O937" s="24" t="inlineStr">
        <is>
          <t>17854844068.0</t>
        </is>
      </c>
      <c r="P937" s="24" t="inlineStr">
        <is>
          <t>KRW</t>
        </is>
      </c>
      <c r="Q937" s="24" t="inlineStr">
        <is>
          <t>34</t>
        </is>
      </c>
    </row>
    <row r="938" ht="24" customHeight="1">
      <c r="A938" s="29" t="inlineStr">
        <is>
          <t>OpenDART_fnlttSinglAcntAll</t>
        </is>
      </c>
      <c r="B938" s="29" t="inlineStr">
        <is>
          <t>00161383</t>
        </is>
      </c>
      <c r="C938" s="29" t="inlineStr">
        <is>
          <t>한미반도체</t>
        </is>
      </c>
      <c r="D938" s="29" t="inlineStr">
        <is>
          <t>hanmi</t>
        </is>
      </c>
      <c r="E938" s="29" t="inlineStr">
        <is>
          <t>042700</t>
        </is>
      </c>
      <c r="F938" s="29" t="inlineStr">
        <is>
          <t>2025</t>
        </is>
      </c>
      <c r="G938" s="29" t="inlineStr">
        <is>
          <t>CFS</t>
        </is>
      </c>
      <c r="H938" s="29" t="inlineStr">
        <is>
          <t>CIS</t>
        </is>
      </c>
      <c r="I938" s="29" t="inlineStr">
        <is>
          <t>포괄손익계산서</t>
        </is>
      </c>
      <c r="J938" s="29" t="inlineStr">
        <is>
          <t>ifrs-full_Revenue</t>
        </is>
      </c>
      <c r="K938" s="29" t="inlineStr">
        <is>
          <t>수익(매출액)</t>
        </is>
      </c>
      <c r="L938" s="29" t="inlineStr">
        <is>
          <t>-</t>
        </is>
      </c>
      <c r="M938" s="29" t="inlineStr">
        <is>
          <t>제 46 기</t>
        </is>
      </c>
      <c r="N938" s="29" t="inlineStr">
        <is>
          <t>576684619527.0</t>
        </is>
      </c>
      <c r="O938" s="29" t="inlineStr">
        <is>
          <t>558917191547.0</t>
        </is>
      </c>
      <c r="P938" s="29" t="inlineStr">
        <is>
          <t>KRW</t>
        </is>
      </c>
      <c r="Q938" s="29" t="inlineStr">
        <is>
          <t>35</t>
        </is>
      </c>
    </row>
    <row r="939" ht="24" customHeight="1">
      <c r="A939" s="24" t="inlineStr">
        <is>
          <t>OpenDART_fnlttSinglAcntAll</t>
        </is>
      </c>
      <c r="B939" s="24" t="inlineStr">
        <is>
          <t>00161383</t>
        </is>
      </c>
      <c r="C939" s="24" t="inlineStr">
        <is>
          <t>한미반도체</t>
        </is>
      </c>
      <c r="D939" s="24" t="inlineStr">
        <is>
          <t>hanmi</t>
        </is>
      </c>
      <c r="E939" s="24" t="inlineStr">
        <is>
          <t>042700</t>
        </is>
      </c>
      <c r="F939" s="24" t="inlineStr">
        <is>
          <t>2025</t>
        </is>
      </c>
      <c r="G939" s="24" t="inlineStr">
        <is>
          <t>CFS</t>
        </is>
      </c>
      <c r="H939" s="24" t="inlineStr">
        <is>
          <t>CIS</t>
        </is>
      </c>
      <c r="I939" s="24" t="inlineStr">
        <is>
          <t>포괄손익계산서</t>
        </is>
      </c>
      <c r="J939" s="24" t="inlineStr">
        <is>
          <t>ifrs-full_ShareOfProfitLossOfAssociatesAndJointVenturesAccountedForUsingEquityMethod</t>
        </is>
      </c>
      <c r="K939" s="24" t="inlineStr">
        <is>
          <t>지분법 적용대상인 관계기업과 공동기업의 당기순손익에 대한 지분</t>
        </is>
      </c>
      <c r="L939" s="24" t="inlineStr">
        <is>
          <t>-</t>
        </is>
      </c>
      <c r="M939" s="24" t="inlineStr">
        <is>
          <t>제 46 기</t>
        </is>
      </c>
      <c r="N939" s="24" t="inlineStr">
        <is>
          <t>-653884696.0</t>
        </is>
      </c>
      <c r="O939" s="24" t="inlineStr">
        <is>
          <t>117480968.0</t>
        </is>
      </c>
      <c r="P939" s="24" t="inlineStr">
        <is>
          <t>KRW</t>
        </is>
      </c>
      <c r="Q939" s="24" t="inlineStr">
        <is>
          <t>36</t>
        </is>
      </c>
    </row>
    <row r="940" ht="24" customHeight="1">
      <c r="A940" s="29" t="inlineStr">
        <is>
          <t>OpenDART_fnlttSinglAcntAll</t>
        </is>
      </c>
      <c r="B940" s="29" t="inlineStr">
        <is>
          <t>00161383</t>
        </is>
      </c>
      <c r="C940" s="29" t="inlineStr">
        <is>
          <t>한미반도체</t>
        </is>
      </c>
      <c r="D940" s="29" t="inlineStr">
        <is>
          <t>hanmi</t>
        </is>
      </c>
      <c r="E940" s="29" t="inlineStr">
        <is>
          <t>042700</t>
        </is>
      </c>
      <c r="F940" s="29" t="inlineStr">
        <is>
          <t>2025</t>
        </is>
      </c>
      <c r="G940" s="29" t="inlineStr">
        <is>
          <t>CFS</t>
        </is>
      </c>
      <c r="H940" s="29" t="inlineStr">
        <is>
          <t>CF</t>
        </is>
      </c>
      <c r="I940" s="29" t="inlineStr">
        <is>
          <t>현금흐름표</t>
        </is>
      </c>
      <c r="J940" s="29" t="inlineStr">
        <is>
          <t>dart_CashAndCashEquivalentsAtBeginningOfPeriodCf</t>
        </is>
      </c>
      <c r="K940" s="29" t="inlineStr">
        <is>
          <t>기초현금및현금성자산</t>
        </is>
      </c>
      <c r="L940" s="29" t="inlineStr">
        <is>
          <t>-</t>
        </is>
      </c>
      <c r="M940" s="29" t="inlineStr">
        <is>
          <t>제 46 기</t>
        </is>
      </c>
      <c r="N940" s="29" t="inlineStr">
        <is>
          <t>103966003566.0</t>
        </is>
      </c>
      <c r="O940" s="29" t="inlineStr">
        <is>
          <t>179732421459.0</t>
        </is>
      </c>
      <c r="P940" s="29" t="inlineStr">
        <is>
          <t>KRW</t>
        </is>
      </c>
      <c r="Q940" s="29" t="inlineStr">
        <is>
          <t>2</t>
        </is>
      </c>
    </row>
    <row r="941" ht="24" customHeight="1">
      <c r="A941" s="24" t="inlineStr">
        <is>
          <t>OpenDART_fnlttSinglAcntAll</t>
        </is>
      </c>
      <c r="B941" s="24" t="inlineStr">
        <is>
          <t>00161383</t>
        </is>
      </c>
      <c r="C941" s="24" t="inlineStr">
        <is>
          <t>한미반도체</t>
        </is>
      </c>
      <c r="D941" s="24" t="inlineStr">
        <is>
          <t>hanmi</t>
        </is>
      </c>
      <c r="E941" s="24" t="inlineStr">
        <is>
          <t>042700</t>
        </is>
      </c>
      <c r="F941" s="24" t="inlineStr">
        <is>
          <t>2025</t>
        </is>
      </c>
      <c r="G941" s="24" t="inlineStr">
        <is>
          <t>CFS</t>
        </is>
      </c>
      <c r="H941" s="24" t="inlineStr">
        <is>
          <t>CF</t>
        </is>
      </c>
      <c r="I941" s="24" t="inlineStr">
        <is>
          <t>현금흐름표</t>
        </is>
      </c>
      <c r="J941" s="24" t="inlineStr">
        <is>
          <t>dart_CashAndCashEquivalentsAtEndOfPeriodCf</t>
        </is>
      </c>
      <c r="K941" s="24" t="inlineStr">
        <is>
          <t>기말현금및현금성자산</t>
        </is>
      </c>
      <c r="L941" s="24" t="inlineStr">
        <is>
          <t>-</t>
        </is>
      </c>
      <c r="M941" s="24" t="inlineStr">
        <is>
          <t>제 46 기</t>
        </is>
      </c>
      <c r="N941" s="24" t="inlineStr">
        <is>
          <t>276235377529.0</t>
        </is>
      </c>
      <c r="O941" s="24" t="inlineStr">
        <is>
          <t>103966003566.0</t>
        </is>
      </c>
      <c r="P941" s="24" t="inlineStr">
        <is>
          <t>KRW</t>
        </is>
      </c>
      <c r="Q941" s="24" t="inlineStr">
        <is>
          <t>3</t>
        </is>
      </c>
    </row>
    <row r="942" ht="24" customHeight="1">
      <c r="A942" s="29" t="inlineStr">
        <is>
          <t>OpenDART_fnlttSinglAcntAll</t>
        </is>
      </c>
      <c r="B942" s="29" t="inlineStr">
        <is>
          <t>00161383</t>
        </is>
      </c>
      <c r="C942" s="29" t="inlineStr">
        <is>
          <t>한미반도체</t>
        </is>
      </c>
      <c r="D942" s="29" t="inlineStr">
        <is>
          <t>hanmi</t>
        </is>
      </c>
      <c r="E942" s="29" t="inlineStr">
        <is>
          <t>042700</t>
        </is>
      </c>
      <c r="F942" s="29" t="inlineStr">
        <is>
          <t>2025</t>
        </is>
      </c>
      <c r="G942" s="29" t="inlineStr">
        <is>
          <t>CFS</t>
        </is>
      </c>
      <c r="H942" s="29" t="inlineStr">
        <is>
          <t>CF</t>
        </is>
      </c>
      <c r="I942" s="29" t="inlineStr">
        <is>
          <t>현금흐름표</t>
        </is>
      </c>
      <c r="J942" s="29" t="inlineStr">
        <is>
          <t>ifrs-full_CashFlowsFromUsedInFinancingActivities</t>
        </is>
      </c>
      <c r="K942" s="29" t="inlineStr">
        <is>
          <t>재무활동현금흐름</t>
        </is>
      </c>
      <c r="L942" s="29" t="inlineStr">
        <is>
          <t>-</t>
        </is>
      </c>
      <c r="M942" s="29" t="inlineStr">
        <is>
          <t>제 46 기</t>
        </is>
      </c>
      <c r="N942" s="29" t="inlineStr">
        <is>
          <t>-77238574571.0</t>
        </is>
      </c>
      <c r="O942" s="29" t="inlineStr">
        <is>
          <t>-231725385169.0</t>
        </is>
      </c>
      <c r="P942" s="29" t="inlineStr">
        <is>
          <t>KRW</t>
        </is>
      </c>
      <c r="Q942" s="29" t="inlineStr">
        <is>
          <t>8</t>
        </is>
      </c>
    </row>
    <row r="943" ht="24" customHeight="1">
      <c r="A943" s="24" t="inlineStr">
        <is>
          <t>OpenDART_fnlttSinglAcntAll</t>
        </is>
      </c>
      <c r="B943" s="24" t="inlineStr">
        <is>
          <t>00161383</t>
        </is>
      </c>
      <c r="C943" s="24" t="inlineStr">
        <is>
          <t>한미반도체</t>
        </is>
      </c>
      <c r="D943" s="24" t="inlineStr">
        <is>
          <t>hanmi</t>
        </is>
      </c>
      <c r="E943" s="24" t="inlineStr">
        <is>
          <t>042700</t>
        </is>
      </c>
      <c r="F943" s="24" t="inlineStr">
        <is>
          <t>2025</t>
        </is>
      </c>
      <c r="G943" s="24" t="inlineStr">
        <is>
          <t>CFS</t>
        </is>
      </c>
      <c r="H943" s="24" t="inlineStr">
        <is>
          <t>CF</t>
        </is>
      </c>
      <c r="I943" s="24" t="inlineStr">
        <is>
          <t>현금흐름표</t>
        </is>
      </c>
      <c r="J943" s="24" t="inlineStr">
        <is>
          <t>dart_AcquisitionOfTreasuryShares</t>
        </is>
      </c>
      <c r="K943" s="24" t="inlineStr">
        <is>
          <t>자기주식의 취득으로 인한 현금의 유출</t>
        </is>
      </c>
      <c r="L943" s="24" t="inlineStr">
        <is>
          <t>-</t>
        </is>
      </c>
      <c r="M943" s="24" t="inlineStr">
        <is>
          <t>제 46 기</t>
        </is>
      </c>
      <c r="N943" s="24" t="inlineStr">
        <is>
          <t>7788213000.0</t>
        </is>
      </c>
      <c r="O943" s="24" t="inlineStr">
        <is>
          <t>189887013600.0</t>
        </is>
      </c>
      <c r="P943" s="24" t="inlineStr">
        <is>
          <t>KRW</t>
        </is>
      </c>
      <c r="Q943" s="24" t="inlineStr">
        <is>
          <t>9</t>
        </is>
      </c>
    </row>
    <row r="944" ht="24" customHeight="1">
      <c r="A944" s="29" t="inlineStr">
        <is>
          <t>OpenDART_fnlttSinglAcntAll</t>
        </is>
      </c>
      <c r="B944" s="29" t="inlineStr">
        <is>
          <t>00161383</t>
        </is>
      </c>
      <c r="C944" s="29" t="inlineStr">
        <is>
          <t>한미반도체</t>
        </is>
      </c>
      <c r="D944" s="29" t="inlineStr">
        <is>
          <t>hanmi</t>
        </is>
      </c>
      <c r="E944" s="29" t="inlineStr">
        <is>
          <t>042700</t>
        </is>
      </c>
      <c r="F944" s="29" t="inlineStr">
        <is>
          <t>2025</t>
        </is>
      </c>
      <c r="G944" s="29" t="inlineStr">
        <is>
          <t>CFS</t>
        </is>
      </c>
      <c r="H944" s="29" t="inlineStr">
        <is>
          <t>CF</t>
        </is>
      </c>
      <c r="I944" s="29" t="inlineStr">
        <is>
          <t>현금흐름표</t>
        </is>
      </c>
      <c r="J944" s="29" t="inlineStr">
        <is>
          <t>dart_DecreaseInGuaranteeDepositsAsFinancialActivities</t>
        </is>
      </c>
      <c r="K944" s="29" t="inlineStr">
        <is>
          <t>임대보증금의 감소</t>
        </is>
      </c>
      <c r="L944" s="29" t="inlineStr">
        <is>
          <t>-</t>
        </is>
      </c>
      <c r="M944" s="29" t="inlineStr">
        <is>
          <t>제 46 기</t>
        </is>
      </c>
      <c r="N944" s="29" t="inlineStr">
        <is>
          <t>13000000.0</t>
        </is>
      </c>
      <c r="O944" s="29" t="inlineStr">
        <is>
          <t>0.0</t>
        </is>
      </c>
      <c r="P944" s="29" t="inlineStr">
        <is>
          <t>KRW</t>
        </is>
      </c>
      <c r="Q944" s="29" t="inlineStr">
        <is>
          <t>10</t>
        </is>
      </c>
    </row>
    <row r="945" ht="24" customHeight="1">
      <c r="A945" s="24" t="inlineStr">
        <is>
          <t>OpenDART_fnlttSinglAcntAll</t>
        </is>
      </c>
      <c r="B945" s="24" t="inlineStr">
        <is>
          <t>00161383</t>
        </is>
      </c>
      <c r="C945" s="24" t="inlineStr">
        <is>
          <t>한미반도체</t>
        </is>
      </c>
      <c r="D945" s="24" t="inlineStr">
        <is>
          <t>hanmi</t>
        </is>
      </c>
      <c r="E945" s="24" t="inlineStr">
        <is>
          <t>042700</t>
        </is>
      </c>
      <c r="F945" s="24" t="inlineStr">
        <is>
          <t>2025</t>
        </is>
      </c>
      <c r="G945" s="24" t="inlineStr">
        <is>
          <t>CFS</t>
        </is>
      </c>
      <c r="H945" s="24" t="inlineStr">
        <is>
          <t>CF</t>
        </is>
      </c>
      <c r="I945" s="24" t="inlineStr">
        <is>
          <t>현금흐름표</t>
        </is>
      </c>
      <c r="J945" s="24" t="inlineStr">
        <is>
          <t>dart_DispositionOfTreasuryShares</t>
        </is>
      </c>
      <c r="K945" s="24" t="inlineStr">
        <is>
          <t>자기주식의 처분</t>
        </is>
      </c>
      <c r="L945" s="24" t="inlineStr">
        <is>
          <t>-</t>
        </is>
      </c>
      <c r="M945" s="24" t="inlineStr">
        <is>
          <t>제 46 기</t>
        </is>
      </c>
      <c r="N945" s="24" t="inlineStr">
        <is>
          <t>0.0</t>
        </is>
      </c>
      <c r="O945" s="24" t="inlineStr">
        <is>
          <t>0.0</t>
        </is>
      </c>
      <c r="P945" s="24" t="inlineStr">
        <is>
          <t>KRW</t>
        </is>
      </c>
      <c r="Q945" s="24" t="inlineStr">
        <is>
          <t>11</t>
        </is>
      </c>
    </row>
    <row r="946" ht="24" customHeight="1">
      <c r="A946" s="29" t="inlineStr">
        <is>
          <t>OpenDART_fnlttSinglAcntAll</t>
        </is>
      </c>
      <c r="B946" s="29" t="inlineStr">
        <is>
          <t>00161383</t>
        </is>
      </c>
      <c r="C946" s="29" t="inlineStr">
        <is>
          <t>한미반도체</t>
        </is>
      </c>
      <c r="D946" s="29" t="inlineStr">
        <is>
          <t>hanmi</t>
        </is>
      </c>
      <c r="E946" s="29" t="inlineStr">
        <is>
          <t>042700</t>
        </is>
      </c>
      <c r="F946" s="29" t="inlineStr">
        <is>
          <t>2025</t>
        </is>
      </c>
      <c r="G946" s="29" t="inlineStr">
        <is>
          <t>CFS</t>
        </is>
      </c>
      <c r="H946" s="29" t="inlineStr">
        <is>
          <t>CF</t>
        </is>
      </c>
      <c r="I946" s="29" t="inlineStr">
        <is>
          <t>현금흐름표</t>
        </is>
      </c>
      <c r="J946" s="29" t="inlineStr">
        <is>
          <t>dart_IncreaseInGuaranteeDepositsAsFinancialActivities</t>
        </is>
      </c>
      <c r="K946" s="29" t="inlineStr">
        <is>
          <t>임대보증금의 증가</t>
        </is>
      </c>
      <c r="L946" s="29" t="inlineStr">
        <is>
          <t>-</t>
        </is>
      </c>
      <c r="M946" s="29" t="inlineStr">
        <is>
          <t>제 46 기</t>
        </is>
      </c>
      <c r="N946" s="29" t="inlineStr">
        <is>
          <t>513000000.0</t>
        </is>
      </c>
      <c r="O946" s="29" t="inlineStr">
        <is>
          <t>0.0</t>
        </is>
      </c>
      <c r="P946" s="29" t="inlineStr">
        <is>
          <t>KRW</t>
        </is>
      </c>
      <c r="Q946" s="29" t="inlineStr">
        <is>
          <t>12</t>
        </is>
      </c>
    </row>
    <row r="947" ht="24" customHeight="1">
      <c r="A947" s="24" t="inlineStr">
        <is>
          <t>OpenDART_fnlttSinglAcntAll</t>
        </is>
      </c>
      <c r="B947" s="24" t="inlineStr">
        <is>
          <t>00161383</t>
        </is>
      </c>
      <c r="C947" s="24" t="inlineStr">
        <is>
          <t>한미반도체</t>
        </is>
      </c>
      <c r="D947" s="24" t="inlineStr">
        <is>
          <t>hanmi</t>
        </is>
      </c>
      <c r="E947" s="24" t="inlineStr">
        <is>
          <t>042700</t>
        </is>
      </c>
      <c r="F947" s="24" t="inlineStr">
        <is>
          <t>2025</t>
        </is>
      </c>
      <c r="G947" s="24" t="inlineStr">
        <is>
          <t>CFS</t>
        </is>
      </c>
      <c r="H947" s="24" t="inlineStr">
        <is>
          <t>CF</t>
        </is>
      </c>
      <c r="I947" s="24" t="inlineStr">
        <is>
          <t>현금흐름표</t>
        </is>
      </c>
      <c r="J947" s="24" t="inlineStr">
        <is>
          <t>dart_ProceedsFromShortTermBorrowings</t>
        </is>
      </c>
      <c r="K947" s="24" t="inlineStr">
        <is>
          <t>단기차입금의 증가</t>
        </is>
      </c>
      <c r="L947" s="24" t="inlineStr">
        <is>
          <t>-</t>
        </is>
      </c>
      <c r="M947" s="24" t="inlineStr">
        <is>
          <t>제 46 기</t>
        </is>
      </c>
      <c r="N947" s="24" t="inlineStr">
        <is>
          <t>25000000000.0</t>
        </is>
      </c>
      <c r="O947" s="24" t="inlineStr">
        <is>
          <t>0.0</t>
        </is>
      </c>
      <c r="P947" s="24" t="inlineStr">
        <is>
          <t>KRW</t>
        </is>
      </c>
      <c r="Q947" s="24" t="inlineStr">
        <is>
          <t>13</t>
        </is>
      </c>
    </row>
    <row r="948" ht="24" customHeight="1">
      <c r="A948" s="29" t="inlineStr">
        <is>
          <t>OpenDART_fnlttSinglAcntAll</t>
        </is>
      </c>
      <c r="B948" s="29" t="inlineStr">
        <is>
          <t>00161383</t>
        </is>
      </c>
      <c r="C948" s="29" t="inlineStr">
        <is>
          <t>한미반도체</t>
        </is>
      </c>
      <c r="D948" s="29" t="inlineStr">
        <is>
          <t>hanmi</t>
        </is>
      </c>
      <c r="E948" s="29" t="inlineStr">
        <is>
          <t>042700</t>
        </is>
      </c>
      <c r="F948" s="29" t="inlineStr">
        <is>
          <t>2025</t>
        </is>
      </c>
      <c r="G948" s="29" t="inlineStr">
        <is>
          <t>CFS</t>
        </is>
      </c>
      <c r="H948" s="29" t="inlineStr">
        <is>
          <t>CF</t>
        </is>
      </c>
      <c r="I948" s="29" t="inlineStr">
        <is>
          <t>현금흐름표</t>
        </is>
      </c>
      <c r="J948" s="29" t="inlineStr">
        <is>
          <t>dart_RepaymentsOfShortTermBorrowings</t>
        </is>
      </c>
      <c r="K948" s="29" t="inlineStr">
        <is>
          <t>단기차입금의 상환</t>
        </is>
      </c>
      <c r="L948" s="29" t="inlineStr">
        <is>
          <t>-</t>
        </is>
      </c>
      <c r="M948" s="29" t="inlineStr">
        <is>
          <t>제 46 기</t>
        </is>
      </c>
      <c r="N948" s="29" t="inlineStr">
        <is>
          <t>25000000000.0</t>
        </is>
      </c>
      <c r="O948" s="29" t="inlineStr">
        <is>
          <t>0.0</t>
        </is>
      </c>
      <c r="P948" s="29" t="inlineStr">
        <is>
          <t>KRW</t>
        </is>
      </c>
      <c r="Q948" s="29" t="inlineStr">
        <is>
          <t>14</t>
        </is>
      </c>
    </row>
    <row r="949" ht="24" customHeight="1">
      <c r="A949" s="24" t="inlineStr">
        <is>
          <t>OpenDART_fnlttSinglAcntAll</t>
        </is>
      </c>
      <c r="B949" s="24" t="inlineStr">
        <is>
          <t>00161383</t>
        </is>
      </c>
      <c r="C949" s="24" t="inlineStr">
        <is>
          <t>한미반도체</t>
        </is>
      </c>
      <c r="D949" s="24" t="inlineStr">
        <is>
          <t>hanmi</t>
        </is>
      </c>
      <c r="E949" s="24" t="inlineStr">
        <is>
          <t>042700</t>
        </is>
      </c>
      <c r="F949" s="24" t="inlineStr">
        <is>
          <t>2025</t>
        </is>
      </c>
      <c r="G949" s="24" t="inlineStr">
        <is>
          <t>CFS</t>
        </is>
      </c>
      <c r="H949" s="24" t="inlineStr">
        <is>
          <t>CF</t>
        </is>
      </c>
      <c r="I949" s="24" t="inlineStr">
        <is>
          <t>현금흐름표</t>
        </is>
      </c>
      <c r="J949" s="24" t="inlineStr">
        <is>
          <t>ifrs-full_DividendsPaidClassifiedAsFinancingActivities</t>
        </is>
      </c>
      <c r="K949" s="24" t="inlineStr">
        <is>
          <t>배당금지급</t>
        </is>
      </c>
      <c r="L949" s="24" t="inlineStr">
        <is>
          <t>-</t>
        </is>
      </c>
      <c r="M949" s="24" t="inlineStr">
        <is>
          <t>제 46 기</t>
        </is>
      </c>
      <c r="N949" s="24" t="inlineStr">
        <is>
          <t>68294161440.0</t>
        </is>
      </c>
      <c r="O949" s="24" t="inlineStr">
        <is>
          <t>40521474840.0</t>
        </is>
      </c>
      <c r="P949" s="24" t="inlineStr">
        <is>
          <t>KRW</t>
        </is>
      </c>
      <c r="Q949" s="24" t="inlineStr">
        <is>
          <t>15</t>
        </is>
      </c>
    </row>
    <row r="950" ht="24" customHeight="1">
      <c r="A950" s="29" t="inlineStr">
        <is>
          <t>OpenDART_fnlttSinglAcntAll</t>
        </is>
      </c>
      <c r="B950" s="29" t="inlineStr">
        <is>
          <t>00161383</t>
        </is>
      </c>
      <c r="C950" s="29" t="inlineStr">
        <is>
          <t>한미반도체</t>
        </is>
      </c>
      <c r="D950" s="29" t="inlineStr">
        <is>
          <t>hanmi</t>
        </is>
      </c>
      <c r="E950" s="29" t="inlineStr">
        <is>
          <t>042700</t>
        </is>
      </c>
      <c r="F950" s="29" t="inlineStr">
        <is>
          <t>2025</t>
        </is>
      </c>
      <c r="G950" s="29" t="inlineStr">
        <is>
          <t>CFS</t>
        </is>
      </c>
      <c r="H950" s="29" t="inlineStr">
        <is>
          <t>CF</t>
        </is>
      </c>
      <c r="I950" s="29" t="inlineStr">
        <is>
          <t>현금흐름표</t>
        </is>
      </c>
      <c r="J950" s="29" t="inlineStr">
        <is>
          <t>ifrs-full_PaymentsOfLeaseLiabilitiesClassifiedAsFinancingActivities</t>
        </is>
      </c>
      <c r="K950" s="29" t="inlineStr">
        <is>
          <t>리스부채의 지급</t>
        </is>
      </c>
      <c r="L950" s="29" t="inlineStr">
        <is>
          <t>-</t>
        </is>
      </c>
      <c r="M950" s="29" t="inlineStr">
        <is>
          <t>제 46 기</t>
        </is>
      </c>
      <c r="N950" s="29" t="inlineStr">
        <is>
          <t>1656200131.0</t>
        </is>
      </c>
      <c r="O950" s="29" t="inlineStr">
        <is>
          <t>1316896729.0</t>
        </is>
      </c>
      <c r="P950" s="29" t="inlineStr">
        <is>
          <t>KRW</t>
        </is>
      </c>
      <c r="Q950" s="29" t="inlineStr">
        <is>
          <t>16</t>
        </is>
      </c>
    </row>
    <row r="951" ht="24" customHeight="1">
      <c r="A951" s="24" t="inlineStr">
        <is>
          <t>OpenDART_fnlttSinglAcntAll</t>
        </is>
      </c>
      <c r="B951" s="24" t="inlineStr">
        <is>
          <t>00161383</t>
        </is>
      </c>
      <c r="C951" s="24" t="inlineStr">
        <is>
          <t>한미반도체</t>
        </is>
      </c>
      <c r="D951" s="24" t="inlineStr">
        <is>
          <t>hanmi</t>
        </is>
      </c>
      <c r="E951" s="24" t="inlineStr">
        <is>
          <t>042700</t>
        </is>
      </c>
      <c r="F951" s="24" t="inlineStr">
        <is>
          <t>2025</t>
        </is>
      </c>
      <c r="G951" s="24" t="inlineStr">
        <is>
          <t>CFS</t>
        </is>
      </c>
      <c r="H951" s="24" t="inlineStr">
        <is>
          <t>CF</t>
        </is>
      </c>
      <c r="I951" s="24" t="inlineStr">
        <is>
          <t>현금흐름표</t>
        </is>
      </c>
      <c r="J951" s="24" t="inlineStr">
        <is>
          <t>ifrs-full_CashFlowsFromUsedInInvestingActivities</t>
        </is>
      </c>
      <c r="K951" s="24" t="inlineStr">
        <is>
          <t>투자활동현금흐름</t>
        </is>
      </c>
      <c r="L951" s="24" t="inlineStr">
        <is>
          <t>-</t>
        </is>
      </c>
      <c r="M951" s="24" t="inlineStr">
        <is>
          <t>제 46 기</t>
        </is>
      </c>
      <c r="N951" s="24" t="inlineStr">
        <is>
          <t>18323837100.0</t>
        </is>
      </c>
      <c r="O951" s="24" t="inlineStr">
        <is>
          <t>9424530414.0</t>
        </is>
      </c>
      <c r="P951" s="24" t="inlineStr">
        <is>
          <t>KRW</t>
        </is>
      </c>
      <c r="Q951" s="24" t="inlineStr">
        <is>
          <t>17</t>
        </is>
      </c>
    </row>
    <row r="952" ht="24" customHeight="1">
      <c r="A952" s="29" t="inlineStr">
        <is>
          <t>OpenDART_fnlttSinglAcntAll</t>
        </is>
      </c>
      <c r="B952" s="29" t="inlineStr">
        <is>
          <t>00161383</t>
        </is>
      </c>
      <c r="C952" s="29" t="inlineStr">
        <is>
          <t>한미반도체</t>
        </is>
      </c>
      <c r="D952" s="29" t="inlineStr">
        <is>
          <t>hanmi</t>
        </is>
      </c>
      <c r="E952" s="29" t="inlineStr">
        <is>
          <t>042700</t>
        </is>
      </c>
      <c r="F952" s="29" t="inlineStr">
        <is>
          <t>2025</t>
        </is>
      </c>
      <c r="G952" s="29" t="inlineStr">
        <is>
          <t>CFS</t>
        </is>
      </c>
      <c r="H952" s="29" t="inlineStr">
        <is>
          <t>CF</t>
        </is>
      </c>
      <c r="I952" s="29" t="inlineStr">
        <is>
          <t>현금흐름표</t>
        </is>
      </c>
      <c r="J952" s="29" t="inlineStr">
        <is>
          <t>dart_DecreaseInGuaranteeDeposits</t>
        </is>
      </c>
      <c r="K952" s="29" t="inlineStr">
        <is>
          <t>임차보증금의 감소</t>
        </is>
      </c>
      <c r="L952" s="29" t="inlineStr">
        <is>
          <t>-</t>
        </is>
      </c>
      <c r="M952" s="29" t="inlineStr">
        <is>
          <t>제 46 기</t>
        </is>
      </c>
      <c r="N952" s="29" t="inlineStr">
        <is>
          <t>17185350.0</t>
        </is>
      </c>
      <c r="O952" s="29" t="inlineStr">
        <is>
          <t>302983011.0</t>
        </is>
      </c>
      <c r="P952" s="29" t="inlineStr">
        <is>
          <t>KRW</t>
        </is>
      </c>
      <c r="Q952" s="29" t="inlineStr">
        <is>
          <t>18</t>
        </is>
      </c>
    </row>
    <row r="953" ht="24" customHeight="1">
      <c r="A953" s="24" t="inlineStr">
        <is>
          <t>OpenDART_fnlttSinglAcntAll</t>
        </is>
      </c>
      <c r="B953" s="24" t="inlineStr">
        <is>
          <t>00161383</t>
        </is>
      </c>
      <c r="C953" s="24" t="inlineStr">
        <is>
          <t>한미반도체</t>
        </is>
      </c>
      <c r="D953" s="24" t="inlineStr">
        <is>
          <t>hanmi</t>
        </is>
      </c>
      <c r="E953" s="24" t="inlineStr">
        <is>
          <t>042700</t>
        </is>
      </c>
      <c r="F953" s="24" t="inlineStr">
        <is>
          <t>2025</t>
        </is>
      </c>
      <c r="G953" s="24" t="inlineStr">
        <is>
          <t>CFS</t>
        </is>
      </c>
      <c r="H953" s="24" t="inlineStr">
        <is>
          <t>CF</t>
        </is>
      </c>
      <c r="I953" s="24" t="inlineStr">
        <is>
          <t>현금흐름표</t>
        </is>
      </c>
      <c r="J953" s="24" t="inlineStr">
        <is>
          <t>dart_IncreaseInGuaranteeDeposits</t>
        </is>
      </c>
      <c r="K953" s="24" t="inlineStr">
        <is>
          <t>임차보증금의 증가</t>
        </is>
      </c>
      <c r="L953" s="24" t="inlineStr">
        <is>
          <t>-</t>
        </is>
      </c>
      <c r="M953" s="24" t="inlineStr">
        <is>
          <t>제 46 기</t>
        </is>
      </c>
      <c r="N953" s="24" t="inlineStr">
        <is>
          <t>70097707.0</t>
        </is>
      </c>
      <c r="O953" s="24" t="inlineStr">
        <is>
          <t>863394680.0</t>
        </is>
      </c>
      <c r="P953" s="24" t="inlineStr">
        <is>
          <t>KRW</t>
        </is>
      </c>
      <c r="Q953" s="24" t="inlineStr">
        <is>
          <t>19</t>
        </is>
      </c>
    </row>
    <row r="954" ht="24" customHeight="1">
      <c r="A954" s="29" t="inlineStr">
        <is>
          <t>OpenDART_fnlttSinglAcntAll</t>
        </is>
      </c>
      <c r="B954" s="29" t="inlineStr">
        <is>
          <t>00161383</t>
        </is>
      </c>
      <c r="C954" s="29" t="inlineStr">
        <is>
          <t>한미반도체</t>
        </is>
      </c>
      <c r="D954" s="29" t="inlineStr">
        <is>
          <t>hanmi</t>
        </is>
      </c>
      <c r="E954" s="29" t="inlineStr">
        <is>
          <t>042700</t>
        </is>
      </c>
      <c r="F954" s="29" t="inlineStr">
        <is>
          <t>2025</t>
        </is>
      </c>
      <c r="G954" s="29" t="inlineStr">
        <is>
          <t>CFS</t>
        </is>
      </c>
      <c r="H954" s="29" t="inlineStr">
        <is>
          <t>CF</t>
        </is>
      </c>
      <c r="I954" s="29" t="inlineStr">
        <is>
          <t>현금흐름표</t>
        </is>
      </c>
      <c r="J954" s="29" t="inlineStr">
        <is>
          <t>dart_ProceedsFromSalesOfFairValueFinancialAsset</t>
        </is>
      </c>
      <c r="K954" s="29" t="inlineStr">
        <is>
          <t>당기손익인식금융자산의 처분</t>
        </is>
      </c>
      <c r="L954" s="29" t="inlineStr">
        <is>
          <t>-</t>
        </is>
      </c>
      <c r="M954" s="29" t="inlineStr">
        <is>
          <t>제 46 기</t>
        </is>
      </c>
      <c r="N954" s="29" t="inlineStr">
        <is>
          <t>107310211565.0</t>
        </is>
      </c>
      <c r="O954" s="29" t="inlineStr">
        <is>
          <t>63361976673.0</t>
        </is>
      </c>
      <c r="P954" s="29" t="inlineStr">
        <is>
          <t>KRW</t>
        </is>
      </c>
      <c r="Q954" s="29" t="inlineStr">
        <is>
          <t>20</t>
        </is>
      </c>
    </row>
    <row r="955" ht="24" customHeight="1">
      <c r="A955" s="24" t="inlineStr">
        <is>
          <t>OpenDART_fnlttSinglAcntAll</t>
        </is>
      </c>
      <c r="B955" s="24" t="inlineStr">
        <is>
          <t>00161383</t>
        </is>
      </c>
      <c r="C955" s="24" t="inlineStr">
        <is>
          <t>한미반도체</t>
        </is>
      </c>
      <c r="D955" s="24" t="inlineStr">
        <is>
          <t>hanmi</t>
        </is>
      </c>
      <c r="E955" s="24" t="inlineStr">
        <is>
          <t>042700</t>
        </is>
      </c>
      <c r="F955" s="24" t="inlineStr">
        <is>
          <t>2025</t>
        </is>
      </c>
      <c r="G955" s="24" t="inlineStr">
        <is>
          <t>CFS</t>
        </is>
      </c>
      <c r="H955" s="24" t="inlineStr">
        <is>
          <t>CF</t>
        </is>
      </c>
      <c r="I955" s="24" t="inlineStr">
        <is>
          <t>현금흐름표</t>
        </is>
      </c>
      <c r="J955" s="24" t="inlineStr">
        <is>
          <t>dart_ProceedsFromSalesOfInvestmentsInAssociates</t>
        </is>
      </c>
      <c r="K955" s="24" t="inlineStr">
        <is>
          <t>관계기업에 대한 투자자산의 처분</t>
        </is>
      </c>
      <c r="L955" s="24" t="inlineStr">
        <is>
          <t>-</t>
        </is>
      </c>
      <c r="M955" s="24" t="inlineStr">
        <is>
          <t>제 46 기</t>
        </is>
      </c>
      <c r="N955" s="24" t="inlineStr">
        <is>
          <t>3191278244.0</t>
        </is>
      </c>
      <c r="O955" s="24" t="inlineStr">
        <is>
          <t>0.0</t>
        </is>
      </c>
      <c r="P955" s="24" t="inlineStr">
        <is>
          <t>KRW</t>
        </is>
      </c>
      <c r="Q955" s="24" t="inlineStr">
        <is>
          <t>21</t>
        </is>
      </c>
    </row>
    <row r="956" ht="24" customHeight="1">
      <c r="A956" s="29" t="inlineStr">
        <is>
          <t>OpenDART_fnlttSinglAcntAll</t>
        </is>
      </c>
      <c r="B956" s="29" t="inlineStr">
        <is>
          <t>00161383</t>
        </is>
      </c>
      <c r="C956" s="29" t="inlineStr">
        <is>
          <t>한미반도체</t>
        </is>
      </c>
      <c r="D956" s="29" t="inlineStr">
        <is>
          <t>hanmi</t>
        </is>
      </c>
      <c r="E956" s="29" t="inlineStr">
        <is>
          <t>042700</t>
        </is>
      </c>
      <c r="F956" s="29" t="inlineStr">
        <is>
          <t>2025</t>
        </is>
      </c>
      <c r="G956" s="29" t="inlineStr">
        <is>
          <t>CFS</t>
        </is>
      </c>
      <c r="H956" s="29" t="inlineStr">
        <is>
          <t>CF</t>
        </is>
      </c>
      <c r="I956" s="29" t="inlineStr">
        <is>
          <t>현금흐름표</t>
        </is>
      </c>
      <c r="J956" s="29" t="inlineStr">
        <is>
          <t>dart_ProceedsFromSalesOfNonCurrentAssetsOrDisposalGroupsClassifiedAsHeldForSale</t>
        </is>
      </c>
      <c r="K956" s="29" t="inlineStr">
        <is>
          <t>매각예정으로 분류된 비유동자산이나 처분자산집단의 처분</t>
        </is>
      </c>
      <c r="L956" s="29" t="inlineStr">
        <is>
          <t>-</t>
        </is>
      </c>
      <c r="M956" s="29" t="inlineStr">
        <is>
          <t>제 46 기</t>
        </is>
      </c>
      <c r="N956" s="29" t="inlineStr">
        <is>
          <t>0.0</t>
        </is>
      </c>
      <c r="O956" s="29" t="inlineStr">
        <is>
          <t>0.0</t>
        </is>
      </c>
      <c r="P956" s="29" t="inlineStr">
        <is>
          <t>KRW</t>
        </is>
      </c>
      <c r="Q956" s="29" t="inlineStr">
        <is>
          <t>22</t>
        </is>
      </c>
    </row>
    <row r="957" ht="24" customHeight="1">
      <c r="A957" s="24" t="inlineStr">
        <is>
          <t>OpenDART_fnlttSinglAcntAll</t>
        </is>
      </c>
      <c r="B957" s="24" t="inlineStr">
        <is>
          <t>00161383</t>
        </is>
      </c>
      <c r="C957" s="24" t="inlineStr">
        <is>
          <t>한미반도체</t>
        </is>
      </c>
      <c r="D957" s="24" t="inlineStr">
        <is>
          <t>hanmi</t>
        </is>
      </c>
      <c r="E957" s="24" t="inlineStr">
        <is>
          <t>042700</t>
        </is>
      </c>
      <c r="F957" s="24" t="inlineStr">
        <is>
          <t>2025</t>
        </is>
      </c>
      <c r="G957" s="24" t="inlineStr">
        <is>
          <t>CFS</t>
        </is>
      </c>
      <c r="H957" s="24" t="inlineStr">
        <is>
          <t>CF</t>
        </is>
      </c>
      <c r="I957" s="24" t="inlineStr">
        <is>
          <t>현금흐름표</t>
        </is>
      </c>
      <c r="J957" s="24" t="inlineStr">
        <is>
          <t>dart_ProceedsFromSalesOfShortTermFinancialInstruments</t>
        </is>
      </c>
      <c r="K957" s="24" t="inlineStr">
        <is>
          <t>단기금융상품의 처분</t>
        </is>
      </c>
      <c r="L957" s="24" t="inlineStr">
        <is>
          <t>-</t>
        </is>
      </c>
      <c r="M957" s="24" t="inlineStr">
        <is>
          <t>제 46 기</t>
        </is>
      </c>
      <c r="N957" s="24" t="inlineStr">
        <is>
          <t>0.0</t>
        </is>
      </c>
      <c r="O957" s="24" t="inlineStr">
        <is>
          <t>0.0</t>
        </is>
      </c>
      <c r="P957" s="24" t="inlineStr">
        <is>
          <t>KRW</t>
        </is>
      </c>
      <c r="Q957" s="24" t="inlineStr">
        <is>
          <t>23</t>
        </is>
      </c>
    </row>
    <row r="958" ht="24" customHeight="1">
      <c r="A958" s="29" t="inlineStr">
        <is>
          <t>OpenDART_fnlttSinglAcntAll</t>
        </is>
      </c>
      <c r="B958" s="29" t="inlineStr">
        <is>
          <t>00161383</t>
        </is>
      </c>
      <c r="C958" s="29" t="inlineStr">
        <is>
          <t>한미반도체</t>
        </is>
      </c>
      <c r="D958" s="29" t="inlineStr">
        <is>
          <t>hanmi</t>
        </is>
      </c>
      <c r="E958" s="29" t="inlineStr">
        <is>
          <t>042700</t>
        </is>
      </c>
      <c r="F958" s="29" t="inlineStr">
        <is>
          <t>2025</t>
        </is>
      </c>
      <c r="G958" s="29" t="inlineStr">
        <is>
          <t>CFS</t>
        </is>
      </c>
      <c r="H958" s="29" t="inlineStr">
        <is>
          <t>CF</t>
        </is>
      </c>
      <c r="I958" s="29" t="inlineStr">
        <is>
          <t>현금흐름표</t>
        </is>
      </c>
      <c r="J958" s="29" t="inlineStr">
        <is>
          <t>dart_PurchaseOfLongTermFinancialInstruments</t>
        </is>
      </c>
      <c r="K958" s="29" t="inlineStr">
        <is>
          <t>장기금융상품의 취득</t>
        </is>
      </c>
      <c r="L958" s="29" t="inlineStr">
        <is>
          <t>-</t>
        </is>
      </c>
      <c r="M958" s="29" t="inlineStr">
        <is>
          <t>제 46 기</t>
        </is>
      </c>
      <c r="N958" s="29" t="inlineStr">
        <is>
          <t>1899600.0</t>
        </is>
      </c>
      <c r="O958" s="29" t="inlineStr">
        <is>
          <t>436800.0</t>
        </is>
      </c>
      <c r="P958" s="29" t="inlineStr">
        <is>
          <t>KRW</t>
        </is>
      </c>
      <c r="Q958" s="29" t="inlineStr">
        <is>
          <t>24</t>
        </is>
      </c>
    </row>
    <row r="959" ht="24" customHeight="1">
      <c r="A959" s="24" t="inlineStr">
        <is>
          <t>OpenDART_fnlttSinglAcntAll</t>
        </is>
      </c>
      <c r="B959" s="24" t="inlineStr">
        <is>
          <t>00161383</t>
        </is>
      </c>
      <c r="C959" s="24" t="inlineStr">
        <is>
          <t>한미반도체</t>
        </is>
      </c>
      <c r="D959" s="24" t="inlineStr">
        <is>
          <t>hanmi</t>
        </is>
      </c>
      <c r="E959" s="24" t="inlineStr">
        <is>
          <t>042700</t>
        </is>
      </c>
      <c r="F959" s="24" t="inlineStr">
        <is>
          <t>2025</t>
        </is>
      </c>
      <c r="G959" s="24" t="inlineStr">
        <is>
          <t>CFS</t>
        </is>
      </c>
      <c r="H959" s="24" t="inlineStr">
        <is>
          <t>CF</t>
        </is>
      </c>
      <c r="I959" s="24" t="inlineStr">
        <is>
          <t>현금흐름표</t>
        </is>
      </c>
      <c r="J959" s="24" t="inlineStr">
        <is>
          <t>ifrs-full_ProceedsFromSalesOfIntangibleAssetsClassifiedAsInvestingActivities</t>
        </is>
      </c>
      <c r="K959" s="24" t="inlineStr">
        <is>
          <t>무형자산의 처분</t>
        </is>
      </c>
      <c r="L959" s="24" t="inlineStr">
        <is>
          <t>-</t>
        </is>
      </c>
      <c r="M959" s="24" t="inlineStr">
        <is>
          <t>제 46 기</t>
        </is>
      </c>
      <c r="N959" s="24" t="inlineStr">
        <is>
          <t>636363636.0</t>
        </is>
      </c>
      <c r="O959" s="24" t="inlineStr">
        <is>
          <t>0.0</t>
        </is>
      </c>
      <c r="P959" s="24" t="inlineStr">
        <is>
          <t>KRW</t>
        </is>
      </c>
      <c r="Q959" s="24" t="inlineStr">
        <is>
          <t>25</t>
        </is>
      </c>
    </row>
    <row r="960" ht="24" customHeight="1">
      <c r="A960" s="29" t="inlineStr">
        <is>
          <t>OpenDART_fnlttSinglAcntAll</t>
        </is>
      </c>
      <c r="B960" s="29" t="inlineStr">
        <is>
          <t>00161383</t>
        </is>
      </c>
      <c r="C960" s="29" t="inlineStr">
        <is>
          <t>한미반도체</t>
        </is>
      </c>
      <c r="D960" s="29" t="inlineStr">
        <is>
          <t>hanmi</t>
        </is>
      </c>
      <c r="E960" s="29" t="inlineStr">
        <is>
          <t>042700</t>
        </is>
      </c>
      <c r="F960" s="29" t="inlineStr">
        <is>
          <t>2025</t>
        </is>
      </c>
      <c r="G960" s="29" t="inlineStr">
        <is>
          <t>CFS</t>
        </is>
      </c>
      <c r="H960" s="29" t="inlineStr">
        <is>
          <t>CF</t>
        </is>
      </c>
      <c r="I960" s="29" t="inlineStr">
        <is>
          <t>현금흐름표</t>
        </is>
      </c>
      <c r="J960" s="29" t="inlineStr">
        <is>
          <t>ifrs-full_ProceedsFromSalesOfPropertyPlantAndEquipmentClassifiedAsInvestingActivities</t>
        </is>
      </c>
      <c r="K960" s="29" t="inlineStr">
        <is>
          <t>유형자산의 처분</t>
        </is>
      </c>
      <c r="L960" s="29" t="inlineStr">
        <is>
          <t>-</t>
        </is>
      </c>
      <c r="M960" s="29" t="inlineStr">
        <is>
          <t>제 46 기</t>
        </is>
      </c>
      <c r="N960" s="29" t="inlineStr">
        <is>
          <t>975824048.0</t>
        </is>
      </c>
      <c r="O960" s="29" t="inlineStr">
        <is>
          <t>410380900.0</t>
        </is>
      </c>
      <c r="P960" s="29" t="inlineStr">
        <is>
          <t>KRW</t>
        </is>
      </c>
      <c r="Q960" s="29" t="inlineStr">
        <is>
          <t>26</t>
        </is>
      </c>
    </row>
    <row r="961" ht="24" customHeight="1">
      <c r="A961" s="24" t="inlineStr">
        <is>
          <t>OpenDART_fnlttSinglAcntAll</t>
        </is>
      </c>
      <c r="B961" s="24" t="inlineStr">
        <is>
          <t>00161383</t>
        </is>
      </c>
      <c r="C961" s="24" t="inlineStr">
        <is>
          <t>한미반도체</t>
        </is>
      </c>
      <c r="D961" s="24" t="inlineStr">
        <is>
          <t>hanmi</t>
        </is>
      </c>
      <c r="E961" s="24" t="inlineStr">
        <is>
          <t>042700</t>
        </is>
      </c>
      <c r="F961" s="24" t="inlineStr">
        <is>
          <t>2025</t>
        </is>
      </c>
      <c r="G961" s="24" t="inlineStr">
        <is>
          <t>CFS</t>
        </is>
      </c>
      <c r="H961" s="24" t="inlineStr">
        <is>
          <t>CF</t>
        </is>
      </c>
      <c r="I961" s="24" t="inlineStr">
        <is>
          <t>현금흐름표</t>
        </is>
      </c>
      <c r="J961" s="24" t="inlineStr">
        <is>
          <t>ifrs-full_PurchaseOfIntangibleAssetsClassifiedAsInvestingActivities</t>
        </is>
      </c>
      <c r="K961" s="24" t="inlineStr">
        <is>
          <t>무형자산의 취득</t>
        </is>
      </c>
      <c r="L961" s="24" t="inlineStr">
        <is>
          <t>-</t>
        </is>
      </c>
      <c r="M961" s="24" t="inlineStr">
        <is>
          <t>제 46 기</t>
        </is>
      </c>
      <c r="N961" s="24" t="inlineStr">
        <is>
          <t>19113861717.0</t>
        </is>
      </c>
      <c r="O961" s="24" t="inlineStr">
        <is>
          <t>249917598.0</t>
        </is>
      </c>
      <c r="P961" s="24" t="inlineStr">
        <is>
          <t>KRW</t>
        </is>
      </c>
      <c r="Q961" s="24" t="inlineStr">
        <is>
          <t>27</t>
        </is>
      </c>
    </row>
    <row r="962" ht="24" customHeight="1">
      <c r="A962" s="29" t="inlineStr">
        <is>
          <t>OpenDART_fnlttSinglAcntAll</t>
        </is>
      </c>
      <c r="B962" s="29" t="inlineStr">
        <is>
          <t>00161383</t>
        </is>
      </c>
      <c r="C962" s="29" t="inlineStr">
        <is>
          <t>한미반도체</t>
        </is>
      </c>
      <c r="D962" s="29" t="inlineStr">
        <is>
          <t>hanmi</t>
        </is>
      </c>
      <c r="E962" s="29" t="inlineStr">
        <is>
          <t>042700</t>
        </is>
      </c>
      <c r="F962" s="29" t="inlineStr">
        <is>
          <t>2025</t>
        </is>
      </c>
      <c r="G962" s="29" t="inlineStr">
        <is>
          <t>CFS</t>
        </is>
      </c>
      <c r="H962" s="29" t="inlineStr">
        <is>
          <t>CF</t>
        </is>
      </c>
      <c r="I962" s="29" t="inlineStr">
        <is>
          <t>현금흐름표</t>
        </is>
      </c>
      <c r="J962" s="29" t="inlineStr">
        <is>
          <t>ifrs-full_PurchaseOfPropertyPlantAndEquipmentClassifiedAsInvestingActivities</t>
        </is>
      </c>
      <c r="K962" s="29" t="inlineStr">
        <is>
          <t>유형자산의 취득</t>
        </is>
      </c>
      <c r="L962" s="29" t="inlineStr">
        <is>
          <t>-</t>
        </is>
      </c>
      <c r="M962" s="29" t="inlineStr">
        <is>
          <t>제 46 기</t>
        </is>
      </c>
      <c r="N962" s="29" t="inlineStr">
        <is>
          <t>74621166719.0</t>
        </is>
      </c>
      <c r="O962" s="29" t="inlineStr">
        <is>
          <t>53537061092.0</t>
        </is>
      </c>
      <c r="P962" s="29" t="inlineStr">
        <is>
          <t>KRW</t>
        </is>
      </c>
      <c r="Q962" s="29" t="inlineStr">
        <is>
          <t>28</t>
        </is>
      </c>
    </row>
    <row r="963" ht="24" customHeight="1">
      <c r="A963" s="24" t="inlineStr">
        <is>
          <t>OpenDART_fnlttSinglAcntAll</t>
        </is>
      </c>
      <c r="B963" s="24" t="inlineStr">
        <is>
          <t>00161383</t>
        </is>
      </c>
      <c r="C963" s="24" t="inlineStr">
        <is>
          <t>한미반도체</t>
        </is>
      </c>
      <c r="D963" s="24" t="inlineStr">
        <is>
          <t>hanmi</t>
        </is>
      </c>
      <c r="E963" s="24" t="inlineStr">
        <is>
          <t>042700</t>
        </is>
      </c>
      <c r="F963" s="24" t="inlineStr">
        <is>
          <t>2025</t>
        </is>
      </c>
      <c r="G963" s="24" t="inlineStr">
        <is>
          <t>CFS</t>
        </is>
      </c>
      <c r="H963" s="24" t="inlineStr">
        <is>
          <t>CF</t>
        </is>
      </c>
      <c r="I963" s="24" t="inlineStr">
        <is>
          <t>현금흐름표</t>
        </is>
      </c>
      <c r="J963" s="24" t="inlineStr">
        <is>
          <t>ifrs-full_CashFlowsFromUsedInOperatingActivities</t>
        </is>
      </c>
      <c r="K963" s="24" t="inlineStr">
        <is>
          <t>영업활동현금흐름</t>
        </is>
      </c>
      <c r="L963" s="24" t="inlineStr">
        <is>
          <t>-</t>
        </is>
      </c>
      <c r="M963" s="24" t="inlineStr">
        <is>
          <t>제 46 기</t>
        </is>
      </c>
      <c r="N963" s="24" t="inlineStr">
        <is>
          <t>228626759780.0</t>
        </is>
      </c>
      <c r="O963" s="24" t="inlineStr">
        <is>
          <t>141363819580.0</t>
        </is>
      </c>
      <c r="P963" s="24" t="inlineStr">
        <is>
          <t>KRW</t>
        </is>
      </c>
      <c r="Q963" s="24" t="inlineStr">
        <is>
          <t>29</t>
        </is>
      </c>
    </row>
    <row r="964" ht="24" customHeight="1">
      <c r="A964" s="29" t="inlineStr">
        <is>
          <t>OpenDART_fnlttSinglAcntAll</t>
        </is>
      </c>
      <c r="B964" s="29" t="inlineStr">
        <is>
          <t>00161383</t>
        </is>
      </c>
      <c r="C964" s="29" t="inlineStr">
        <is>
          <t>한미반도체</t>
        </is>
      </c>
      <c r="D964" s="29" t="inlineStr">
        <is>
          <t>hanmi</t>
        </is>
      </c>
      <c r="E964" s="29" t="inlineStr">
        <is>
          <t>042700</t>
        </is>
      </c>
      <c r="F964" s="29" t="inlineStr">
        <is>
          <t>2025</t>
        </is>
      </c>
      <c r="G964" s="29" t="inlineStr">
        <is>
          <t>CFS</t>
        </is>
      </c>
      <c r="H964" s="29" t="inlineStr">
        <is>
          <t>CF</t>
        </is>
      </c>
      <c r="I964" s="29" t="inlineStr">
        <is>
          <t>현금흐름표</t>
        </is>
      </c>
      <c r="J964" s="29" t="inlineStr">
        <is>
          <t>dart_AdjustmentsForAssetsLiabilitiesOfOperatingActivities</t>
        </is>
      </c>
      <c r="K964" s="29" t="inlineStr">
        <is>
          <t>영업활동으로 인한 자산 부채의 변동</t>
        </is>
      </c>
      <c r="L964" s="29" t="inlineStr">
        <is>
          <t>-</t>
        </is>
      </c>
      <c r="M964" s="29" t="inlineStr">
        <is>
          <t>제 46 기</t>
        </is>
      </c>
      <c r="N964" s="29" t="inlineStr">
        <is>
          <t>27244057211.0</t>
        </is>
      </c>
      <c r="O964" s="29" t="inlineStr">
        <is>
          <t>-121285668498.0</t>
        </is>
      </c>
      <c r="P964" s="29" t="inlineStr">
        <is>
          <t>KRW</t>
        </is>
      </c>
      <c r="Q964" s="29" t="inlineStr">
        <is>
          <t>30</t>
        </is>
      </c>
    </row>
    <row r="965" ht="24" customHeight="1">
      <c r="A965" s="24" t="inlineStr">
        <is>
          <t>OpenDART_fnlttSinglAcntAll</t>
        </is>
      </c>
      <c r="B965" s="24" t="inlineStr">
        <is>
          <t>00161383</t>
        </is>
      </c>
      <c r="C965" s="24" t="inlineStr">
        <is>
          <t>한미반도체</t>
        </is>
      </c>
      <c r="D965" s="24" t="inlineStr">
        <is>
          <t>hanmi</t>
        </is>
      </c>
      <c r="E965" s="24" t="inlineStr">
        <is>
          <t>042700</t>
        </is>
      </c>
      <c r="F965" s="24" t="inlineStr">
        <is>
          <t>2025</t>
        </is>
      </c>
      <c r="G965" s="24" t="inlineStr">
        <is>
          <t>CFS</t>
        </is>
      </c>
      <c r="H965" s="24" t="inlineStr">
        <is>
          <t>CF</t>
        </is>
      </c>
      <c r="I965" s="24" t="inlineStr">
        <is>
          <t>현금흐름표</t>
        </is>
      </c>
      <c r="J965" s="24" t="inlineStr">
        <is>
          <t>dart_AdjustmentsForDecreaseincreaseInOtherCurrentFinancialAssets</t>
        </is>
      </c>
      <c r="K965" s="24" t="inlineStr">
        <is>
          <t>기타유동금융자산의 감소(증가)</t>
        </is>
      </c>
      <c r="L965" s="24" t="inlineStr">
        <is>
          <t>-</t>
        </is>
      </c>
      <c r="M965" s="24" t="inlineStr">
        <is>
          <t>제 46 기</t>
        </is>
      </c>
      <c r="N965" s="24" t="inlineStr">
        <is>
          <t>-349631321.0</t>
        </is>
      </c>
      <c r="O965" s="24" t="inlineStr">
        <is>
          <t>-255432995.0</t>
        </is>
      </c>
      <c r="P965" s="24" t="inlineStr">
        <is>
          <t>KRW</t>
        </is>
      </c>
      <c r="Q965" s="24" t="inlineStr">
        <is>
          <t>31</t>
        </is>
      </c>
    </row>
    <row r="966" ht="24" customHeight="1">
      <c r="A966" s="29" t="inlineStr">
        <is>
          <t>OpenDART_fnlttSinglAcntAll</t>
        </is>
      </c>
      <c r="B966" s="29" t="inlineStr">
        <is>
          <t>00161383</t>
        </is>
      </c>
      <c r="C966" s="29" t="inlineStr">
        <is>
          <t>한미반도체</t>
        </is>
      </c>
      <c r="D966" s="29" t="inlineStr">
        <is>
          <t>hanmi</t>
        </is>
      </c>
      <c r="E966" s="29" t="inlineStr">
        <is>
          <t>042700</t>
        </is>
      </c>
      <c r="F966" s="29" t="inlineStr">
        <is>
          <t>2025</t>
        </is>
      </c>
      <c r="G966" s="29" t="inlineStr">
        <is>
          <t>CFS</t>
        </is>
      </c>
      <c r="H966" s="29" t="inlineStr">
        <is>
          <t>CF</t>
        </is>
      </c>
      <c r="I966" s="29" t="inlineStr">
        <is>
          <t>현금흐름표</t>
        </is>
      </c>
      <c r="J966" s="29" t="inlineStr">
        <is>
          <t>dart_AdjustmentsForIncreaseDecreaseInOtherNonCurrentLiabilities</t>
        </is>
      </c>
      <c r="K966" s="29" t="inlineStr">
        <is>
          <t>기타비유동부채의 증가(감소)</t>
        </is>
      </c>
      <c r="L966" s="29" t="inlineStr">
        <is>
          <t>-</t>
        </is>
      </c>
      <c r="M966" s="29" t="inlineStr">
        <is>
          <t>제 46 기</t>
        </is>
      </c>
      <c r="N966" s="29" t="inlineStr">
        <is>
          <t>0.0</t>
        </is>
      </c>
      <c r="O966" s="29" t="inlineStr">
        <is>
          <t>-159566000.0</t>
        </is>
      </c>
      <c r="P966" s="29" t="inlineStr">
        <is>
          <t>KRW</t>
        </is>
      </c>
      <c r="Q966" s="29" t="inlineStr">
        <is>
          <t>32</t>
        </is>
      </c>
    </row>
    <row r="967" ht="24" customHeight="1">
      <c r="A967" s="24" t="inlineStr">
        <is>
          <t>OpenDART_fnlttSinglAcntAll</t>
        </is>
      </c>
      <c r="B967" s="24" t="inlineStr">
        <is>
          <t>00161383</t>
        </is>
      </c>
      <c r="C967" s="24" t="inlineStr">
        <is>
          <t>한미반도체</t>
        </is>
      </c>
      <c r="D967" s="24" t="inlineStr">
        <is>
          <t>hanmi</t>
        </is>
      </c>
      <c r="E967" s="24" t="inlineStr">
        <is>
          <t>042700</t>
        </is>
      </c>
      <c r="F967" s="24" t="inlineStr">
        <is>
          <t>2025</t>
        </is>
      </c>
      <c r="G967" s="24" t="inlineStr">
        <is>
          <t>CFS</t>
        </is>
      </c>
      <c r="H967" s="24" t="inlineStr">
        <is>
          <t>CF</t>
        </is>
      </c>
      <c r="I967" s="24" t="inlineStr">
        <is>
          <t>현금흐름표</t>
        </is>
      </c>
      <c r="J967" s="24" t="inlineStr">
        <is>
          <t>dart_AdjustmentsForIncreasedecreaseInOtherCurrentFinancialLiabilities</t>
        </is>
      </c>
      <c r="K967" s="24" t="inlineStr">
        <is>
          <t>기타유동금융부채의 증가(감소)</t>
        </is>
      </c>
      <c r="L967" s="24" t="inlineStr">
        <is>
          <t>-</t>
        </is>
      </c>
      <c r="M967" s="24" t="inlineStr">
        <is>
          <t>제 46 기</t>
        </is>
      </c>
      <c r="N967" s="24" t="inlineStr">
        <is>
          <t>-563653377.0</t>
        </is>
      </c>
      <c r="O967" s="24" t="inlineStr">
        <is>
          <t>1996470179.0</t>
        </is>
      </c>
      <c r="P967" s="24" t="inlineStr">
        <is>
          <t>KRW</t>
        </is>
      </c>
      <c r="Q967" s="24" t="inlineStr">
        <is>
          <t>33</t>
        </is>
      </c>
    </row>
    <row r="968" ht="24" customHeight="1">
      <c r="A968" s="29" t="inlineStr">
        <is>
          <t>OpenDART_fnlttSinglAcntAll</t>
        </is>
      </c>
      <c r="B968" s="29" t="inlineStr">
        <is>
          <t>00161383</t>
        </is>
      </c>
      <c r="C968" s="29" t="inlineStr">
        <is>
          <t>한미반도체</t>
        </is>
      </c>
      <c r="D968" s="29" t="inlineStr">
        <is>
          <t>hanmi</t>
        </is>
      </c>
      <c r="E968" s="29" t="inlineStr">
        <is>
          <t>042700</t>
        </is>
      </c>
      <c r="F968" s="29" t="inlineStr">
        <is>
          <t>2025</t>
        </is>
      </c>
      <c r="G968" s="29" t="inlineStr">
        <is>
          <t>CFS</t>
        </is>
      </c>
      <c r="H968" s="29" t="inlineStr">
        <is>
          <t>CF</t>
        </is>
      </c>
      <c r="I968" s="29" t="inlineStr">
        <is>
          <t>현금흐름표</t>
        </is>
      </c>
      <c r="J968" s="29" t="inlineStr">
        <is>
          <t>dart_AdjustmentsForIncreasedecreaseInOtherNonCurrentNonFinancialLiabilities</t>
        </is>
      </c>
      <c r="K968" s="29" t="inlineStr">
        <is>
          <t>기타비유동비금융부채의 증가(감소)</t>
        </is>
      </c>
      <c r="L968" s="29" t="inlineStr">
        <is>
          <t>-</t>
        </is>
      </c>
      <c r="M968" s="29" t="inlineStr">
        <is>
          <t>제 46 기</t>
        </is>
      </c>
      <c r="N968" s="29" t="inlineStr">
        <is>
          <t>0.0</t>
        </is>
      </c>
      <c r="O968" s="29" t="inlineStr">
        <is>
          <t>8000000.0</t>
        </is>
      </c>
      <c r="P968" s="29" t="inlineStr">
        <is>
          <t>KRW</t>
        </is>
      </c>
      <c r="Q968" s="29" t="inlineStr">
        <is>
          <t>34</t>
        </is>
      </c>
    </row>
    <row r="969" ht="24" customHeight="1">
      <c r="A969" s="24" t="inlineStr">
        <is>
          <t>OpenDART_fnlttSinglAcntAll</t>
        </is>
      </c>
      <c r="B969" s="24" t="inlineStr">
        <is>
          <t>00161383</t>
        </is>
      </c>
      <c r="C969" s="24" t="inlineStr">
        <is>
          <t>한미반도체</t>
        </is>
      </c>
      <c r="D969" s="24" t="inlineStr">
        <is>
          <t>hanmi</t>
        </is>
      </c>
      <c r="E969" s="24" t="inlineStr">
        <is>
          <t>042700</t>
        </is>
      </c>
      <c r="F969" s="24" t="inlineStr">
        <is>
          <t>2025</t>
        </is>
      </c>
      <c r="G969" s="24" t="inlineStr">
        <is>
          <t>CFS</t>
        </is>
      </c>
      <c r="H969" s="24" t="inlineStr">
        <is>
          <t>CF</t>
        </is>
      </c>
      <c r="I969" s="24" t="inlineStr">
        <is>
          <t>현금흐름표</t>
        </is>
      </c>
      <c r="J969" s="24" t="inlineStr">
        <is>
          <t>dart_AdjustmentsForIncreasedecreaseInProvisions</t>
        </is>
      </c>
      <c r="K969" s="24" t="inlineStr">
        <is>
          <t>충당부채의 증가(감소)</t>
        </is>
      </c>
      <c r="L969" s="24" t="inlineStr">
        <is>
          <t>-</t>
        </is>
      </c>
      <c r="M969" s="24" t="inlineStr">
        <is>
          <t>제 46 기</t>
        </is>
      </c>
      <c r="N969" s="24" t="inlineStr">
        <is>
          <t>2051196592.0</t>
        </is>
      </c>
      <c r="O969" s="24" t="inlineStr">
        <is>
          <t>4484039336.0</t>
        </is>
      </c>
      <c r="P969" s="24" t="inlineStr">
        <is>
          <t>KRW</t>
        </is>
      </c>
      <c r="Q969" s="24" t="inlineStr">
        <is>
          <t>35</t>
        </is>
      </c>
    </row>
    <row r="970" ht="24" customHeight="1">
      <c r="A970" s="29" t="inlineStr">
        <is>
          <t>OpenDART_fnlttSinglAcntAll</t>
        </is>
      </c>
      <c r="B970" s="29" t="inlineStr">
        <is>
          <t>00161383</t>
        </is>
      </c>
      <c r="C970" s="29" t="inlineStr">
        <is>
          <t>한미반도체</t>
        </is>
      </c>
      <c r="D970" s="29" t="inlineStr">
        <is>
          <t>hanmi</t>
        </is>
      </c>
      <c r="E970" s="29" t="inlineStr">
        <is>
          <t>042700</t>
        </is>
      </c>
      <c r="F970" s="29" t="inlineStr">
        <is>
          <t>2025</t>
        </is>
      </c>
      <c r="G970" s="29" t="inlineStr">
        <is>
          <t>CFS</t>
        </is>
      </c>
      <c r="H970" s="29" t="inlineStr">
        <is>
          <t>CF</t>
        </is>
      </c>
      <c r="I970" s="29" t="inlineStr">
        <is>
          <t>현금흐름표</t>
        </is>
      </c>
      <c r="J970" s="29" t="inlineStr">
        <is>
          <t>ifrs-full_AdjustmentsForDecreaseIncreaseInInventories</t>
        </is>
      </c>
      <c r="K970" s="29" t="inlineStr">
        <is>
          <t>재고자산의 감소(증가)</t>
        </is>
      </c>
      <c r="L970" s="29" t="inlineStr">
        <is>
          <t>-</t>
        </is>
      </c>
      <c r="M970" s="29" t="inlineStr">
        <is>
          <t>제 46 기</t>
        </is>
      </c>
      <c r="N970" s="29" t="inlineStr">
        <is>
          <t>-26045123620.0</t>
        </is>
      </c>
      <c r="O970" s="29" t="inlineStr">
        <is>
          <t>-68555116222.0</t>
        </is>
      </c>
      <c r="P970" s="29" t="inlineStr">
        <is>
          <t>KRW</t>
        </is>
      </c>
      <c r="Q970" s="29" t="inlineStr">
        <is>
          <t>36</t>
        </is>
      </c>
    </row>
    <row r="971" ht="24" customHeight="1">
      <c r="A971" s="24" t="inlineStr">
        <is>
          <t>OpenDART_fnlttSinglAcntAll</t>
        </is>
      </c>
      <c r="B971" s="24" t="inlineStr">
        <is>
          <t>00161383</t>
        </is>
      </c>
      <c r="C971" s="24" t="inlineStr">
        <is>
          <t>한미반도체</t>
        </is>
      </c>
      <c r="D971" s="24" t="inlineStr">
        <is>
          <t>hanmi</t>
        </is>
      </c>
      <c r="E971" s="24" t="inlineStr">
        <is>
          <t>042700</t>
        </is>
      </c>
      <c r="F971" s="24" t="inlineStr">
        <is>
          <t>2025</t>
        </is>
      </c>
      <c r="G971" s="24" t="inlineStr">
        <is>
          <t>CFS</t>
        </is>
      </c>
      <c r="H971" s="24" t="inlineStr">
        <is>
          <t>CF</t>
        </is>
      </c>
      <c r="I971" s="24" t="inlineStr">
        <is>
          <t>현금흐름표</t>
        </is>
      </c>
      <c r="J971" s="24" t="inlineStr">
        <is>
          <t>ifrs-full_AdjustmentsForDecreaseIncreaseInOtherCurrentAssets</t>
        </is>
      </c>
      <c r="K971" s="24" t="inlineStr">
        <is>
          <t>기타유동자산의 감소(증가) 조정</t>
        </is>
      </c>
      <c r="L971" s="24" t="inlineStr">
        <is>
          <t>-</t>
        </is>
      </c>
      <c r="M971" s="24" t="inlineStr">
        <is>
          <t>제 46 기</t>
        </is>
      </c>
      <c r="N971" s="24" t="inlineStr">
        <is>
          <t>-489407799.0</t>
        </is>
      </c>
      <c r="O971" s="24" t="inlineStr">
        <is>
          <t>171674479.0</t>
        </is>
      </c>
      <c r="P971" s="24" t="inlineStr">
        <is>
          <t>KRW</t>
        </is>
      </c>
      <c r="Q971" s="24" t="inlineStr">
        <is>
          <t>37</t>
        </is>
      </c>
    </row>
    <row r="972" ht="24" customHeight="1">
      <c r="A972" s="29" t="inlineStr">
        <is>
          <t>OpenDART_fnlttSinglAcntAll</t>
        </is>
      </c>
      <c r="B972" s="29" t="inlineStr">
        <is>
          <t>00161383</t>
        </is>
      </c>
      <c r="C972" s="29" t="inlineStr">
        <is>
          <t>한미반도체</t>
        </is>
      </c>
      <c r="D972" s="29" t="inlineStr">
        <is>
          <t>hanmi</t>
        </is>
      </c>
      <c r="E972" s="29" t="inlineStr">
        <is>
          <t>042700</t>
        </is>
      </c>
      <c r="F972" s="29" t="inlineStr">
        <is>
          <t>2025</t>
        </is>
      </c>
      <c r="G972" s="29" t="inlineStr">
        <is>
          <t>CFS</t>
        </is>
      </c>
      <c r="H972" s="29" t="inlineStr">
        <is>
          <t>CF</t>
        </is>
      </c>
      <c r="I972" s="29" t="inlineStr">
        <is>
          <t>현금흐름표</t>
        </is>
      </c>
      <c r="J972" s="29" t="inlineStr">
        <is>
          <t>ifrs-full_AdjustmentsForDecreaseIncreaseInTradeAccountReceivable</t>
        </is>
      </c>
      <c r="K972" s="29" t="inlineStr">
        <is>
          <t>매출채권의 감소(증가)</t>
        </is>
      </c>
      <c r="L972" s="29" t="inlineStr">
        <is>
          <t>-</t>
        </is>
      </c>
      <c r="M972" s="29" t="inlineStr">
        <is>
          <t>제 46 기</t>
        </is>
      </c>
      <c r="N972" s="29" t="inlineStr">
        <is>
          <t>85399959315.0</t>
        </is>
      </c>
      <c r="O972" s="29" t="inlineStr">
        <is>
          <t>-92091868153.0</t>
        </is>
      </c>
      <c r="P972" s="29" t="inlineStr">
        <is>
          <t>KRW</t>
        </is>
      </c>
      <c r="Q972" s="29" t="inlineStr">
        <is>
          <t>38</t>
        </is>
      </c>
    </row>
    <row r="973" ht="24" customHeight="1">
      <c r="A973" s="24" t="inlineStr">
        <is>
          <t>OpenDART_fnlttSinglAcntAll</t>
        </is>
      </c>
      <c r="B973" s="24" t="inlineStr">
        <is>
          <t>00161383</t>
        </is>
      </c>
      <c r="C973" s="24" t="inlineStr">
        <is>
          <t>한미반도체</t>
        </is>
      </c>
      <c r="D973" s="24" t="inlineStr">
        <is>
          <t>hanmi</t>
        </is>
      </c>
      <c r="E973" s="24" t="inlineStr">
        <is>
          <t>042700</t>
        </is>
      </c>
      <c r="F973" s="24" t="inlineStr">
        <is>
          <t>2025</t>
        </is>
      </c>
      <c r="G973" s="24" t="inlineStr">
        <is>
          <t>CFS</t>
        </is>
      </c>
      <c r="H973" s="24" t="inlineStr">
        <is>
          <t>CF</t>
        </is>
      </c>
      <c r="I973" s="24" t="inlineStr">
        <is>
          <t>현금흐름표</t>
        </is>
      </c>
      <c r="J973" s="24" t="inlineStr">
        <is>
          <t>ifrs-full_AdjustmentsForIncreaseDecreaseInEmployeeBenefitLiabilities</t>
        </is>
      </c>
      <c r="K973" s="24" t="inlineStr">
        <is>
          <t>순확정급여부채 증가(감소)</t>
        </is>
      </c>
      <c r="L973" s="24" t="inlineStr">
        <is>
          <t>-</t>
        </is>
      </c>
      <c r="M973" s="24" t="inlineStr">
        <is>
          <t>제 46 기</t>
        </is>
      </c>
      <c r="N973" s="24" t="inlineStr">
        <is>
          <t>-6000000000.0</t>
        </is>
      </c>
      <c r="O973" s="24" t="inlineStr">
        <is>
          <t>-4800000000.0</t>
        </is>
      </c>
      <c r="P973" s="24" t="inlineStr">
        <is>
          <t>KRW</t>
        </is>
      </c>
      <c r="Q973" s="24" t="inlineStr">
        <is>
          <t>39</t>
        </is>
      </c>
    </row>
    <row r="974" ht="24" customHeight="1">
      <c r="A974" s="29" t="inlineStr">
        <is>
          <t>OpenDART_fnlttSinglAcntAll</t>
        </is>
      </c>
      <c r="B974" s="29" t="inlineStr">
        <is>
          <t>00161383</t>
        </is>
      </c>
      <c r="C974" s="29" t="inlineStr">
        <is>
          <t>한미반도체</t>
        </is>
      </c>
      <c r="D974" s="29" t="inlineStr">
        <is>
          <t>hanmi</t>
        </is>
      </c>
      <c r="E974" s="29" t="inlineStr">
        <is>
          <t>042700</t>
        </is>
      </c>
      <c r="F974" s="29" t="inlineStr">
        <is>
          <t>2025</t>
        </is>
      </c>
      <c r="G974" s="29" t="inlineStr">
        <is>
          <t>CFS</t>
        </is>
      </c>
      <c r="H974" s="29" t="inlineStr">
        <is>
          <t>CF</t>
        </is>
      </c>
      <c r="I974" s="29" t="inlineStr">
        <is>
          <t>현금흐름표</t>
        </is>
      </c>
      <c r="J974" s="29" t="inlineStr">
        <is>
          <t>ifrs-full_AdjustmentsForIncreaseDecreaseInOtherCurrentLiabilities</t>
        </is>
      </c>
      <c r="K974" s="29" t="inlineStr">
        <is>
          <t>기타유동부채의 증가(감소)</t>
        </is>
      </c>
      <c r="L974" s="29" t="inlineStr">
        <is>
          <t>-</t>
        </is>
      </c>
      <c r="M974" s="29" t="inlineStr">
        <is>
          <t>제 46 기</t>
        </is>
      </c>
      <c r="N974" s="29" t="inlineStr">
        <is>
          <t>6250355582.0</t>
        </is>
      </c>
      <c r="O974" s="29" t="inlineStr">
        <is>
          <t>3079200079.0</t>
        </is>
      </c>
      <c r="P974" s="29" t="inlineStr">
        <is>
          <t>KRW</t>
        </is>
      </c>
      <c r="Q974" s="29" t="inlineStr">
        <is>
          <t>40</t>
        </is>
      </c>
    </row>
    <row r="975" ht="24" customHeight="1">
      <c r="A975" s="24" t="inlineStr">
        <is>
          <t>OpenDART_fnlttSinglAcntAll</t>
        </is>
      </c>
      <c r="B975" s="24" t="inlineStr">
        <is>
          <t>00161383</t>
        </is>
      </c>
      <c r="C975" s="24" t="inlineStr">
        <is>
          <t>한미반도체</t>
        </is>
      </c>
      <c r="D975" s="24" t="inlineStr">
        <is>
          <t>hanmi</t>
        </is>
      </c>
      <c r="E975" s="24" t="inlineStr">
        <is>
          <t>042700</t>
        </is>
      </c>
      <c r="F975" s="24" t="inlineStr">
        <is>
          <t>2025</t>
        </is>
      </c>
      <c r="G975" s="24" t="inlineStr">
        <is>
          <t>CFS</t>
        </is>
      </c>
      <c r="H975" s="24" t="inlineStr">
        <is>
          <t>CF</t>
        </is>
      </c>
      <c r="I975" s="24" t="inlineStr">
        <is>
          <t>현금흐름표</t>
        </is>
      </c>
      <c r="J975" s="24" t="inlineStr">
        <is>
          <t>ifrs-full_AdjustmentsForIncreaseDecreaseInTradeAccountPayable</t>
        </is>
      </c>
      <c r="K975" s="24" t="inlineStr">
        <is>
          <t>매입채무의 증가(감소)</t>
        </is>
      </c>
      <c r="L975" s="24" t="inlineStr">
        <is>
          <t>-</t>
        </is>
      </c>
      <c r="M975" s="24" t="inlineStr">
        <is>
          <t>제 46 기</t>
        </is>
      </c>
      <c r="N975" s="24" t="inlineStr">
        <is>
          <t>-33009638161.0</t>
        </is>
      </c>
      <c r="O975" s="24" t="inlineStr">
        <is>
          <t>34836930799.0</t>
        </is>
      </c>
      <c r="P975" s="24" t="inlineStr">
        <is>
          <t>KRW</t>
        </is>
      </c>
      <c r="Q975" s="24" t="inlineStr">
        <is>
          <t>41</t>
        </is>
      </c>
    </row>
    <row r="976" ht="24" customHeight="1">
      <c r="A976" s="29" t="inlineStr">
        <is>
          <t>OpenDART_fnlttSinglAcntAll</t>
        </is>
      </c>
      <c r="B976" s="29" t="inlineStr">
        <is>
          <t>00161383</t>
        </is>
      </c>
      <c r="C976" s="29" t="inlineStr">
        <is>
          <t>한미반도체</t>
        </is>
      </c>
      <c r="D976" s="29" t="inlineStr">
        <is>
          <t>hanmi</t>
        </is>
      </c>
      <c r="E976" s="29" t="inlineStr">
        <is>
          <t>042700</t>
        </is>
      </c>
      <c r="F976" s="29" t="inlineStr">
        <is>
          <t>2025</t>
        </is>
      </c>
      <c r="G976" s="29" t="inlineStr">
        <is>
          <t>CFS</t>
        </is>
      </c>
      <c r="H976" s="29" t="inlineStr">
        <is>
          <t>CF</t>
        </is>
      </c>
      <c r="I976" s="29" t="inlineStr">
        <is>
          <t>현금흐름표</t>
        </is>
      </c>
      <c r="J976" s="29" t="inlineStr">
        <is>
          <t>ifrs-full_AdjustmentsForReconcileProfitLoss</t>
        </is>
      </c>
      <c r="K976" s="29" t="inlineStr">
        <is>
          <t>당기순이익조정을 위한 가감</t>
        </is>
      </c>
      <c r="L976" s="29" t="inlineStr">
        <is>
          <t>-</t>
        </is>
      </c>
      <c r="M976" s="29" t="inlineStr">
        <is>
          <t>제 46 기</t>
        </is>
      </c>
      <c r="N976" s="29" t="inlineStr">
        <is>
          <t>89105954169.0</t>
        </is>
      </c>
      <c r="O976" s="29" t="inlineStr">
        <is>
          <t>138379942953.0</t>
        </is>
      </c>
      <c r="P976" s="29" t="inlineStr">
        <is>
          <t>KRW</t>
        </is>
      </c>
      <c r="Q976" s="29" t="inlineStr">
        <is>
          <t>42</t>
        </is>
      </c>
    </row>
    <row r="977" ht="24" customHeight="1">
      <c r="A977" s="24" t="inlineStr">
        <is>
          <t>OpenDART_fnlttSinglAcntAll</t>
        </is>
      </c>
      <c r="B977" s="24" t="inlineStr">
        <is>
          <t>00161383</t>
        </is>
      </c>
      <c r="C977" s="24" t="inlineStr">
        <is>
          <t>한미반도체</t>
        </is>
      </c>
      <c r="D977" s="24" t="inlineStr">
        <is>
          <t>hanmi</t>
        </is>
      </c>
      <c r="E977" s="24" t="inlineStr">
        <is>
          <t>042700</t>
        </is>
      </c>
      <c r="F977" s="24" t="inlineStr">
        <is>
          <t>2025</t>
        </is>
      </c>
      <c r="G977" s="24" t="inlineStr">
        <is>
          <t>CFS</t>
        </is>
      </c>
      <c r="H977" s="24" t="inlineStr">
        <is>
          <t>CF</t>
        </is>
      </c>
      <c r="I977" s="24" t="inlineStr">
        <is>
          <t>현금흐름표</t>
        </is>
      </c>
      <c r="J977" s="24" t="inlineStr">
        <is>
          <t>dart_AdjustmentsForBadDebtExpenses</t>
        </is>
      </c>
      <c r="K977" s="24" t="inlineStr">
        <is>
          <t>대손상각비(환입) 조정</t>
        </is>
      </c>
      <c r="L977" s="24" t="inlineStr">
        <is>
          <t>-</t>
        </is>
      </c>
      <c r="M977" s="24" t="inlineStr">
        <is>
          <t>제 46 기</t>
        </is>
      </c>
      <c r="N977" s="24" t="inlineStr">
        <is>
          <t>-371793491.0</t>
        </is>
      </c>
      <c r="O977" s="24" t="inlineStr">
        <is>
          <t>-9109315260.0</t>
        </is>
      </c>
      <c r="P977" s="24" t="inlineStr">
        <is>
          <t>KRW</t>
        </is>
      </c>
      <c r="Q977" s="24" t="inlineStr">
        <is>
          <t>43</t>
        </is>
      </c>
    </row>
    <row r="978" ht="24" customHeight="1">
      <c r="A978" s="29" t="inlineStr">
        <is>
          <t>OpenDART_fnlttSinglAcntAll</t>
        </is>
      </c>
      <c r="B978" s="29" t="inlineStr">
        <is>
          <t>00161383</t>
        </is>
      </c>
      <c r="C978" s="29" t="inlineStr">
        <is>
          <t>한미반도체</t>
        </is>
      </c>
      <c r="D978" s="29" t="inlineStr">
        <is>
          <t>hanmi</t>
        </is>
      </c>
      <c r="E978" s="29" t="inlineStr">
        <is>
          <t>042700</t>
        </is>
      </c>
      <c r="F978" s="29" t="inlineStr">
        <is>
          <t>2025</t>
        </is>
      </c>
      <c r="G978" s="29" t="inlineStr">
        <is>
          <t>CFS</t>
        </is>
      </c>
      <c r="H978" s="29" t="inlineStr">
        <is>
          <t>CF</t>
        </is>
      </c>
      <c r="I978" s="29" t="inlineStr">
        <is>
          <t>현금흐름표</t>
        </is>
      </c>
      <c r="J978" s="29" t="inlineStr">
        <is>
          <t>dart_AdjustmentsForGainOnDisposalOfInvestmentsInAssociates</t>
        </is>
      </c>
      <c r="K978" s="29" t="inlineStr">
        <is>
          <t>관계기업투자자산처분이익 조정</t>
        </is>
      </c>
      <c r="L978" s="29" t="inlineStr">
        <is>
          <t>-</t>
        </is>
      </c>
      <c r="M978" s="29" t="inlineStr">
        <is>
          <t>제 46 기</t>
        </is>
      </c>
      <c r="N978" s="29" t="inlineStr">
        <is>
          <t>850664292.0</t>
        </is>
      </c>
      <c r="O978" s="29" t="inlineStr">
        <is>
          <t>0.0</t>
        </is>
      </c>
      <c r="P978" s="29" t="inlineStr">
        <is>
          <t>KRW</t>
        </is>
      </c>
      <c r="Q978" s="29" t="inlineStr">
        <is>
          <t>44</t>
        </is>
      </c>
    </row>
    <row r="979" ht="24" customHeight="1">
      <c r="A979" s="24" t="inlineStr">
        <is>
          <t>OpenDART_fnlttSinglAcntAll</t>
        </is>
      </c>
      <c r="B979" s="24" t="inlineStr">
        <is>
          <t>00161383</t>
        </is>
      </c>
      <c r="C979" s="24" t="inlineStr">
        <is>
          <t>한미반도체</t>
        </is>
      </c>
      <c r="D979" s="24" t="inlineStr">
        <is>
          <t>hanmi</t>
        </is>
      </c>
      <c r="E979" s="24" t="inlineStr">
        <is>
          <t>042700</t>
        </is>
      </c>
      <c r="F979" s="24" t="inlineStr">
        <is>
          <t>2025</t>
        </is>
      </c>
      <c r="G979" s="24" t="inlineStr">
        <is>
          <t>CFS</t>
        </is>
      </c>
      <c r="H979" s="24" t="inlineStr">
        <is>
          <t>CF</t>
        </is>
      </c>
      <c r="I979" s="24" t="inlineStr">
        <is>
          <t>현금흐름표</t>
        </is>
      </c>
      <c r="J979" s="24" t="inlineStr">
        <is>
          <t>dart_AdjustmentsForGainOnDispositionOfTangibleAssets</t>
        </is>
      </c>
      <c r="K979" s="24" t="inlineStr">
        <is>
          <t>유형자산처분이익 조정</t>
        </is>
      </c>
      <c r="L979" s="24" t="inlineStr">
        <is>
          <t>-</t>
        </is>
      </c>
      <c r="M979" s="24" t="inlineStr">
        <is>
          <t>제 46 기</t>
        </is>
      </c>
      <c r="N979" s="24" t="inlineStr">
        <is>
          <t>249356991.0</t>
        </is>
      </c>
      <c r="O979" s="24" t="inlineStr">
        <is>
          <t>49109323.0</t>
        </is>
      </c>
      <c r="P979" s="24" t="inlineStr">
        <is>
          <t>KRW</t>
        </is>
      </c>
      <c r="Q979" s="24" t="inlineStr">
        <is>
          <t>45</t>
        </is>
      </c>
    </row>
    <row r="980" ht="24" customHeight="1">
      <c r="A980" s="29" t="inlineStr">
        <is>
          <t>OpenDART_fnlttSinglAcntAll</t>
        </is>
      </c>
      <c r="B980" s="29" t="inlineStr">
        <is>
          <t>00161383</t>
        </is>
      </c>
      <c r="C980" s="29" t="inlineStr">
        <is>
          <t>한미반도체</t>
        </is>
      </c>
      <c r="D980" s="29" t="inlineStr">
        <is>
          <t>hanmi</t>
        </is>
      </c>
      <c r="E980" s="29" t="inlineStr">
        <is>
          <t>042700</t>
        </is>
      </c>
      <c r="F980" s="29" t="inlineStr">
        <is>
          <t>2025</t>
        </is>
      </c>
      <c r="G980" s="29" t="inlineStr">
        <is>
          <t>CFS</t>
        </is>
      </c>
      <c r="H980" s="29" t="inlineStr">
        <is>
          <t>CF</t>
        </is>
      </c>
      <c r="I980" s="29" t="inlineStr">
        <is>
          <t>현금흐름표</t>
        </is>
      </c>
      <c r="J980" s="29" t="inlineStr">
        <is>
          <t>dart_AdjustmentsForGainOnForeignExchangeTranslations</t>
        </is>
      </c>
      <c r="K980" s="29" t="inlineStr">
        <is>
          <t>외화환산이익 조정</t>
        </is>
      </c>
      <c r="L980" s="29" t="inlineStr">
        <is>
          <t>-</t>
        </is>
      </c>
      <c r="M980" s="29" t="inlineStr">
        <is>
          <t>제 46 기</t>
        </is>
      </c>
      <c r="N980" s="29" t="inlineStr">
        <is>
          <t>2970123781.0</t>
        </is>
      </c>
      <c r="O980" s="29" t="inlineStr">
        <is>
          <t>9985461719.0</t>
        </is>
      </c>
      <c r="P980" s="29" t="inlineStr">
        <is>
          <t>KRW</t>
        </is>
      </c>
      <c r="Q980" s="29" t="inlineStr">
        <is>
          <t>46</t>
        </is>
      </c>
    </row>
    <row r="981" ht="24" customHeight="1">
      <c r="A981" s="24" t="inlineStr">
        <is>
          <t>OpenDART_fnlttSinglAcntAll</t>
        </is>
      </c>
      <c r="B981" s="24" t="inlineStr">
        <is>
          <t>00161383</t>
        </is>
      </c>
      <c r="C981" s="24" t="inlineStr">
        <is>
          <t>한미반도체</t>
        </is>
      </c>
      <c r="D981" s="24" t="inlineStr">
        <is>
          <t>hanmi</t>
        </is>
      </c>
      <c r="E981" s="24" t="inlineStr">
        <is>
          <t>042700</t>
        </is>
      </c>
      <c r="F981" s="24" t="inlineStr">
        <is>
          <t>2025</t>
        </is>
      </c>
      <c r="G981" s="24" t="inlineStr">
        <is>
          <t>CFS</t>
        </is>
      </c>
      <c r="H981" s="24" t="inlineStr">
        <is>
          <t>CF</t>
        </is>
      </c>
      <c r="I981" s="24" t="inlineStr">
        <is>
          <t>현금흐름표</t>
        </is>
      </c>
      <c r="J981" s="24" t="inlineStr">
        <is>
          <t>dart_AdjustmentsForGainsOnDisposalsOfIntangibleAssets</t>
        </is>
      </c>
      <c r="K981" s="24" t="inlineStr">
        <is>
          <t>무형자산처분이익 조정</t>
        </is>
      </c>
      <c r="L981" s="24" t="inlineStr">
        <is>
          <t>-</t>
        </is>
      </c>
      <c r="M981" s="24" t="inlineStr">
        <is>
          <t>제 46 기</t>
        </is>
      </c>
      <c r="N981" s="24" t="inlineStr">
        <is>
          <t>432363636.0</t>
        </is>
      </c>
      <c r="O981" s="24" t="inlineStr">
        <is>
          <t>0.0</t>
        </is>
      </c>
      <c r="P981" s="24" t="inlineStr">
        <is>
          <t>KRW</t>
        </is>
      </c>
      <c r="Q981" s="24" t="inlineStr">
        <is>
          <t>47</t>
        </is>
      </c>
    </row>
    <row r="982" ht="24" customHeight="1">
      <c r="A982" s="29" t="inlineStr">
        <is>
          <t>OpenDART_fnlttSinglAcntAll</t>
        </is>
      </c>
      <c r="B982" s="29" t="inlineStr">
        <is>
          <t>00161383</t>
        </is>
      </c>
      <c r="C982" s="29" t="inlineStr">
        <is>
          <t>한미반도체</t>
        </is>
      </c>
      <c r="D982" s="29" t="inlineStr">
        <is>
          <t>hanmi</t>
        </is>
      </c>
      <c r="E982" s="29" t="inlineStr">
        <is>
          <t>042700</t>
        </is>
      </c>
      <c r="F982" s="29" t="inlineStr">
        <is>
          <t>2025</t>
        </is>
      </c>
      <c r="G982" s="29" t="inlineStr">
        <is>
          <t>CFS</t>
        </is>
      </c>
      <c r="H982" s="29" t="inlineStr">
        <is>
          <t>CF</t>
        </is>
      </c>
      <c r="I982" s="29" t="inlineStr">
        <is>
          <t>현금흐름표</t>
        </is>
      </c>
      <c r="J982" s="29" t="inlineStr">
        <is>
          <t>dart_AdjustmentsForGainsOnEvaluationOfFairValueFinancialAssets</t>
        </is>
      </c>
      <c r="K982" s="29" t="inlineStr">
        <is>
          <t>당기손익인식금융자산평가이익 조정</t>
        </is>
      </c>
      <c r="L982" s="29" t="inlineStr">
        <is>
          <t>-</t>
        </is>
      </c>
      <c r="M982" s="29" t="inlineStr">
        <is>
          <t>제 46 기</t>
        </is>
      </c>
      <c r="N982" s="29" t="inlineStr">
        <is>
          <t>13444912750.0</t>
        </is>
      </c>
      <c r="O982" s="29" t="inlineStr">
        <is>
          <t>965400000.0</t>
        </is>
      </c>
      <c r="P982" s="29" t="inlineStr">
        <is>
          <t>KRW</t>
        </is>
      </c>
      <c r="Q982" s="29" t="inlineStr">
        <is>
          <t>48</t>
        </is>
      </c>
    </row>
    <row r="983" ht="24" customHeight="1">
      <c r="A983" s="24" t="inlineStr">
        <is>
          <t>OpenDART_fnlttSinglAcntAll</t>
        </is>
      </c>
      <c r="B983" s="24" t="inlineStr">
        <is>
          <t>00161383</t>
        </is>
      </c>
      <c r="C983" s="24" t="inlineStr">
        <is>
          <t>한미반도체</t>
        </is>
      </c>
      <c r="D983" s="24" t="inlineStr">
        <is>
          <t>hanmi</t>
        </is>
      </c>
      <c r="E983" s="24" t="inlineStr">
        <is>
          <t>042700</t>
        </is>
      </c>
      <c r="F983" s="24" t="inlineStr">
        <is>
          <t>2025</t>
        </is>
      </c>
      <c r="G983" s="24" t="inlineStr">
        <is>
          <t>CFS</t>
        </is>
      </c>
      <c r="H983" s="24" t="inlineStr">
        <is>
          <t>CF</t>
        </is>
      </c>
      <c r="I983" s="24" t="inlineStr">
        <is>
          <t>현금흐름표</t>
        </is>
      </c>
      <c r="J983" s="24" t="inlineStr">
        <is>
          <t>dart_AdjustmentsForImpairmentLossesOfIntangibleAssets</t>
        </is>
      </c>
      <c r="K983" s="24" t="inlineStr">
        <is>
          <t>무형자산손상차손 조정</t>
        </is>
      </c>
      <c r="L983" s="24" t="inlineStr">
        <is>
          <t>-</t>
        </is>
      </c>
      <c r="M983" s="24" t="inlineStr">
        <is>
          <t>제 46 기</t>
        </is>
      </c>
      <c r="N983" s="24" t="inlineStr">
        <is>
          <t>0.0</t>
        </is>
      </c>
      <c r="O983" s="24" t="inlineStr">
        <is>
          <t>20290360.0</t>
        </is>
      </c>
      <c r="P983" s="24" t="inlineStr">
        <is>
          <t>KRW</t>
        </is>
      </c>
      <c r="Q983" s="24" t="inlineStr">
        <is>
          <t>49</t>
        </is>
      </c>
    </row>
    <row r="984" ht="24" customHeight="1">
      <c r="A984" s="29" t="inlineStr">
        <is>
          <t>OpenDART_fnlttSinglAcntAll</t>
        </is>
      </c>
      <c r="B984" s="29" t="inlineStr">
        <is>
          <t>00161383</t>
        </is>
      </c>
      <c r="C984" s="29" t="inlineStr">
        <is>
          <t>한미반도체</t>
        </is>
      </c>
      <c r="D984" s="29" t="inlineStr">
        <is>
          <t>hanmi</t>
        </is>
      </c>
      <c r="E984" s="29" t="inlineStr">
        <is>
          <t>042700</t>
        </is>
      </c>
      <c r="F984" s="29" t="inlineStr">
        <is>
          <t>2025</t>
        </is>
      </c>
      <c r="G984" s="29" t="inlineStr">
        <is>
          <t>CFS</t>
        </is>
      </c>
      <c r="H984" s="29" t="inlineStr">
        <is>
          <t>CF</t>
        </is>
      </c>
      <c r="I984" s="29" t="inlineStr">
        <is>
          <t>현금흐름표</t>
        </is>
      </c>
      <c r="J984" s="29" t="inlineStr">
        <is>
          <t>dart_AdjustmentsForInterestExpenses</t>
        </is>
      </c>
      <c r="K984" s="29" t="inlineStr">
        <is>
          <t>이자비용 조정</t>
        </is>
      </c>
      <c r="L984" s="29" t="inlineStr">
        <is>
          <t>-</t>
        </is>
      </c>
      <c r="M984" s="29" t="inlineStr">
        <is>
          <t>제 46 기</t>
        </is>
      </c>
      <c r="N984" s="29" t="inlineStr">
        <is>
          <t>292615678.0</t>
        </is>
      </c>
      <c r="O984" s="29" t="inlineStr">
        <is>
          <t>11880269.0</t>
        </is>
      </c>
      <c r="P984" s="29" t="inlineStr">
        <is>
          <t>KRW</t>
        </is>
      </c>
      <c r="Q984" s="29" t="inlineStr">
        <is>
          <t>50</t>
        </is>
      </c>
    </row>
    <row r="985" ht="24" customHeight="1">
      <c r="A985" s="24" t="inlineStr">
        <is>
          <t>OpenDART_fnlttSinglAcntAll</t>
        </is>
      </c>
      <c r="B985" s="24" t="inlineStr">
        <is>
          <t>00161383</t>
        </is>
      </c>
      <c r="C985" s="24" t="inlineStr">
        <is>
          <t>한미반도체</t>
        </is>
      </c>
      <c r="D985" s="24" t="inlineStr">
        <is>
          <t>hanmi</t>
        </is>
      </c>
      <c r="E985" s="24" t="inlineStr">
        <is>
          <t>042700</t>
        </is>
      </c>
      <c r="F985" s="24" t="inlineStr">
        <is>
          <t>2025</t>
        </is>
      </c>
      <c r="G985" s="24" t="inlineStr">
        <is>
          <t>CFS</t>
        </is>
      </c>
      <c r="H985" s="24" t="inlineStr">
        <is>
          <t>CF</t>
        </is>
      </c>
      <c r="I985" s="24" t="inlineStr">
        <is>
          <t>현금흐름표</t>
        </is>
      </c>
      <c r="J985" s="24" t="inlineStr">
        <is>
          <t>dart_AdjustmentsForLossesOnDisposalsOfIntangibleAssets</t>
        </is>
      </c>
      <c r="K985" s="24" t="inlineStr">
        <is>
          <t>무형자산처분손실 조정</t>
        </is>
      </c>
      <c r="L985" s="24" t="inlineStr">
        <is>
          <t>-</t>
        </is>
      </c>
      <c r="M985" s="24" t="inlineStr">
        <is>
          <t>제 46 기</t>
        </is>
      </c>
      <c r="N985" s="24" t="inlineStr">
        <is>
          <t>1997210.0</t>
        </is>
      </c>
      <c r="O985" s="24" t="inlineStr">
        <is>
          <t>601120.0</t>
        </is>
      </c>
      <c r="P985" s="24" t="inlineStr">
        <is>
          <t>KRW</t>
        </is>
      </c>
      <c r="Q985" s="24" t="inlineStr">
        <is>
          <t>51</t>
        </is>
      </c>
    </row>
    <row r="986" ht="24" customHeight="1">
      <c r="A986" s="29" t="inlineStr">
        <is>
          <t>OpenDART_fnlttSinglAcntAll</t>
        </is>
      </c>
      <c r="B986" s="29" t="inlineStr">
        <is>
          <t>00161383</t>
        </is>
      </c>
      <c r="C986" s="29" t="inlineStr">
        <is>
          <t>한미반도체</t>
        </is>
      </c>
      <c r="D986" s="29" t="inlineStr">
        <is>
          <t>hanmi</t>
        </is>
      </c>
      <c r="E986" s="29" t="inlineStr">
        <is>
          <t>042700</t>
        </is>
      </c>
      <c r="F986" s="29" t="inlineStr">
        <is>
          <t>2025</t>
        </is>
      </c>
      <c r="G986" s="29" t="inlineStr">
        <is>
          <t>CFS</t>
        </is>
      </c>
      <c r="H986" s="29" t="inlineStr">
        <is>
          <t>CF</t>
        </is>
      </c>
      <c r="I986" s="29" t="inlineStr">
        <is>
          <t>현금흐름표</t>
        </is>
      </c>
      <c r="J986" s="29" t="inlineStr">
        <is>
          <t>dart_AdjustmentsForLossesOnDispositionOfPropertyPlantAndEquipment</t>
        </is>
      </c>
      <c r="K986" s="29" t="inlineStr">
        <is>
          <t>유형자산처분손실 조정</t>
        </is>
      </c>
      <c r="L986" s="29" t="inlineStr">
        <is>
          <t>-</t>
        </is>
      </c>
      <c r="M986" s="29" t="inlineStr">
        <is>
          <t>제 46 기</t>
        </is>
      </c>
      <c r="N986" s="29" t="inlineStr">
        <is>
          <t>400108236.0</t>
        </is>
      </c>
      <c r="O986" s="29" t="inlineStr">
        <is>
          <t>58558737.0</t>
        </is>
      </c>
      <c r="P986" s="29" t="inlineStr">
        <is>
          <t>KRW</t>
        </is>
      </c>
      <c r="Q986" s="29" t="inlineStr">
        <is>
          <t>52</t>
        </is>
      </c>
    </row>
    <row r="987" ht="24" customHeight="1">
      <c r="A987" s="24" t="inlineStr">
        <is>
          <t>OpenDART_fnlttSinglAcntAll</t>
        </is>
      </c>
      <c r="B987" s="24" t="inlineStr">
        <is>
          <t>00161383</t>
        </is>
      </c>
      <c r="C987" s="24" t="inlineStr">
        <is>
          <t>한미반도체</t>
        </is>
      </c>
      <c r="D987" s="24" t="inlineStr">
        <is>
          <t>hanmi</t>
        </is>
      </c>
      <c r="E987" s="24" t="inlineStr">
        <is>
          <t>042700</t>
        </is>
      </c>
      <c r="F987" s="24" t="inlineStr">
        <is>
          <t>2025</t>
        </is>
      </c>
      <c r="G987" s="24" t="inlineStr">
        <is>
          <t>CFS</t>
        </is>
      </c>
      <c r="H987" s="24" t="inlineStr">
        <is>
          <t>CF</t>
        </is>
      </c>
      <c r="I987" s="24" t="inlineStr">
        <is>
          <t>현금흐름표</t>
        </is>
      </c>
      <c r="J987" s="24" t="inlineStr">
        <is>
          <t>dart_AdjustmentsForLossesOnEvaluationOfFairValueFinancialAssets</t>
        </is>
      </c>
      <c r="K987" s="24" t="inlineStr">
        <is>
          <t>당기손익인식금융자산평가손실 조정</t>
        </is>
      </c>
      <c r="L987" s="24" t="inlineStr">
        <is>
          <t>-</t>
        </is>
      </c>
      <c r="M987" s="24" t="inlineStr">
        <is>
          <t>제 46 기</t>
        </is>
      </c>
      <c r="N987" s="24" t="inlineStr">
        <is>
          <t>633000000.0</t>
        </is>
      </c>
      <c r="O987" s="24" t="inlineStr">
        <is>
          <t>70757540100.0</t>
        </is>
      </c>
      <c r="P987" s="24" t="inlineStr">
        <is>
          <t>KRW</t>
        </is>
      </c>
      <c r="Q987" s="24" t="inlineStr">
        <is>
          <t>53</t>
        </is>
      </c>
    </row>
    <row r="988" ht="24" customHeight="1">
      <c r="A988" s="29" t="inlineStr">
        <is>
          <t>OpenDART_fnlttSinglAcntAll</t>
        </is>
      </c>
      <c r="B988" s="29" t="inlineStr">
        <is>
          <t>00161383</t>
        </is>
      </c>
      <c r="C988" s="29" t="inlineStr">
        <is>
          <t>한미반도체</t>
        </is>
      </c>
      <c r="D988" s="29" t="inlineStr">
        <is>
          <t>hanmi</t>
        </is>
      </c>
      <c r="E988" s="29" t="inlineStr">
        <is>
          <t>042700</t>
        </is>
      </c>
      <c r="F988" s="29" t="inlineStr">
        <is>
          <t>2025</t>
        </is>
      </c>
      <c r="G988" s="29" t="inlineStr">
        <is>
          <t>CFS</t>
        </is>
      </c>
      <c r="H988" s="29" t="inlineStr">
        <is>
          <t>CF</t>
        </is>
      </c>
      <c r="I988" s="29" t="inlineStr">
        <is>
          <t>현금흐름표</t>
        </is>
      </c>
      <c r="J988" s="29" t="inlineStr">
        <is>
          <t>dart_AdjustmentsForLossesOnForeignExchangeTranslations</t>
        </is>
      </c>
      <c r="K988" s="29" t="inlineStr">
        <is>
          <t>외화환산손실 조정</t>
        </is>
      </c>
      <c r="L988" s="29" t="inlineStr">
        <is>
          <t>-</t>
        </is>
      </c>
      <c r="M988" s="29" t="inlineStr">
        <is>
          <t>제 46 기</t>
        </is>
      </c>
      <c r="N988" s="29" t="inlineStr">
        <is>
          <t>791077586.0</t>
        </is>
      </c>
      <c r="O988" s="29" t="inlineStr">
        <is>
          <t>871949339.0</t>
        </is>
      </c>
      <c r="P988" s="29" t="inlineStr">
        <is>
          <t>KRW</t>
        </is>
      </c>
      <c r="Q988" s="29" t="inlineStr">
        <is>
          <t>54</t>
        </is>
      </c>
    </row>
    <row r="989" ht="24" customHeight="1">
      <c r="A989" s="24" t="inlineStr">
        <is>
          <t>OpenDART_fnlttSinglAcntAll</t>
        </is>
      </c>
      <c r="B989" s="24" t="inlineStr">
        <is>
          <t>00161383</t>
        </is>
      </c>
      <c r="C989" s="24" t="inlineStr">
        <is>
          <t>한미반도체</t>
        </is>
      </c>
      <c r="D989" s="24" t="inlineStr">
        <is>
          <t>hanmi</t>
        </is>
      </c>
      <c r="E989" s="24" t="inlineStr">
        <is>
          <t>042700</t>
        </is>
      </c>
      <c r="F989" s="24" t="inlineStr">
        <is>
          <t>2025</t>
        </is>
      </c>
      <c r="G989" s="24" t="inlineStr">
        <is>
          <t>CFS</t>
        </is>
      </c>
      <c r="H989" s="24" t="inlineStr">
        <is>
          <t>CF</t>
        </is>
      </c>
      <c r="I989" s="24" t="inlineStr">
        <is>
          <t>현금흐름표</t>
        </is>
      </c>
      <c r="J989" s="24" t="inlineStr">
        <is>
          <t>dart_AdjustmentsForOtherBadDebtExpenses</t>
        </is>
      </c>
      <c r="K989" s="24" t="inlineStr">
        <is>
          <t>기타의 대손상각비 조정</t>
        </is>
      </c>
      <c r="L989" s="24" t="inlineStr">
        <is>
          <t>-</t>
        </is>
      </c>
      <c r="M989" s="24" t="inlineStr">
        <is>
          <t>제 46 기</t>
        </is>
      </c>
      <c r="N989" s="24" t="inlineStr">
        <is>
          <t>209390861.0</t>
        </is>
      </c>
      <c r="O989" s="24" t="inlineStr">
        <is>
          <t>0.0</t>
        </is>
      </c>
      <c r="P989" s="24" t="inlineStr">
        <is>
          <t>KRW</t>
        </is>
      </c>
      <c r="Q989" s="24" t="inlineStr">
        <is>
          <t>55</t>
        </is>
      </c>
    </row>
    <row r="990" ht="24" customHeight="1">
      <c r="A990" s="29" t="inlineStr">
        <is>
          <t>OpenDART_fnlttSinglAcntAll</t>
        </is>
      </c>
      <c r="B990" s="29" t="inlineStr">
        <is>
          <t>00161383</t>
        </is>
      </c>
      <c r="C990" s="29" t="inlineStr">
        <is>
          <t>한미반도체</t>
        </is>
      </c>
      <c r="D990" s="29" t="inlineStr">
        <is>
          <t>hanmi</t>
        </is>
      </c>
      <c r="E990" s="29" t="inlineStr">
        <is>
          <t>042700</t>
        </is>
      </c>
      <c r="F990" s="29" t="inlineStr">
        <is>
          <t>2025</t>
        </is>
      </c>
      <c r="G990" s="29" t="inlineStr">
        <is>
          <t>CFS</t>
        </is>
      </c>
      <c r="H990" s="29" t="inlineStr">
        <is>
          <t>CF</t>
        </is>
      </c>
      <c r="I990" s="29" t="inlineStr">
        <is>
          <t>현금흐름표</t>
        </is>
      </c>
      <c r="J990" s="29" t="inlineStr">
        <is>
          <t>dart_AdjustmentsForOtherLossesWithoutCashFlowOut</t>
        </is>
      </c>
      <c r="K990" s="29" t="inlineStr">
        <is>
          <t>기타 현금의 유출입 없는 비용(수익)등</t>
        </is>
      </c>
      <c r="L990" s="29" t="inlineStr">
        <is>
          <t>-</t>
        </is>
      </c>
      <c r="M990" s="29" t="inlineStr">
        <is>
          <t>제 46 기</t>
        </is>
      </c>
      <c r="N990" s="29" t="inlineStr">
        <is>
          <t>187689662.0</t>
        </is>
      </c>
      <c r="O990" s="29" t="inlineStr">
        <is>
          <t>553820718.0</t>
        </is>
      </c>
      <c r="P990" s="29" t="inlineStr">
        <is>
          <t>KRW</t>
        </is>
      </c>
      <c r="Q990" s="29" t="inlineStr">
        <is>
          <t>56</t>
        </is>
      </c>
    </row>
    <row r="991" ht="24" customHeight="1">
      <c r="A991" s="24" t="inlineStr">
        <is>
          <t>OpenDART_fnlttSinglAcntAll</t>
        </is>
      </c>
      <c r="B991" s="24" t="inlineStr">
        <is>
          <t>00161383</t>
        </is>
      </c>
      <c r="C991" s="24" t="inlineStr">
        <is>
          <t>한미반도체</t>
        </is>
      </c>
      <c r="D991" s="24" t="inlineStr">
        <is>
          <t>hanmi</t>
        </is>
      </c>
      <c r="E991" s="24" t="inlineStr">
        <is>
          <t>042700</t>
        </is>
      </c>
      <c r="F991" s="24" t="inlineStr">
        <is>
          <t>2025</t>
        </is>
      </c>
      <c r="G991" s="24" t="inlineStr">
        <is>
          <t>CFS</t>
        </is>
      </c>
      <c r="H991" s="24" t="inlineStr">
        <is>
          <t>CF</t>
        </is>
      </c>
      <c r="I991" s="24" t="inlineStr">
        <is>
          <t>현금흐름표</t>
        </is>
      </c>
      <c r="J991" s="24" t="inlineStr">
        <is>
          <t>dart_AdjustmentsForProfitsOfAssociatesAndJointVenturesAccountedForUsingEquityMethod</t>
        </is>
      </c>
      <c r="K991" s="24" t="inlineStr">
        <is>
          <t>지분법이익 조정</t>
        </is>
      </c>
      <c r="L991" s="24" t="inlineStr">
        <is>
          <t>-</t>
        </is>
      </c>
      <c r="M991" s="24" t="inlineStr">
        <is>
          <t>제 46 기</t>
        </is>
      </c>
      <c r="N991" s="24" t="inlineStr">
        <is>
          <t>-653884696.0</t>
        </is>
      </c>
      <c r="O991" s="24" t="inlineStr">
        <is>
          <t>117480968.0</t>
        </is>
      </c>
      <c r="P991" s="24" t="inlineStr">
        <is>
          <t>KRW</t>
        </is>
      </c>
      <c r="Q991" s="24" t="inlineStr">
        <is>
          <t>57</t>
        </is>
      </c>
    </row>
    <row r="992" ht="24" customHeight="1">
      <c r="A992" s="29" t="inlineStr">
        <is>
          <t>OpenDART_fnlttSinglAcntAll</t>
        </is>
      </c>
      <c r="B992" s="29" t="inlineStr">
        <is>
          <t>00161383</t>
        </is>
      </c>
      <c r="C992" s="29" t="inlineStr">
        <is>
          <t>한미반도체</t>
        </is>
      </c>
      <c r="D992" s="29" t="inlineStr">
        <is>
          <t>hanmi</t>
        </is>
      </c>
      <c r="E992" s="29" t="inlineStr">
        <is>
          <t>042700</t>
        </is>
      </c>
      <c r="F992" s="29" t="inlineStr">
        <is>
          <t>2025</t>
        </is>
      </c>
      <c r="G992" s="29" t="inlineStr">
        <is>
          <t>CFS</t>
        </is>
      </c>
      <c r="H992" s="29" t="inlineStr">
        <is>
          <t>CF</t>
        </is>
      </c>
      <c r="I992" s="29" t="inlineStr">
        <is>
          <t>현금흐름표</t>
        </is>
      </c>
      <c r="J992" s="29" t="inlineStr">
        <is>
          <t>dart_AdjustmentsForProvisionForSeveranceIndemnities</t>
        </is>
      </c>
      <c r="K992" s="29" t="inlineStr">
        <is>
          <t>퇴직급여 조정</t>
        </is>
      </c>
      <c r="L992" s="29" t="inlineStr">
        <is>
          <t>-</t>
        </is>
      </c>
      <c r="M992" s="29" t="inlineStr">
        <is>
          <t>제 46 기</t>
        </is>
      </c>
      <c r="N992" s="29" t="inlineStr">
        <is>
          <t>2808862860.0</t>
        </is>
      </c>
      <c r="O992" s="29" t="inlineStr">
        <is>
          <t>2172312780.0</t>
        </is>
      </c>
      <c r="P992" s="29" t="inlineStr">
        <is>
          <t>KRW</t>
        </is>
      </c>
      <c r="Q992" s="29" t="inlineStr">
        <is>
          <t>58</t>
        </is>
      </c>
    </row>
    <row r="993" ht="24" customHeight="1">
      <c r="A993" s="24" t="inlineStr">
        <is>
          <t>OpenDART_fnlttSinglAcntAll</t>
        </is>
      </c>
      <c r="B993" s="24" t="inlineStr">
        <is>
          <t>00161383</t>
        </is>
      </c>
      <c r="C993" s="24" t="inlineStr">
        <is>
          <t>한미반도체</t>
        </is>
      </c>
      <c r="D993" s="24" t="inlineStr">
        <is>
          <t>hanmi</t>
        </is>
      </c>
      <c r="E993" s="24" t="inlineStr">
        <is>
          <t>042700</t>
        </is>
      </c>
      <c r="F993" s="24" t="inlineStr">
        <is>
          <t>2025</t>
        </is>
      </c>
      <c r="G993" s="24" t="inlineStr">
        <is>
          <t>CFS</t>
        </is>
      </c>
      <c r="H993" s="24" t="inlineStr">
        <is>
          <t>CF</t>
        </is>
      </c>
      <c r="I993" s="24" t="inlineStr">
        <is>
          <t>현금흐름표</t>
        </is>
      </c>
      <c r="J993" s="24" t="inlineStr">
        <is>
          <t>dart_AdjustmentsForShareBasedPayment</t>
        </is>
      </c>
      <c r="K993" s="24" t="inlineStr">
        <is>
          <t>주식보상비용(환입) 조정</t>
        </is>
      </c>
      <c r="L993" s="24" t="inlineStr">
        <is>
          <t>-</t>
        </is>
      </c>
      <c r="M993" s="24" t="inlineStr">
        <is>
          <t>제 46 기</t>
        </is>
      </c>
      <c r="N993" s="24" t="inlineStr">
        <is>
          <t>8770375679.0</t>
        </is>
      </c>
      <c r="O993" s="24" t="inlineStr">
        <is>
          <t>8943498415.0</t>
        </is>
      </c>
      <c r="P993" s="24" t="inlineStr">
        <is>
          <t>KRW</t>
        </is>
      </c>
      <c r="Q993" s="24" t="inlineStr">
        <is>
          <t>59</t>
        </is>
      </c>
    </row>
    <row r="994" ht="24" customHeight="1">
      <c r="A994" s="29" t="inlineStr">
        <is>
          <t>OpenDART_fnlttSinglAcntAll</t>
        </is>
      </c>
      <c r="B994" s="29" t="inlineStr">
        <is>
          <t>00161383</t>
        </is>
      </c>
      <c r="C994" s="29" t="inlineStr">
        <is>
          <t>한미반도체</t>
        </is>
      </c>
      <c r="D994" s="29" t="inlineStr">
        <is>
          <t>hanmi</t>
        </is>
      </c>
      <c r="E994" s="29" t="inlineStr">
        <is>
          <t>042700</t>
        </is>
      </c>
      <c r="F994" s="29" t="inlineStr">
        <is>
          <t>2025</t>
        </is>
      </c>
      <c r="G994" s="29" t="inlineStr">
        <is>
          <t>CFS</t>
        </is>
      </c>
      <c r="H994" s="29" t="inlineStr">
        <is>
          <t>CF</t>
        </is>
      </c>
      <c r="I994" s="29" t="inlineStr">
        <is>
          <t>현금흐름표</t>
        </is>
      </c>
      <c r="J994" s="29" t="inlineStr">
        <is>
          <t>dart_AdjustmentsForWritedownsOfInventories</t>
        </is>
      </c>
      <c r="K994" s="29" t="inlineStr">
        <is>
          <t>재고자산평가손실 조정</t>
        </is>
      </c>
      <c r="L994" s="29" t="inlineStr">
        <is>
          <t>-</t>
        </is>
      </c>
      <c r="M994" s="29" t="inlineStr">
        <is>
          <t>제 46 기</t>
        </is>
      </c>
      <c r="N994" s="29" t="inlineStr">
        <is>
          <t>28866770289.0</t>
        </is>
      </c>
      <c r="O994" s="29" t="inlineStr">
        <is>
          <t>9654417543.0</t>
        </is>
      </c>
      <c r="P994" s="29" t="inlineStr">
        <is>
          <t>KRW</t>
        </is>
      </c>
      <c r="Q994" s="29" t="inlineStr">
        <is>
          <t>60</t>
        </is>
      </c>
    </row>
    <row r="995" ht="24" customHeight="1">
      <c r="A995" s="24" t="inlineStr">
        <is>
          <t>OpenDART_fnlttSinglAcntAll</t>
        </is>
      </c>
      <c r="B995" s="24" t="inlineStr">
        <is>
          <t>00161383</t>
        </is>
      </c>
      <c r="C995" s="24" t="inlineStr">
        <is>
          <t>한미반도체</t>
        </is>
      </c>
      <c r="D995" s="24" t="inlineStr">
        <is>
          <t>hanmi</t>
        </is>
      </c>
      <c r="E995" s="24" t="inlineStr">
        <is>
          <t>042700</t>
        </is>
      </c>
      <c r="F995" s="24" t="inlineStr">
        <is>
          <t>2025</t>
        </is>
      </c>
      <c r="G995" s="24" t="inlineStr">
        <is>
          <t>CFS</t>
        </is>
      </c>
      <c r="H995" s="24" t="inlineStr">
        <is>
          <t>CF</t>
        </is>
      </c>
      <c r="I995" s="24" t="inlineStr">
        <is>
          <t>현금흐름표</t>
        </is>
      </c>
      <c r="J995" s="24" t="inlineStr">
        <is>
          <t>dart_GainsOnDisposalsOfFairValueFinancialAsset</t>
        </is>
      </c>
      <c r="K995" s="24" t="inlineStr">
        <is>
          <t>당기손익인식금융자산처분이익 조정</t>
        </is>
      </c>
      <c r="L995" s="24" t="inlineStr">
        <is>
          <t>-</t>
        </is>
      </c>
      <c r="M995" s="24" t="inlineStr">
        <is>
          <t>제 46 기</t>
        </is>
      </c>
      <c r="N995" s="24" t="inlineStr">
        <is>
          <t>7536191352.0</t>
        </is>
      </c>
      <c r="O995" s="24" t="inlineStr">
        <is>
          <t>902660503.0</t>
        </is>
      </c>
      <c r="P995" s="24" t="inlineStr">
        <is>
          <t>KRW</t>
        </is>
      </c>
      <c r="Q995" s="24" t="inlineStr">
        <is>
          <t>61</t>
        </is>
      </c>
    </row>
    <row r="996" ht="24" customHeight="1">
      <c r="A996" s="29" t="inlineStr">
        <is>
          <t>OpenDART_fnlttSinglAcntAll</t>
        </is>
      </c>
      <c r="B996" s="29" t="inlineStr">
        <is>
          <t>00161383</t>
        </is>
      </c>
      <c r="C996" s="29" t="inlineStr">
        <is>
          <t>한미반도체</t>
        </is>
      </c>
      <c r="D996" s="29" t="inlineStr">
        <is>
          <t>hanmi</t>
        </is>
      </c>
      <c r="E996" s="29" t="inlineStr">
        <is>
          <t>042700</t>
        </is>
      </c>
      <c r="F996" s="29" t="inlineStr">
        <is>
          <t>2025</t>
        </is>
      </c>
      <c r="G996" s="29" t="inlineStr">
        <is>
          <t>CFS</t>
        </is>
      </c>
      <c r="H996" s="29" t="inlineStr">
        <is>
          <t>CF</t>
        </is>
      </c>
      <c r="I996" s="29" t="inlineStr">
        <is>
          <t>현금흐름표</t>
        </is>
      </c>
      <c r="J996" s="29" t="inlineStr">
        <is>
          <t>dart_LossesOnDisposalOfFairValueFinancialAsset</t>
        </is>
      </c>
      <c r="K996" s="29" t="inlineStr">
        <is>
          <t>당기손익인식금융자산처분손실 조정</t>
        </is>
      </c>
      <c r="L996" s="29" t="inlineStr">
        <is>
          <t>-</t>
        </is>
      </c>
      <c r="M996" s="29" t="inlineStr">
        <is>
          <t>제 46 기</t>
        </is>
      </c>
      <c r="N996" s="29" t="inlineStr">
        <is>
          <t>1593830787.0</t>
        </is>
      </c>
      <c r="O996" s="29" t="inlineStr">
        <is>
          <t>17254078780.0</t>
        </is>
      </c>
      <c r="P996" s="29" t="inlineStr">
        <is>
          <t>KRW</t>
        </is>
      </c>
      <c r="Q996" s="29" t="inlineStr">
        <is>
          <t>62</t>
        </is>
      </c>
    </row>
    <row r="997" ht="24" customHeight="1">
      <c r="A997" s="24" t="inlineStr">
        <is>
          <t>OpenDART_fnlttSinglAcntAll</t>
        </is>
      </c>
      <c r="B997" s="24" t="inlineStr">
        <is>
          <t>00161383</t>
        </is>
      </c>
      <c r="C997" s="24" t="inlineStr">
        <is>
          <t>한미반도체</t>
        </is>
      </c>
      <c r="D997" s="24" t="inlineStr">
        <is>
          <t>hanmi</t>
        </is>
      </c>
      <c r="E997" s="24" t="inlineStr">
        <is>
          <t>042700</t>
        </is>
      </c>
      <c r="F997" s="24" t="inlineStr">
        <is>
          <t>2025</t>
        </is>
      </c>
      <c r="G997" s="24" t="inlineStr">
        <is>
          <t>CFS</t>
        </is>
      </c>
      <c r="H997" s="24" t="inlineStr">
        <is>
          <t>CF</t>
        </is>
      </c>
      <c r="I997" s="24" t="inlineStr">
        <is>
          <t>현금흐름표</t>
        </is>
      </c>
      <c r="J997" s="24" t="inlineStr">
        <is>
          <t>-표준계정코드 미사용-</t>
        </is>
      </c>
      <c r="K997" s="24" t="inlineStr">
        <is>
          <t>사용권자산처분이익 조정</t>
        </is>
      </c>
      <c r="L997" s="24" t="inlineStr">
        <is>
          <t>-</t>
        </is>
      </c>
      <c r="M997" s="24" t="inlineStr">
        <is>
          <t>제 46 기</t>
        </is>
      </c>
      <c r="N997" s="24" t="inlineStr">
        <is>
          <t>12057303.0</t>
        </is>
      </c>
      <c r="O997" s="24" t="inlineStr">
        <is>
          <t>14397749.0</t>
        </is>
      </c>
      <c r="P997" s="24" t="inlineStr">
        <is>
          <t>KRW</t>
        </is>
      </c>
      <c r="Q997" s="24" t="inlineStr">
        <is>
          <t>63</t>
        </is>
      </c>
    </row>
    <row r="998" ht="24" customHeight="1">
      <c r="A998" s="29" t="inlineStr">
        <is>
          <t>OpenDART_fnlttSinglAcntAll</t>
        </is>
      </c>
      <c r="B998" s="29" t="inlineStr">
        <is>
          <t>00161383</t>
        </is>
      </c>
      <c r="C998" s="29" t="inlineStr">
        <is>
          <t>한미반도체</t>
        </is>
      </c>
      <c r="D998" s="29" t="inlineStr">
        <is>
          <t>hanmi</t>
        </is>
      </c>
      <c r="E998" s="29" t="inlineStr">
        <is>
          <t>042700</t>
        </is>
      </c>
      <c r="F998" s="29" t="inlineStr">
        <is>
          <t>2025</t>
        </is>
      </c>
      <c r="G998" s="29" t="inlineStr">
        <is>
          <t>CFS</t>
        </is>
      </c>
      <c r="H998" s="29" t="inlineStr">
        <is>
          <t>CF</t>
        </is>
      </c>
      <c r="I998" s="29" t="inlineStr">
        <is>
          <t>현금흐름표</t>
        </is>
      </c>
      <c r="J998" s="29" t="inlineStr">
        <is>
          <t>-표준계정코드 미사용-</t>
        </is>
      </c>
      <c r="K998" s="29" t="inlineStr">
        <is>
          <t>리스이자비용 조정</t>
        </is>
      </c>
      <c r="L998" s="29" t="inlineStr">
        <is>
          <t>-</t>
        </is>
      </c>
      <c r="M998" s="29" t="inlineStr">
        <is>
          <t>제 46 기</t>
        </is>
      </c>
      <c r="N998" s="29" t="inlineStr">
        <is>
          <t>105069895.0</t>
        </is>
      </c>
      <c r="O998" s="29" t="inlineStr">
        <is>
          <t>103392692.0</t>
        </is>
      </c>
      <c r="P998" s="29" t="inlineStr">
        <is>
          <t>KRW</t>
        </is>
      </c>
      <c r="Q998" s="29" t="inlineStr">
        <is>
          <t>64</t>
        </is>
      </c>
    </row>
    <row r="999" ht="24" customHeight="1">
      <c r="A999" s="24" t="inlineStr">
        <is>
          <t>OpenDART_fnlttSinglAcntAll</t>
        </is>
      </c>
      <c r="B999" s="24" t="inlineStr">
        <is>
          <t>00161383</t>
        </is>
      </c>
      <c r="C999" s="24" t="inlineStr">
        <is>
          <t>한미반도체</t>
        </is>
      </c>
      <c r="D999" s="24" t="inlineStr">
        <is>
          <t>hanmi</t>
        </is>
      </c>
      <c r="E999" s="24" t="inlineStr">
        <is>
          <t>042700</t>
        </is>
      </c>
      <c r="F999" s="24" t="inlineStr">
        <is>
          <t>2025</t>
        </is>
      </c>
      <c r="G999" s="24" t="inlineStr">
        <is>
          <t>CFS</t>
        </is>
      </c>
      <c r="H999" s="24" t="inlineStr">
        <is>
          <t>CF</t>
        </is>
      </c>
      <c r="I999" s="24" t="inlineStr">
        <is>
          <t>현금흐름표</t>
        </is>
      </c>
      <c r="J999" s="24" t="inlineStr">
        <is>
          <t>-표준계정코드 미사용-</t>
        </is>
      </c>
      <c r="K999" s="24" t="inlineStr">
        <is>
          <t>사용권자산처분손실 조정</t>
        </is>
      </c>
      <c r="L999" s="24" t="inlineStr">
        <is>
          <t>-</t>
        </is>
      </c>
      <c r="M999" s="24" t="inlineStr">
        <is>
          <t>제 46 기</t>
        </is>
      </c>
      <c r="N999" s="24" t="inlineStr">
        <is>
          <t>10493665.0</t>
        </is>
      </c>
      <c r="O999" s="24" t="inlineStr">
        <is>
          <t>0.0</t>
        </is>
      </c>
      <c r="P999" s="24" t="inlineStr">
        <is>
          <t>KRW</t>
        </is>
      </c>
      <c r="Q999" s="24" t="inlineStr">
        <is>
          <t>65</t>
        </is>
      </c>
    </row>
    <row r="1000" ht="24" customHeight="1">
      <c r="A1000" s="29" t="inlineStr">
        <is>
          <t>OpenDART_fnlttSinglAcntAll</t>
        </is>
      </c>
      <c r="B1000" s="29" t="inlineStr">
        <is>
          <t>00161383</t>
        </is>
      </c>
      <c r="C1000" s="29" t="inlineStr">
        <is>
          <t>한미반도체</t>
        </is>
      </c>
      <c r="D1000" s="29" t="inlineStr">
        <is>
          <t>hanmi</t>
        </is>
      </c>
      <c r="E1000" s="29" t="inlineStr">
        <is>
          <t>042700</t>
        </is>
      </c>
      <c r="F1000" s="29" t="inlineStr">
        <is>
          <t>2025</t>
        </is>
      </c>
      <c r="G1000" s="29" t="inlineStr">
        <is>
          <t>CFS</t>
        </is>
      </c>
      <c r="H1000" s="29" t="inlineStr">
        <is>
          <t>CF</t>
        </is>
      </c>
      <c r="I1000" s="29" t="inlineStr">
        <is>
          <t>현금흐름표</t>
        </is>
      </c>
      <c r="J1000" s="29" t="inlineStr">
        <is>
          <t>ifrs-full_AdjustmentsForAmortisationExpense</t>
        </is>
      </c>
      <c r="K1000" s="29" t="inlineStr">
        <is>
          <t>무형자산상각비에 대한 조정</t>
        </is>
      </c>
      <c r="L1000" s="29" t="inlineStr">
        <is>
          <t>-</t>
        </is>
      </c>
      <c r="M1000" s="29" t="inlineStr">
        <is>
          <t>제 46 기</t>
        </is>
      </c>
      <c r="N1000" s="29" t="inlineStr">
        <is>
          <t>248146401.0</t>
        </is>
      </c>
      <c r="O1000" s="29" t="inlineStr">
        <is>
          <t>231569353.0</t>
        </is>
      </c>
      <c r="P1000" s="29" t="inlineStr">
        <is>
          <t>KRW</t>
        </is>
      </c>
      <c r="Q1000" s="29" t="inlineStr">
        <is>
          <t>66</t>
        </is>
      </c>
    </row>
    <row r="1001" ht="24" customHeight="1">
      <c r="A1001" s="24" t="inlineStr">
        <is>
          <t>OpenDART_fnlttSinglAcntAll</t>
        </is>
      </c>
      <c r="B1001" s="24" t="inlineStr">
        <is>
          <t>00161383</t>
        </is>
      </c>
      <c r="C1001" s="24" t="inlineStr">
        <is>
          <t>한미반도체</t>
        </is>
      </c>
      <c r="D1001" s="24" t="inlineStr">
        <is>
          <t>hanmi</t>
        </is>
      </c>
      <c r="E1001" s="24" t="inlineStr">
        <is>
          <t>042700</t>
        </is>
      </c>
      <c r="F1001" s="24" t="inlineStr">
        <is>
          <t>2025</t>
        </is>
      </c>
      <c r="G1001" s="24" t="inlineStr">
        <is>
          <t>CFS</t>
        </is>
      </c>
      <c r="H1001" s="24" t="inlineStr">
        <is>
          <t>CF</t>
        </is>
      </c>
      <c r="I1001" s="24" t="inlineStr">
        <is>
          <t>현금흐름표</t>
        </is>
      </c>
      <c r="J1001" s="24" t="inlineStr">
        <is>
          <t>ifrs-full_AdjustmentsForDepreciationExpense</t>
        </is>
      </c>
      <c r="K1001" s="24" t="inlineStr">
        <is>
          <t>감가상각비에 대한 조정</t>
        </is>
      </c>
      <c r="L1001" s="24" t="inlineStr">
        <is>
          <t>-</t>
        </is>
      </c>
      <c r="M1001" s="24" t="inlineStr">
        <is>
          <t>제 46 기</t>
        </is>
      </c>
      <c r="N1001" s="24" t="inlineStr">
        <is>
          <t>11306046567.0</t>
        </is>
      </c>
      <c r="O1001" s="24" t="inlineStr">
        <is>
          <t>9540438282.0</t>
        </is>
      </c>
      <c r="P1001" s="24" t="inlineStr">
        <is>
          <t>KRW</t>
        </is>
      </c>
      <c r="Q1001" s="24" t="inlineStr">
        <is>
          <t>67</t>
        </is>
      </c>
    </row>
    <row r="1002" ht="24" customHeight="1">
      <c r="A1002" s="29" t="inlineStr">
        <is>
          <t>OpenDART_fnlttSinglAcntAll</t>
        </is>
      </c>
      <c r="B1002" s="29" t="inlineStr">
        <is>
          <t>00161383</t>
        </is>
      </c>
      <c r="C1002" s="29" t="inlineStr">
        <is>
          <t>한미반도체</t>
        </is>
      </c>
      <c r="D1002" s="29" t="inlineStr">
        <is>
          <t>hanmi</t>
        </is>
      </c>
      <c r="E1002" s="29" t="inlineStr">
        <is>
          <t>042700</t>
        </is>
      </c>
      <c r="F1002" s="29" t="inlineStr">
        <is>
          <t>2025</t>
        </is>
      </c>
      <c r="G1002" s="29" t="inlineStr">
        <is>
          <t>CFS</t>
        </is>
      </c>
      <c r="H1002" s="29" t="inlineStr">
        <is>
          <t>CF</t>
        </is>
      </c>
      <c r="I1002" s="29" t="inlineStr">
        <is>
          <t>현금흐름표</t>
        </is>
      </c>
      <c r="J1002" s="29" t="inlineStr">
        <is>
          <t>ifrs-full_AdjustmentsForDividendIncome</t>
        </is>
      </c>
      <c r="K1002" s="29" t="inlineStr">
        <is>
          <t>배당수익에 대한 조정</t>
        </is>
      </c>
      <c r="L1002" s="29" t="inlineStr">
        <is>
          <t>-</t>
        </is>
      </c>
      <c r="M1002" s="29" t="inlineStr">
        <is>
          <t>제 46 기</t>
        </is>
      </c>
      <c r="N1002" s="29" t="inlineStr">
        <is>
          <t>2278977000.0</t>
        </is>
      </c>
      <c r="O1002" s="29" t="inlineStr">
        <is>
          <t>853192200.0</t>
        </is>
      </c>
      <c r="P1002" s="29" t="inlineStr">
        <is>
          <t>KRW</t>
        </is>
      </c>
      <c r="Q1002" s="29" t="inlineStr">
        <is>
          <t>68</t>
        </is>
      </c>
    </row>
    <row r="1003" ht="24" customHeight="1">
      <c r="A1003" s="24" t="inlineStr">
        <is>
          <t>OpenDART_fnlttSinglAcntAll</t>
        </is>
      </c>
      <c r="B1003" s="24" t="inlineStr">
        <is>
          <t>00161383</t>
        </is>
      </c>
      <c r="C1003" s="24" t="inlineStr">
        <is>
          <t>한미반도체</t>
        </is>
      </c>
      <c r="D1003" s="24" t="inlineStr">
        <is>
          <t>hanmi</t>
        </is>
      </c>
      <c r="E1003" s="24" t="inlineStr">
        <is>
          <t>042700</t>
        </is>
      </c>
      <c r="F1003" s="24" t="inlineStr">
        <is>
          <t>2025</t>
        </is>
      </c>
      <c r="G1003" s="24" t="inlineStr">
        <is>
          <t>CFS</t>
        </is>
      </c>
      <c r="H1003" s="24" t="inlineStr">
        <is>
          <t>CF</t>
        </is>
      </c>
      <c r="I1003" s="24" t="inlineStr">
        <is>
          <t>현금흐름표</t>
        </is>
      </c>
      <c r="J1003" s="24" t="inlineStr">
        <is>
          <t>ifrs-full_AdjustmentsForIncomeTaxExpense</t>
        </is>
      </c>
      <c r="K1003" s="24" t="inlineStr">
        <is>
          <t>법인세비용 조정</t>
        </is>
      </c>
      <c r="L1003" s="24" t="inlineStr">
        <is>
          <t>-</t>
        </is>
      </c>
      <c r="M1003" s="24" t="inlineStr">
        <is>
          <t>제 46 기</t>
        </is>
      </c>
      <c r="N1003" s="24" t="inlineStr">
        <is>
          <t>64375520296.0</t>
        </is>
      </c>
      <c r="O1003" s="24" t="inlineStr">
        <is>
          <t>45759900620.0</t>
        </is>
      </c>
      <c r="P1003" s="24" t="inlineStr">
        <is>
          <t>KRW</t>
        </is>
      </c>
      <c r="Q1003" s="24" t="inlineStr">
        <is>
          <t>69</t>
        </is>
      </c>
    </row>
    <row r="1004" ht="24" customHeight="1">
      <c r="A1004" s="29" t="inlineStr">
        <is>
          <t>OpenDART_fnlttSinglAcntAll</t>
        </is>
      </c>
      <c r="B1004" s="29" t="inlineStr">
        <is>
          <t>00161383</t>
        </is>
      </c>
      <c r="C1004" s="29" t="inlineStr">
        <is>
          <t>한미반도체</t>
        </is>
      </c>
      <c r="D1004" s="29" t="inlineStr">
        <is>
          <t>hanmi</t>
        </is>
      </c>
      <c r="E1004" s="29" t="inlineStr">
        <is>
          <t>042700</t>
        </is>
      </c>
      <c r="F1004" s="29" t="inlineStr">
        <is>
          <t>2025</t>
        </is>
      </c>
      <c r="G1004" s="29" t="inlineStr">
        <is>
          <t>CFS</t>
        </is>
      </c>
      <c r="H1004" s="29" t="inlineStr">
        <is>
          <t>CF</t>
        </is>
      </c>
      <c r="I1004" s="29" t="inlineStr">
        <is>
          <t>현금흐름표</t>
        </is>
      </c>
      <c r="J1004" s="29" t="inlineStr">
        <is>
          <t>ifrs-full_AdjustmentsForInterestIncome</t>
        </is>
      </c>
      <c r="K1004" s="29" t="inlineStr">
        <is>
          <t>이자수익에 대한 조정</t>
        </is>
      </c>
      <c r="L1004" s="29" t="inlineStr">
        <is>
          <t>-</t>
        </is>
      </c>
      <c r="M1004" s="29" t="inlineStr">
        <is>
          <t>제 46 기</t>
        </is>
      </c>
      <c r="N1004" s="29" t="inlineStr">
        <is>
          <t>4002485603.0</t>
        </is>
      </c>
      <c r="O1004" s="29" t="inlineStr">
        <is>
          <t>5557288433.0</t>
        </is>
      </c>
      <c r="P1004" s="29" t="inlineStr">
        <is>
          <t>KRW</t>
        </is>
      </c>
      <c r="Q1004" s="29" t="inlineStr">
        <is>
          <t>70</t>
        </is>
      </c>
    </row>
    <row r="1005" ht="24" customHeight="1">
      <c r="A1005" s="24" t="inlineStr">
        <is>
          <t>OpenDART_fnlttSinglAcntAll</t>
        </is>
      </c>
      <c r="B1005" s="24" t="inlineStr">
        <is>
          <t>00161383</t>
        </is>
      </c>
      <c r="C1005" s="24" t="inlineStr">
        <is>
          <t>한미반도체</t>
        </is>
      </c>
      <c r="D1005" s="24" t="inlineStr">
        <is>
          <t>hanmi</t>
        </is>
      </c>
      <c r="E1005" s="24" t="inlineStr">
        <is>
          <t>042700</t>
        </is>
      </c>
      <c r="F1005" s="24" t="inlineStr">
        <is>
          <t>2025</t>
        </is>
      </c>
      <c r="G1005" s="24" t="inlineStr">
        <is>
          <t>CFS</t>
        </is>
      </c>
      <c r="H1005" s="24" t="inlineStr">
        <is>
          <t>CF</t>
        </is>
      </c>
      <c r="I1005" s="24" t="inlineStr">
        <is>
          <t>현금흐름표</t>
        </is>
      </c>
      <c r="J1005" s="24" t="inlineStr">
        <is>
          <t>ifrs-full_DividendsReceivedClassifiedAsOperatingActivities</t>
        </is>
      </c>
      <c r="K1005" s="24" t="inlineStr">
        <is>
          <t>배당금수취(영업)</t>
        </is>
      </c>
      <c r="L1005" s="24" t="inlineStr">
        <is>
          <t>-</t>
        </is>
      </c>
      <c r="M1005" s="24" t="inlineStr">
        <is>
          <t>제 46 기</t>
        </is>
      </c>
      <c r="N1005" s="24" t="inlineStr">
        <is>
          <t>2278977000.0</t>
        </is>
      </c>
      <c r="O1005" s="24" t="inlineStr">
        <is>
          <t>853192200.0</t>
        </is>
      </c>
      <c r="P1005" s="24" t="inlineStr">
        <is>
          <t>KRW</t>
        </is>
      </c>
      <c r="Q1005" s="24" t="inlineStr">
        <is>
          <t>71</t>
        </is>
      </c>
    </row>
    <row r="1006" ht="24" customHeight="1">
      <c r="A1006" s="29" t="inlineStr">
        <is>
          <t>OpenDART_fnlttSinglAcntAll</t>
        </is>
      </c>
      <c r="B1006" s="29" t="inlineStr">
        <is>
          <t>00161383</t>
        </is>
      </c>
      <c r="C1006" s="29" t="inlineStr">
        <is>
          <t>한미반도체</t>
        </is>
      </c>
      <c r="D1006" s="29" t="inlineStr">
        <is>
          <t>hanmi</t>
        </is>
      </c>
      <c r="E1006" s="29" t="inlineStr">
        <is>
          <t>042700</t>
        </is>
      </c>
      <c r="F1006" s="29" t="inlineStr">
        <is>
          <t>2025</t>
        </is>
      </c>
      <c r="G1006" s="29" t="inlineStr">
        <is>
          <t>CFS</t>
        </is>
      </c>
      <c r="H1006" s="29" t="inlineStr">
        <is>
          <t>CF</t>
        </is>
      </c>
      <c r="I1006" s="29" t="inlineStr">
        <is>
          <t>현금흐름표</t>
        </is>
      </c>
      <c r="J1006" s="29" t="inlineStr">
        <is>
          <t>ifrs-full_IncomeTaxesPaidRefundClassifiedAsOperatingActivities</t>
        </is>
      </c>
      <c r="K1006" s="29" t="inlineStr">
        <is>
          <t>법인세납부(영업)</t>
        </is>
      </c>
      <c r="L1006" s="29" t="inlineStr">
        <is>
          <t>-</t>
        </is>
      </c>
      <c r="M1006" s="29" t="inlineStr">
        <is>
          <t>제 46 기</t>
        </is>
      </c>
      <c r="N1006" s="29" t="inlineStr">
        <is>
          <t>107594323039.0</t>
        </is>
      </c>
      <c r="O1006" s="29" t="inlineStr">
        <is>
          <t>35007038059.0</t>
        </is>
      </c>
      <c r="P1006" s="29" t="inlineStr">
        <is>
          <t>KRW</t>
        </is>
      </c>
      <c r="Q1006" s="29" t="inlineStr">
        <is>
          <t>72</t>
        </is>
      </c>
    </row>
    <row r="1007" ht="24" customHeight="1">
      <c r="A1007" s="24" t="inlineStr">
        <is>
          <t>OpenDART_fnlttSinglAcntAll</t>
        </is>
      </c>
      <c r="B1007" s="24" t="inlineStr">
        <is>
          <t>00161383</t>
        </is>
      </c>
      <c r="C1007" s="24" t="inlineStr">
        <is>
          <t>한미반도체</t>
        </is>
      </c>
      <c r="D1007" s="24" t="inlineStr">
        <is>
          <t>hanmi</t>
        </is>
      </c>
      <c r="E1007" s="24" t="inlineStr">
        <is>
          <t>042700</t>
        </is>
      </c>
      <c r="F1007" s="24" t="inlineStr">
        <is>
          <t>2025</t>
        </is>
      </c>
      <c r="G1007" s="24" t="inlineStr">
        <is>
          <t>CFS</t>
        </is>
      </c>
      <c r="H1007" s="24" t="inlineStr">
        <is>
          <t>CF</t>
        </is>
      </c>
      <c r="I1007" s="24" t="inlineStr">
        <is>
          <t>현금흐름표</t>
        </is>
      </c>
      <c r="J1007" s="24" t="inlineStr">
        <is>
          <t>ifrs-full_InterestPaidClassifiedAsOperatingActivities</t>
        </is>
      </c>
      <c r="K1007" s="24" t="inlineStr">
        <is>
          <t>이자지급(영업)</t>
        </is>
      </c>
      <c r="L1007" s="24" t="inlineStr">
        <is>
          <t>-</t>
        </is>
      </c>
      <c r="M1007" s="24" t="inlineStr">
        <is>
          <t>제 46 기</t>
        </is>
      </c>
      <c r="N1007" s="24" t="inlineStr">
        <is>
          <t>401102447.0</t>
        </is>
      </c>
      <c r="O1007" s="24" t="inlineStr">
        <is>
          <t>100191649.0</t>
        </is>
      </c>
      <c r="P1007" s="24" t="inlineStr">
        <is>
          <t>KRW</t>
        </is>
      </c>
      <c r="Q1007" s="24" t="inlineStr">
        <is>
          <t>73</t>
        </is>
      </c>
    </row>
    <row r="1008" ht="24" customHeight="1">
      <c r="A1008" s="29" t="inlineStr">
        <is>
          <t>OpenDART_fnlttSinglAcntAll</t>
        </is>
      </c>
      <c r="B1008" s="29" t="inlineStr">
        <is>
          <t>00161383</t>
        </is>
      </c>
      <c r="C1008" s="29" t="inlineStr">
        <is>
          <t>한미반도체</t>
        </is>
      </c>
      <c r="D1008" s="29" t="inlineStr">
        <is>
          <t>hanmi</t>
        </is>
      </c>
      <c r="E1008" s="29" t="inlineStr">
        <is>
          <t>042700</t>
        </is>
      </c>
      <c r="F1008" s="29" t="inlineStr">
        <is>
          <t>2025</t>
        </is>
      </c>
      <c r="G1008" s="29" t="inlineStr">
        <is>
          <t>CFS</t>
        </is>
      </c>
      <c r="H1008" s="29" t="inlineStr">
        <is>
          <t>CF</t>
        </is>
      </c>
      <c r="I1008" s="29" t="inlineStr">
        <is>
          <t>현금흐름표</t>
        </is>
      </c>
      <c r="J1008" s="29" t="inlineStr">
        <is>
          <t>ifrs-full_InterestReceivedClassifiedAsOperatingActivities</t>
        </is>
      </c>
      <c r="K1008" s="29" t="inlineStr">
        <is>
          <t>이자수취(영업)</t>
        </is>
      </c>
      <c r="L1008" s="29" t="inlineStr">
        <is>
          <t>-</t>
        </is>
      </c>
      <c r="M1008" s="29" t="inlineStr">
        <is>
          <t>제 46 기</t>
        </is>
      </c>
      <c r="N1008" s="29" t="inlineStr">
        <is>
          <t>3985648475.0</t>
        </is>
      </c>
      <c r="O1008" s="29" t="inlineStr">
        <is>
          <t>5909084632.0</t>
        </is>
      </c>
      <c r="P1008" s="29" t="inlineStr">
        <is>
          <t>KRW</t>
        </is>
      </c>
      <c r="Q1008" s="29" t="inlineStr">
        <is>
          <t>74</t>
        </is>
      </c>
    </row>
    <row r="1009" ht="24" customHeight="1">
      <c r="A1009" s="24" t="inlineStr">
        <is>
          <t>OpenDART_fnlttSinglAcntAll</t>
        </is>
      </c>
      <c r="B1009" s="24" t="inlineStr">
        <is>
          <t>00161383</t>
        </is>
      </c>
      <c r="C1009" s="24" t="inlineStr">
        <is>
          <t>한미반도체</t>
        </is>
      </c>
      <c r="D1009" s="24" t="inlineStr">
        <is>
          <t>hanmi</t>
        </is>
      </c>
      <c r="E1009" s="24" t="inlineStr">
        <is>
          <t>042700</t>
        </is>
      </c>
      <c r="F1009" s="24" t="inlineStr">
        <is>
          <t>2025</t>
        </is>
      </c>
      <c r="G1009" s="24" t="inlineStr">
        <is>
          <t>CFS</t>
        </is>
      </c>
      <c r="H1009" s="24" t="inlineStr">
        <is>
          <t>CF</t>
        </is>
      </c>
      <c r="I1009" s="24" t="inlineStr">
        <is>
          <t>현금흐름표</t>
        </is>
      </c>
      <c r="J1009" s="24" t="inlineStr">
        <is>
          <t>ifrs-full_ProfitLoss</t>
        </is>
      </c>
      <c r="K1009" s="24" t="inlineStr">
        <is>
          <t>당기순이익(손실)</t>
        </is>
      </c>
      <c r="L1009" s="24" t="inlineStr">
        <is>
          <t>-</t>
        </is>
      </c>
      <c r="M1009" s="24" t="inlineStr">
        <is>
          <t>제 46 기</t>
        </is>
      </c>
      <c r="N1009" s="24" t="inlineStr">
        <is>
          <t>214007548411.0</t>
        </is>
      </c>
      <c r="O1009" s="24" t="inlineStr">
        <is>
          <t>152614498001.0</t>
        </is>
      </c>
      <c r="P1009" s="24" t="inlineStr">
        <is>
          <t>KRW</t>
        </is>
      </c>
      <c r="Q1009" s="24" t="inlineStr">
        <is>
          <t>75</t>
        </is>
      </c>
    </row>
    <row r="1010" ht="24" customHeight="1">
      <c r="A1010" s="29" t="inlineStr">
        <is>
          <t>OpenDART_fnlttSinglAcntAll</t>
        </is>
      </c>
      <c r="B1010" s="29" t="inlineStr">
        <is>
          <t>00161383</t>
        </is>
      </c>
      <c r="C1010" s="29" t="inlineStr">
        <is>
          <t>한미반도체</t>
        </is>
      </c>
      <c r="D1010" s="29" t="inlineStr">
        <is>
          <t>hanmi</t>
        </is>
      </c>
      <c r="E1010" s="29" t="inlineStr">
        <is>
          <t>042700</t>
        </is>
      </c>
      <c r="F1010" s="29" t="inlineStr">
        <is>
          <t>2025</t>
        </is>
      </c>
      <c r="G1010" s="29" t="inlineStr">
        <is>
          <t>CFS</t>
        </is>
      </c>
      <c r="H1010" s="29" t="inlineStr">
        <is>
          <t>CF</t>
        </is>
      </c>
      <c r="I1010" s="29" t="inlineStr">
        <is>
          <t>현금흐름표</t>
        </is>
      </c>
      <c r="J1010" s="29" t="inlineStr">
        <is>
          <t>ifrs-full_EffectOfExchangeRateChangesOnCashAndCashEquivalents</t>
        </is>
      </c>
      <c r="K1010" s="29" t="inlineStr">
        <is>
          <t>현금및현금성자산에 대한 환율변동효과</t>
        </is>
      </c>
      <c r="L1010" s="29" t="inlineStr">
        <is>
          <t>-</t>
        </is>
      </c>
      <c r="M1010" s="29" t="inlineStr">
        <is>
          <t>제 46 기</t>
        </is>
      </c>
      <c r="N1010" s="29" t="inlineStr">
        <is>
          <t>2557351654.0</t>
        </is>
      </c>
      <c r="O1010" s="29" t="inlineStr">
        <is>
          <t>5170617282.0</t>
        </is>
      </c>
      <c r="P1010" s="29" t="inlineStr">
        <is>
          <t>KRW</t>
        </is>
      </c>
      <c r="Q1010" s="29" t="inlineStr">
        <is>
          <t>76</t>
        </is>
      </c>
    </row>
    <row r="1011" ht="24" customHeight="1">
      <c r="A1011" s="24" t="inlineStr">
        <is>
          <t>OpenDART_fnlttSinglAcntAll</t>
        </is>
      </c>
      <c r="B1011" s="24" t="inlineStr">
        <is>
          <t>00161383</t>
        </is>
      </c>
      <c r="C1011" s="24" t="inlineStr">
        <is>
          <t>한미반도체</t>
        </is>
      </c>
      <c r="D1011" s="24" t="inlineStr">
        <is>
          <t>hanmi</t>
        </is>
      </c>
      <c r="E1011" s="24" t="inlineStr">
        <is>
          <t>042700</t>
        </is>
      </c>
      <c r="F1011" s="24" t="inlineStr">
        <is>
          <t>2025</t>
        </is>
      </c>
      <c r="G1011" s="24" t="inlineStr">
        <is>
          <t>CFS</t>
        </is>
      </c>
      <c r="H1011" s="24" t="inlineStr">
        <is>
          <t>CF</t>
        </is>
      </c>
      <c r="I1011" s="24" t="inlineStr">
        <is>
          <t>현금흐름표</t>
        </is>
      </c>
      <c r="J1011" s="24" t="inlineStr">
        <is>
          <t>ifrs-full_IncreaseDecreaseInCashAndCashEquivalentsBeforeEffectOfExchangeRateChanges</t>
        </is>
      </c>
      <c r="K1011" s="24" t="inlineStr">
        <is>
          <t>환율변동효과 반영전 현금및현금성자산의 순증가(감소)</t>
        </is>
      </c>
      <c r="L1011" s="24" t="inlineStr">
        <is>
          <t>-</t>
        </is>
      </c>
      <c r="M1011" s="24" t="inlineStr">
        <is>
          <t>제 46 기</t>
        </is>
      </c>
      <c r="N1011" s="24" t="inlineStr">
        <is>
          <t>169712022309.0</t>
        </is>
      </c>
      <c r="O1011" s="24" t="inlineStr">
        <is>
          <t>-80937035175.0</t>
        </is>
      </c>
      <c r="P1011" s="24" t="inlineStr">
        <is>
          <t>KRW</t>
        </is>
      </c>
      <c r="Q1011" s="24" t="inlineStr">
        <is>
          <t>77</t>
        </is>
      </c>
    </row>
    <row r="1012" ht="24" customHeight="1">
      <c r="A1012" s="29" t="inlineStr">
        <is>
          <t>OpenDART_fnlttSinglAcntAll</t>
        </is>
      </c>
      <c r="B1012" s="29" t="inlineStr">
        <is>
          <t>00161383</t>
        </is>
      </c>
      <c r="C1012" s="29" t="inlineStr">
        <is>
          <t>한미반도체</t>
        </is>
      </c>
      <c r="D1012" s="29" t="inlineStr">
        <is>
          <t>hanmi</t>
        </is>
      </c>
      <c r="E1012" s="29" t="inlineStr">
        <is>
          <t>042700</t>
        </is>
      </c>
      <c r="F1012" s="29" t="inlineStr">
        <is>
          <t>2025</t>
        </is>
      </c>
      <c r="G1012" s="29" t="inlineStr">
        <is>
          <t>CFS</t>
        </is>
      </c>
      <c r="H1012" s="29" t="inlineStr">
        <is>
          <t>SCE</t>
        </is>
      </c>
      <c r="I1012" s="29" t="inlineStr">
        <is>
          <t>자본변동표</t>
        </is>
      </c>
      <c r="J1012" s="29" t="inlineStr">
        <is>
          <t>dart_EquityAtBeginningOfPeriod</t>
        </is>
      </c>
      <c r="K1012" s="29" t="inlineStr">
        <is>
          <t>기초자본</t>
        </is>
      </c>
      <c r="L1012" s="29" t="inlineStr">
        <is>
          <t>자본 [구성요소]|지배기업의 소유주에게 귀속되는 지분 [구성요소]|자본금 [구성요소]</t>
        </is>
      </c>
      <c r="M1012" s="29" t="inlineStr">
        <is>
          <t>제 46 기</t>
        </is>
      </c>
      <c r="N1012" s="29" t="inlineStr">
        <is>
          <t>12716420500.0</t>
        </is>
      </c>
      <c r="O1012" s="29" t="inlineStr">
        <is>
          <t>12716420500.0</t>
        </is>
      </c>
      <c r="P1012" s="29" t="inlineStr">
        <is>
          <t>KRW</t>
        </is>
      </c>
      <c r="Q1012" s="29" t="inlineStr">
        <is>
          <t>3</t>
        </is>
      </c>
    </row>
    <row r="1013" ht="24" customHeight="1">
      <c r="A1013" s="24" t="inlineStr">
        <is>
          <t>OpenDART_fnlttSinglAcntAll</t>
        </is>
      </c>
      <c r="B1013" s="24" t="inlineStr">
        <is>
          <t>00161383</t>
        </is>
      </c>
      <c r="C1013" s="24" t="inlineStr">
        <is>
          <t>한미반도체</t>
        </is>
      </c>
      <c r="D1013" s="24" t="inlineStr">
        <is>
          <t>hanmi</t>
        </is>
      </c>
      <c r="E1013" s="24" t="inlineStr">
        <is>
          <t>042700</t>
        </is>
      </c>
      <c r="F1013" s="24" t="inlineStr">
        <is>
          <t>2025</t>
        </is>
      </c>
      <c r="G1013" s="24" t="inlineStr">
        <is>
          <t>CFS</t>
        </is>
      </c>
      <c r="H1013" s="24" t="inlineStr">
        <is>
          <t>SCE</t>
        </is>
      </c>
      <c r="I1013" s="24" t="inlineStr">
        <is>
          <t>자본변동표</t>
        </is>
      </c>
      <c r="J1013" s="24" t="inlineStr">
        <is>
          <t>dart_EquityAtBeginningOfPeriod</t>
        </is>
      </c>
      <c r="K1013" s="24" t="inlineStr">
        <is>
          <t>기초자본</t>
        </is>
      </c>
      <c r="L1013" s="24" t="inlineStr">
        <is>
          <t>자본 [구성요소]|지배기업의 소유주에게 귀속되는 지분 [구성요소]|이익잉여금 [구성요소]</t>
        </is>
      </c>
      <c r="M1013" s="24" t="inlineStr">
        <is>
          <t>제 46 기</t>
        </is>
      </c>
      <c r="N1013" s="24" t="inlineStr">
        <is>
          <t>610049963397.0</t>
        </is>
      </c>
      <c r="O1013" s="24" t="inlineStr">
        <is>
          <t>532248974169.0</t>
        </is>
      </c>
      <c r="P1013" s="24" t="inlineStr">
        <is>
          <t>KRW</t>
        </is>
      </c>
      <c r="Q1013" s="24" t="inlineStr">
        <is>
          <t>3</t>
        </is>
      </c>
    </row>
    <row r="1014" ht="24" customHeight="1">
      <c r="A1014" s="29" t="inlineStr">
        <is>
          <t>OpenDART_fnlttSinglAcntAll</t>
        </is>
      </c>
      <c r="B1014" s="29" t="inlineStr">
        <is>
          <t>00161383</t>
        </is>
      </c>
      <c r="C1014" s="29" t="inlineStr">
        <is>
          <t>한미반도체</t>
        </is>
      </c>
      <c r="D1014" s="29" t="inlineStr">
        <is>
          <t>hanmi</t>
        </is>
      </c>
      <c r="E1014" s="29" t="inlineStr">
        <is>
          <t>042700</t>
        </is>
      </c>
      <c r="F1014" s="29" t="inlineStr">
        <is>
          <t>2025</t>
        </is>
      </c>
      <c r="G1014" s="29" t="inlineStr">
        <is>
          <t>CFS</t>
        </is>
      </c>
      <c r="H1014" s="29" t="inlineStr">
        <is>
          <t>SCE</t>
        </is>
      </c>
      <c r="I1014" s="29" t="inlineStr">
        <is>
          <t>자본변동표</t>
        </is>
      </c>
      <c r="J1014" s="29" t="inlineStr">
        <is>
          <t>dart_EquityAtBeginningOfPeriod</t>
        </is>
      </c>
      <c r="K1014" s="29" t="inlineStr">
        <is>
          <t>기초자본</t>
        </is>
      </c>
      <c r="L1014" s="29" t="inlineStr">
        <is>
          <t>자본 [구성요소]|지배기업의 소유주에게 귀속되는 지분 [구성요소]|기타포괄손익누계액 [구성요소]</t>
        </is>
      </c>
      <c r="M1014" s="29" t="inlineStr">
        <is>
          <t>제 46 기</t>
        </is>
      </c>
      <c r="N1014" s="29" t="inlineStr">
        <is>
          <t>334222965.0</t>
        </is>
      </c>
      <c r="O1014" s="29" t="inlineStr">
        <is>
          <t>93591495.0</t>
        </is>
      </c>
      <c r="P1014" s="29" t="inlineStr">
        <is>
          <t>KRW</t>
        </is>
      </c>
      <c r="Q1014" s="29" t="inlineStr">
        <is>
          <t>3</t>
        </is>
      </c>
    </row>
    <row r="1015" ht="24" customHeight="1">
      <c r="A1015" s="24" t="inlineStr">
        <is>
          <t>OpenDART_fnlttSinglAcntAll</t>
        </is>
      </c>
      <c r="B1015" s="24" t="inlineStr">
        <is>
          <t>00161383</t>
        </is>
      </c>
      <c r="C1015" s="24" t="inlineStr">
        <is>
          <t>한미반도체</t>
        </is>
      </c>
      <c r="D1015" s="24" t="inlineStr">
        <is>
          <t>hanmi</t>
        </is>
      </c>
      <c r="E1015" s="24" t="inlineStr">
        <is>
          <t>042700</t>
        </is>
      </c>
      <c r="F1015" s="24" t="inlineStr">
        <is>
          <t>2025</t>
        </is>
      </c>
      <c r="G1015" s="24" t="inlineStr">
        <is>
          <t>CFS</t>
        </is>
      </c>
      <c r="H1015" s="24" t="inlineStr">
        <is>
          <t>SCE</t>
        </is>
      </c>
      <c r="I1015" s="24" t="inlineStr">
        <is>
          <t>자본변동표</t>
        </is>
      </c>
      <c r="J1015" s="24" t="inlineStr">
        <is>
          <t>dart_EquityAtBeginningOfPeriod</t>
        </is>
      </c>
      <c r="K1015" s="24" t="inlineStr">
        <is>
          <t>기초자본</t>
        </is>
      </c>
      <c r="L1015" s="24" t="inlineStr">
        <is>
          <t>연결재무제표 [member]</t>
        </is>
      </c>
      <c r="M1015" s="24" t="inlineStr">
        <is>
          <t>제 46 기</t>
        </is>
      </c>
      <c r="N1015" s="24" t="inlineStr">
        <is>
          <t>540887863389.0</t>
        </is>
      </c>
      <c r="O1015" s="24" t="inlineStr">
        <is>
          <t>571898625127.0</t>
        </is>
      </c>
      <c r="P1015" s="24" t="inlineStr">
        <is>
          <t>KRW</t>
        </is>
      </c>
      <c r="Q1015" s="24" t="inlineStr">
        <is>
          <t>3</t>
        </is>
      </c>
    </row>
    <row r="1016" ht="24" customHeight="1">
      <c r="A1016" s="29" t="inlineStr">
        <is>
          <t>OpenDART_fnlttSinglAcntAll</t>
        </is>
      </c>
      <c r="B1016" s="29" t="inlineStr">
        <is>
          <t>00161383</t>
        </is>
      </c>
      <c r="C1016" s="29" t="inlineStr">
        <is>
          <t>한미반도체</t>
        </is>
      </c>
      <c r="D1016" s="29" t="inlineStr">
        <is>
          <t>hanmi</t>
        </is>
      </c>
      <c r="E1016" s="29" t="inlineStr">
        <is>
          <t>042700</t>
        </is>
      </c>
      <c r="F1016" s="29" t="inlineStr">
        <is>
          <t>2025</t>
        </is>
      </c>
      <c r="G1016" s="29" t="inlineStr">
        <is>
          <t>CFS</t>
        </is>
      </c>
      <c r="H1016" s="29" t="inlineStr">
        <is>
          <t>SCE</t>
        </is>
      </c>
      <c r="I1016" s="29" t="inlineStr">
        <is>
          <t>자본변동표</t>
        </is>
      </c>
      <c r="J1016" s="29" t="inlineStr">
        <is>
          <t>dart_EquityAtBeginningOfPeriod</t>
        </is>
      </c>
      <c r="K1016" s="29" t="inlineStr">
        <is>
          <t>기초자본</t>
        </is>
      </c>
      <c r="L1016" s="29" t="inlineStr">
        <is>
          <t>자본 [구성요소]|지배기업의 소유주에게 귀속되는 지분 [구성요소]</t>
        </is>
      </c>
      <c r="M1016" s="29" t="inlineStr">
        <is>
          <t>제 46 기</t>
        </is>
      </c>
      <c r="N1016" s="29" t="inlineStr">
        <is>
          <t>540887863389.0</t>
        </is>
      </c>
      <c r="O1016" s="29" t="inlineStr">
        <is>
          <t>571898625127.0</t>
        </is>
      </c>
      <c r="P1016" s="29" t="inlineStr">
        <is>
          <t>KRW</t>
        </is>
      </c>
      <c r="Q1016" s="29" t="inlineStr">
        <is>
          <t>3</t>
        </is>
      </c>
    </row>
    <row r="1017" ht="24" customHeight="1">
      <c r="A1017" s="24" t="inlineStr">
        <is>
          <t>OpenDART_fnlttSinglAcntAll</t>
        </is>
      </c>
      <c r="B1017" s="24" t="inlineStr">
        <is>
          <t>00161383</t>
        </is>
      </c>
      <c r="C1017" s="24" t="inlineStr">
        <is>
          <t>한미반도체</t>
        </is>
      </c>
      <c r="D1017" s="24" t="inlineStr">
        <is>
          <t>hanmi</t>
        </is>
      </c>
      <c r="E1017" s="24" t="inlineStr">
        <is>
          <t>042700</t>
        </is>
      </c>
      <c r="F1017" s="24" t="inlineStr">
        <is>
          <t>2025</t>
        </is>
      </c>
      <c r="G1017" s="24" t="inlineStr">
        <is>
          <t>CFS</t>
        </is>
      </c>
      <c r="H1017" s="24" t="inlineStr">
        <is>
          <t>SCE</t>
        </is>
      </c>
      <c r="I1017" s="24" t="inlineStr">
        <is>
          <t>자본변동표</t>
        </is>
      </c>
      <c r="J1017" s="24" t="inlineStr">
        <is>
          <t>dart_EquityAtBeginningOfPeriod</t>
        </is>
      </c>
      <c r="K1017" s="24" t="inlineStr">
        <is>
          <t>기초자본</t>
        </is>
      </c>
      <c r="L1017" s="24" t="inlineStr">
        <is>
          <t>자본 [구성요소]|지배기업의 소유주에게 귀속되는 지분 [구성요소]|기타자본구성요소 [구성요소]</t>
        </is>
      </c>
      <c r="M1017" s="24" t="inlineStr">
        <is>
          <t>제 46 기</t>
        </is>
      </c>
      <c r="N1017" s="24" t="inlineStr">
        <is>
          <t>-138594816411.0</t>
        </is>
      </c>
      <c r="O1017" s="24" t="inlineStr">
        <is>
          <t>-29542433975.0</t>
        </is>
      </c>
      <c r="P1017" s="24" t="inlineStr">
        <is>
          <t>KRW</t>
        </is>
      </c>
      <c r="Q1017" s="24" t="inlineStr">
        <is>
          <t>3</t>
        </is>
      </c>
    </row>
    <row r="1018" ht="24" customHeight="1">
      <c r="A1018" s="29" t="inlineStr">
        <is>
          <t>OpenDART_fnlttSinglAcntAll</t>
        </is>
      </c>
      <c r="B1018" s="29" t="inlineStr">
        <is>
          <t>00161383</t>
        </is>
      </c>
      <c r="C1018" s="29" t="inlineStr">
        <is>
          <t>한미반도체</t>
        </is>
      </c>
      <c r="D1018" s="29" t="inlineStr">
        <is>
          <t>hanmi</t>
        </is>
      </c>
      <c r="E1018" s="29" t="inlineStr">
        <is>
          <t>042700</t>
        </is>
      </c>
      <c r="F1018" s="29" t="inlineStr">
        <is>
          <t>2025</t>
        </is>
      </c>
      <c r="G1018" s="29" t="inlineStr">
        <is>
          <t>CFS</t>
        </is>
      </c>
      <c r="H1018" s="29" t="inlineStr">
        <is>
          <t>SCE</t>
        </is>
      </c>
      <c r="I1018" s="29" t="inlineStr">
        <is>
          <t>자본변동표</t>
        </is>
      </c>
      <c r="J1018" s="29" t="inlineStr">
        <is>
          <t>dart_EquityAtBeginningOfPeriod</t>
        </is>
      </c>
      <c r="K1018" s="29" t="inlineStr">
        <is>
          <t>기초자본</t>
        </is>
      </c>
      <c r="L1018" s="29" t="inlineStr">
        <is>
          <t>자본 [구성요소]|지배기업의 소유주에게 귀속되는 지분 [구성요소]|자본잉여금 [구성요소]</t>
        </is>
      </c>
      <c r="M1018" s="29" t="inlineStr">
        <is>
          <t>제 46 기</t>
        </is>
      </c>
      <c r="N1018" s="29" t="inlineStr">
        <is>
          <t>56382072938.0</t>
        </is>
      </c>
      <c r="O1018" s="29" t="inlineStr">
        <is>
          <t>56382072938.0</t>
        </is>
      </c>
      <c r="P1018" s="29" t="inlineStr">
        <is>
          <t>KRW</t>
        </is>
      </c>
      <c r="Q1018" s="29" t="inlineStr">
        <is>
          <t>3</t>
        </is>
      </c>
    </row>
    <row r="1019" ht="24" customHeight="1">
      <c r="A1019" s="24" t="inlineStr">
        <is>
          <t>OpenDART_fnlttSinglAcntAll</t>
        </is>
      </c>
      <c r="B1019" s="24" t="inlineStr">
        <is>
          <t>00161383</t>
        </is>
      </c>
      <c r="C1019" s="24" t="inlineStr">
        <is>
          <t>한미반도체</t>
        </is>
      </c>
      <c r="D1019" s="24" t="inlineStr">
        <is>
          <t>hanmi</t>
        </is>
      </c>
      <c r="E1019" s="24" t="inlineStr">
        <is>
          <t>042700</t>
        </is>
      </c>
      <c r="F1019" s="24" t="inlineStr">
        <is>
          <t>2025</t>
        </is>
      </c>
      <c r="G1019" s="24" t="inlineStr">
        <is>
          <t>CFS</t>
        </is>
      </c>
      <c r="H1019" s="24" t="inlineStr">
        <is>
          <t>SCE</t>
        </is>
      </c>
      <c r="I1019" s="24" t="inlineStr">
        <is>
          <t>자본변동표</t>
        </is>
      </c>
      <c r="J1019" s="24" t="inlineStr">
        <is>
          <t>dart_OtherTransactions</t>
        </is>
      </c>
      <c r="K1019" s="24" t="inlineStr">
        <is>
          <t>기타거래</t>
        </is>
      </c>
      <c r="L1019" s="24" t="inlineStr">
        <is>
          <t>자본 [구성요소]|지배기업의 소유주에게 귀속되는 지분 [구성요소]|자본금 [구성요소]</t>
        </is>
      </c>
      <c r="M1019" s="24" t="inlineStr">
        <is>
          <t>제 46 기</t>
        </is>
      </c>
      <c r="N1019" s="24" t="inlineStr">
        <is>
          <t>0.0</t>
        </is>
      </c>
      <c r="O1019" s="24" t="inlineStr">
        <is>
          <t>0.0</t>
        </is>
      </c>
      <c r="P1019" s="24" t="inlineStr">
        <is>
          <t>KRW</t>
        </is>
      </c>
      <c r="Q1019" s="24" t="inlineStr">
        <is>
          <t>4</t>
        </is>
      </c>
    </row>
    <row r="1020" ht="24" customHeight="1">
      <c r="A1020" s="29" t="inlineStr">
        <is>
          <t>OpenDART_fnlttSinglAcntAll</t>
        </is>
      </c>
      <c r="B1020" s="29" t="inlineStr">
        <is>
          <t>00161383</t>
        </is>
      </c>
      <c r="C1020" s="29" t="inlineStr">
        <is>
          <t>한미반도체</t>
        </is>
      </c>
      <c r="D1020" s="29" t="inlineStr">
        <is>
          <t>hanmi</t>
        </is>
      </c>
      <c r="E1020" s="29" t="inlineStr">
        <is>
          <t>042700</t>
        </is>
      </c>
      <c r="F1020" s="29" t="inlineStr">
        <is>
          <t>2025</t>
        </is>
      </c>
      <c r="G1020" s="29" t="inlineStr">
        <is>
          <t>CFS</t>
        </is>
      </c>
      <c r="H1020" s="29" t="inlineStr">
        <is>
          <t>SCE</t>
        </is>
      </c>
      <c r="I1020" s="29" t="inlineStr">
        <is>
          <t>자본변동표</t>
        </is>
      </c>
      <c r="J1020" s="29" t="inlineStr">
        <is>
          <t>dart_OtherTransactions</t>
        </is>
      </c>
      <c r="K1020" s="29" t="inlineStr">
        <is>
          <t>기타거래</t>
        </is>
      </c>
      <c r="L1020" s="29" t="inlineStr">
        <is>
          <t>자본 [구성요소]|지배기업의 소유주에게 귀속되는 지분 [구성요소]|이익잉여금 [구성요소]</t>
        </is>
      </c>
      <c r="M1020" s="29" t="inlineStr">
        <is>
          <t>제 46 기</t>
        </is>
      </c>
      <c r="N1020" s="29" t="inlineStr">
        <is>
          <t>0.0</t>
        </is>
      </c>
      <c r="O1020" s="29" t="inlineStr">
        <is>
          <t>143472000.0</t>
        </is>
      </c>
      <c r="P1020" s="29" t="inlineStr">
        <is>
          <t>KRW</t>
        </is>
      </c>
      <c r="Q1020" s="29" t="inlineStr">
        <is>
          <t>4</t>
        </is>
      </c>
    </row>
    <row r="1021" ht="24" customHeight="1">
      <c r="A1021" s="24" t="inlineStr">
        <is>
          <t>OpenDART_fnlttSinglAcntAll</t>
        </is>
      </c>
      <c r="B1021" s="24" t="inlineStr">
        <is>
          <t>00161383</t>
        </is>
      </c>
      <c r="C1021" s="24" t="inlineStr">
        <is>
          <t>한미반도체</t>
        </is>
      </c>
      <c r="D1021" s="24" t="inlineStr">
        <is>
          <t>hanmi</t>
        </is>
      </c>
      <c r="E1021" s="24" t="inlineStr">
        <is>
          <t>042700</t>
        </is>
      </c>
      <c r="F1021" s="24" t="inlineStr">
        <is>
          <t>2025</t>
        </is>
      </c>
      <c r="G1021" s="24" t="inlineStr">
        <is>
          <t>CFS</t>
        </is>
      </c>
      <c r="H1021" s="24" t="inlineStr">
        <is>
          <t>SCE</t>
        </is>
      </c>
      <c r="I1021" s="24" t="inlineStr">
        <is>
          <t>자본변동표</t>
        </is>
      </c>
      <c r="J1021" s="24" t="inlineStr">
        <is>
          <t>dart_OtherTransactions</t>
        </is>
      </c>
      <c r="K1021" s="24" t="inlineStr">
        <is>
          <t>기타거래</t>
        </is>
      </c>
      <c r="L1021" s="24" t="inlineStr">
        <is>
          <t>자본 [구성요소]|지배기업의 소유주에게 귀속되는 지분 [구성요소]|기타포괄손익누계액 [구성요소]</t>
        </is>
      </c>
      <c r="M1021" s="24" t="inlineStr">
        <is>
          <t>제 46 기</t>
        </is>
      </c>
      <c r="N1021" s="24" t="inlineStr">
        <is>
          <t>0.0</t>
        </is>
      </c>
      <c r="O1021" s="24" t="inlineStr">
        <is>
          <t>0.0</t>
        </is>
      </c>
      <c r="P1021" s="24" t="inlineStr">
        <is>
          <t>KRW</t>
        </is>
      </c>
      <c r="Q1021" s="24" t="inlineStr">
        <is>
          <t>4</t>
        </is>
      </c>
    </row>
    <row r="1022" ht="24" customHeight="1">
      <c r="A1022" s="29" t="inlineStr">
        <is>
          <t>OpenDART_fnlttSinglAcntAll</t>
        </is>
      </c>
      <c r="B1022" s="29" t="inlineStr">
        <is>
          <t>00161383</t>
        </is>
      </c>
      <c r="C1022" s="29" t="inlineStr">
        <is>
          <t>한미반도체</t>
        </is>
      </c>
      <c r="D1022" s="29" t="inlineStr">
        <is>
          <t>hanmi</t>
        </is>
      </c>
      <c r="E1022" s="29" t="inlineStr">
        <is>
          <t>042700</t>
        </is>
      </c>
      <c r="F1022" s="29" t="inlineStr">
        <is>
          <t>2025</t>
        </is>
      </c>
      <c r="G1022" s="29" t="inlineStr">
        <is>
          <t>CFS</t>
        </is>
      </c>
      <c r="H1022" s="29" t="inlineStr">
        <is>
          <t>SCE</t>
        </is>
      </c>
      <c r="I1022" s="29" t="inlineStr">
        <is>
          <t>자본변동표</t>
        </is>
      </c>
      <c r="J1022" s="29" t="inlineStr">
        <is>
          <t>dart_OtherTransactions</t>
        </is>
      </c>
      <c r="K1022" s="29" t="inlineStr">
        <is>
          <t>기타거래</t>
        </is>
      </c>
      <c r="L1022" s="29" t="inlineStr">
        <is>
          <t>자본 [구성요소]|지배기업의 소유주에게 귀속되는 지분 [구성요소]|기타자본구성요소 [구성요소]</t>
        </is>
      </c>
      <c r="M1022" s="29" t="inlineStr">
        <is>
          <t>제 46 기</t>
        </is>
      </c>
      <c r="N1022" s="29" t="inlineStr">
        <is>
          <t>0.0</t>
        </is>
      </c>
      <c r="O1022" s="29" t="inlineStr">
        <is>
          <t>0.0</t>
        </is>
      </c>
      <c r="P1022" s="29" t="inlineStr">
        <is>
          <t>KRW</t>
        </is>
      </c>
      <c r="Q1022" s="29" t="inlineStr">
        <is>
          <t>4</t>
        </is>
      </c>
    </row>
    <row r="1023" ht="24" customHeight="1">
      <c r="A1023" s="24" t="inlineStr">
        <is>
          <t>OpenDART_fnlttSinglAcntAll</t>
        </is>
      </c>
      <c r="B1023" s="24" t="inlineStr">
        <is>
          <t>00161383</t>
        </is>
      </c>
      <c r="C1023" s="24" t="inlineStr">
        <is>
          <t>한미반도체</t>
        </is>
      </c>
      <c r="D1023" s="24" t="inlineStr">
        <is>
          <t>hanmi</t>
        </is>
      </c>
      <c r="E1023" s="24" t="inlineStr">
        <is>
          <t>042700</t>
        </is>
      </c>
      <c r="F1023" s="24" t="inlineStr">
        <is>
          <t>2025</t>
        </is>
      </c>
      <c r="G1023" s="24" t="inlineStr">
        <is>
          <t>CFS</t>
        </is>
      </c>
      <c r="H1023" s="24" t="inlineStr">
        <is>
          <t>SCE</t>
        </is>
      </c>
      <c r="I1023" s="24" t="inlineStr">
        <is>
          <t>자본변동표</t>
        </is>
      </c>
      <c r="J1023" s="24" t="inlineStr">
        <is>
          <t>dart_OtherTransactions</t>
        </is>
      </c>
      <c r="K1023" s="24" t="inlineStr">
        <is>
          <t>기타거래</t>
        </is>
      </c>
      <c r="L1023" s="24" t="inlineStr">
        <is>
          <t>자본 [구성요소]|지배기업의 소유주에게 귀속되는 지분 [구성요소]</t>
        </is>
      </c>
      <c r="M1023" s="24" t="inlineStr">
        <is>
          <t>제 46 기</t>
        </is>
      </c>
      <c r="N1023" s="24" t="inlineStr">
        <is>
          <t>0.0</t>
        </is>
      </c>
      <c r="O1023" s="24" t="inlineStr">
        <is>
          <t>143472000.0</t>
        </is>
      </c>
      <c r="P1023" s="24" t="inlineStr">
        <is>
          <t>KRW</t>
        </is>
      </c>
      <c r="Q1023" s="24" t="inlineStr">
        <is>
          <t>4</t>
        </is>
      </c>
    </row>
    <row r="1024" ht="24" customHeight="1">
      <c r="A1024" s="29" t="inlineStr">
        <is>
          <t>OpenDART_fnlttSinglAcntAll</t>
        </is>
      </c>
      <c r="B1024" s="29" t="inlineStr">
        <is>
          <t>00161383</t>
        </is>
      </c>
      <c r="C1024" s="29" t="inlineStr">
        <is>
          <t>한미반도체</t>
        </is>
      </c>
      <c r="D1024" s="29" t="inlineStr">
        <is>
          <t>hanmi</t>
        </is>
      </c>
      <c r="E1024" s="29" t="inlineStr">
        <is>
          <t>042700</t>
        </is>
      </c>
      <c r="F1024" s="29" t="inlineStr">
        <is>
          <t>2025</t>
        </is>
      </c>
      <c r="G1024" s="29" t="inlineStr">
        <is>
          <t>CFS</t>
        </is>
      </c>
      <c r="H1024" s="29" t="inlineStr">
        <is>
          <t>SCE</t>
        </is>
      </c>
      <c r="I1024" s="29" t="inlineStr">
        <is>
          <t>자본변동표</t>
        </is>
      </c>
      <c r="J1024" s="29" t="inlineStr">
        <is>
          <t>dart_OtherTransactions</t>
        </is>
      </c>
      <c r="K1024" s="29" t="inlineStr">
        <is>
          <t>기타거래</t>
        </is>
      </c>
      <c r="L1024" s="29" t="inlineStr">
        <is>
          <t>연결재무제표 [member]</t>
        </is>
      </c>
      <c r="M1024" s="29" t="inlineStr">
        <is>
          <t>제 46 기</t>
        </is>
      </c>
      <c r="N1024" s="29" t="inlineStr">
        <is>
          <t>0.0</t>
        </is>
      </c>
      <c r="O1024" s="29" t="inlineStr">
        <is>
          <t>143472000.0</t>
        </is>
      </c>
      <c r="P1024" s="29" t="inlineStr">
        <is>
          <t>KRW</t>
        </is>
      </c>
      <c r="Q1024" s="29" t="inlineStr">
        <is>
          <t>4</t>
        </is>
      </c>
    </row>
    <row r="1025" ht="24" customHeight="1">
      <c r="A1025" s="24" t="inlineStr">
        <is>
          <t>OpenDART_fnlttSinglAcntAll</t>
        </is>
      </c>
      <c r="B1025" s="24" t="inlineStr">
        <is>
          <t>00161383</t>
        </is>
      </c>
      <c r="C1025" s="24" t="inlineStr">
        <is>
          <t>한미반도체</t>
        </is>
      </c>
      <c r="D1025" s="24" t="inlineStr">
        <is>
          <t>hanmi</t>
        </is>
      </c>
      <c r="E1025" s="24" t="inlineStr">
        <is>
          <t>042700</t>
        </is>
      </c>
      <c r="F1025" s="24" t="inlineStr">
        <is>
          <t>2025</t>
        </is>
      </c>
      <c r="G1025" s="24" t="inlineStr">
        <is>
          <t>CFS</t>
        </is>
      </c>
      <c r="H1025" s="24" t="inlineStr">
        <is>
          <t>SCE</t>
        </is>
      </c>
      <c r="I1025" s="24" t="inlineStr">
        <is>
          <t>자본변동표</t>
        </is>
      </c>
      <c r="J1025" s="24" t="inlineStr">
        <is>
          <t>dart_OtherTransactions</t>
        </is>
      </c>
      <c r="K1025" s="24" t="inlineStr">
        <is>
          <t>기타거래</t>
        </is>
      </c>
      <c r="L1025" s="24" t="inlineStr">
        <is>
          <t>자본 [구성요소]|지배기업의 소유주에게 귀속되는 지분 [구성요소]|자본잉여금 [구성요소]</t>
        </is>
      </c>
      <c r="M1025" s="24" t="inlineStr">
        <is>
          <t>제 46 기</t>
        </is>
      </c>
      <c r="N1025" s="24" t="inlineStr">
        <is>
          <t>0.0</t>
        </is>
      </c>
      <c r="O1025" s="24" t="inlineStr">
        <is>
          <t>0.0</t>
        </is>
      </c>
      <c r="P1025" s="24" t="inlineStr">
        <is>
          <t>KRW</t>
        </is>
      </c>
      <c r="Q1025" s="24" t="inlineStr">
        <is>
          <t>4</t>
        </is>
      </c>
    </row>
    <row r="1026" ht="24" customHeight="1">
      <c r="A1026" s="29" t="inlineStr">
        <is>
          <t>OpenDART_fnlttSinglAcntAll</t>
        </is>
      </c>
      <c r="B1026" s="29" t="inlineStr">
        <is>
          <t>00161383</t>
        </is>
      </c>
      <c r="C1026" s="29" t="inlineStr">
        <is>
          <t>한미반도체</t>
        </is>
      </c>
      <c r="D1026" s="29" t="inlineStr">
        <is>
          <t>hanmi</t>
        </is>
      </c>
      <c r="E1026" s="29" t="inlineStr">
        <is>
          <t>042700</t>
        </is>
      </c>
      <c r="F1026" s="29" t="inlineStr">
        <is>
          <t>2025</t>
        </is>
      </c>
      <c r="G1026" s="29" t="inlineStr">
        <is>
          <t>CFS</t>
        </is>
      </c>
      <c r="H1026" s="29" t="inlineStr">
        <is>
          <t>SCE</t>
        </is>
      </c>
      <c r="I1026" s="29" t="inlineStr">
        <is>
          <t>자본변동표</t>
        </is>
      </c>
      <c r="J1026" s="29" t="inlineStr">
        <is>
          <t>-표준계정코드 미사용-</t>
        </is>
      </c>
      <c r="K1026" s="29" t="inlineStr">
        <is>
          <t>기타자본조정</t>
        </is>
      </c>
      <c r="L1026" s="29" t="inlineStr">
        <is>
          <t>연결재무제표 [member]</t>
        </is>
      </c>
      <c r="M1026" s="29" t="inlineStr">
        <is>
          <t>제 46 기</t>
        </is>
      </c>
      <c r="N1026" s="29" t="inlineStr">
        <is>
          <t>54398473.0</t>
        </is>
      </c>
      <c r="O1026" s="29" t="inlineStr">
        <is>
          <t>0.0</t>
        </is>
      </c>
      <c r="P1026" s="29" t="inlineStr">
        <is>
          <t>KRW</t>
        </is>
      </c>
      <c r="Q1026" s="29" t="inlineStr">
        <is>
          <t>5</t>
        </is>
      </c>
    </row>
    <row r="1027" ht="24" customHeight="1">
      <c r="A1027" s="24" t="inlineStr">
        <is>
          <t>OpenDART_fnlttSinglAcntAll</t>
        </is>
      </c>
      <c r="B1027" s="24" t="inlineStr">
        <is>
          <t>00161383</t>
        </is>
      </c>
      <c r="C1027" s="24" t="inlineStr">
        <is>
          <t>한미반도체</t>
        </is>
      </c>
      <c r="D1027" s="24" t="inlineStr">
        <is>
          <t>hanmi</t>
        </is>
      </c>
      <c r="E1027" s="24" t="inlineStr">
        <is>
          <t>042700</t>
        </is>
      </c>
      <c r="F1027" s="24" t="inlineStr">
        <is>
          <t>2025</t>
        </is>
      </c>
      <c r="G1027" s="24" t="inlineStr">
        <is>
          <t>CFS</t>
        </is>
      </c>
      <c r="H1027" s="24" t="inlineStr">
        <is>
          <t>SCE</t>
        </is>
      </c>
      <c r="I1027" s="24" t="inlineStr">
        <is>
          <t>자본변동표</t>
        </is>
      </c>
      <c r="J1027" s="24" t="inlineStr">
        <is>
          <t>-표준계정코드 미사용-</t>
        </is>
      </c>
      <c r="K1027" s="24" t="inlineStr">
        <is>
          <t>기타자본조정</t>
        </is>
      </c>
      <c r="L1027" s="24" t="inlineStr">
        <is>
          <t>자본 [구성요소]|지배기업의 소유주에게 귀속되는 지분 [구성요소]</t>
        </is>
      </c>
      <c r="M1027" s="24" t="inlineStr">
        <is>
          <t>제 46 기</t>
        </is>
      </c>
      <c r="N1027" s="24" t="inlineStr">
        <is>
          <t>54398473.0</t>
        </is>
      </c>
      <c r="O1027" s="24" t="inlineStr">
        <is>
          <t>0.0</t>
        </is>
      </c>
      <c r="P1027" s="24" t="inlineStr">
        <is>
          <t>KRW</t>
        </is>
      </c>
      <c r="Q1027" s="24" t="inlineStr">
        <is>
          <t>5</t>
        </is>
      </c>
    </row>
    <row r="1028" ht="24" customHeight="1">
      <c r="A1028" s="29" t="inlineStr">
        <is>
          <t>OpenDART_fnlttSinglAcntAll</t>
        </is>
      </c>
      <c r="B1028" s="29" t="inlineStr">
        <is>
          <t>00161383</t>
        </is>
      </c>
      <c r="C1028" s="29" t="inlineStr">
        <is>
          <t>한미반도체</t>
        </is>
      </c>
      <c r="D1028" s="29" t="inlineStr">
        <is>
          <t>hanmi</t>
        </is>
      </c>
      <c r="E1028" s="29" t="inlineStr">
        <is>
          <t>042700</t>
        </is>
      </c>
      <c r="F1028" s="29" t="inlineStr">
        <is>
          <t>2025</t>
        </is>
      </c>
      <c r="G1028" s="29" t="inlineStr">
        <is>
          <t>CFS</t>
        </is>
      </c>
      <c r="H1028" s="29" t="inlineStr">
        <is>
          <t>SCE</t>
        </is>
      </c>
      <c r="I1028" s="29" t="inlineStr">
        <is>
          <t>자본변동표</t>
        </is>
      </c>
      <c r="J1028" s="29" t="inlineStr">
        <is>
          <t>-표준계정코드 미사용-</t>
        </is>
      </c>
      <c r="K1028" s="29" t="inlineStr">
        <is>
          <t>기타자본조정</t>
        </is>
      </c>
      <c r="L1028" s="29" t="inlineStr">
        <is>
          <t>자본 [구성요소]|지배기업의 소유주에게 귀속되는 지분 [구성요소]|기타자본구성요소 [구성요소]</t>
        </is>
      </c>
      <c r="M1028" s="29" t="inlineStr">
        <is>
          <t>제 46 기</t>
        </is>
      </c>
      <c r="N1028" s="29" t="inlineStr">
        <is>
          <t>54398473.0</t>
        </is>
      </c>
      <c r="O1028" s="29" t="inlineStr">
        <is>
          <t>0.0</t>
        </is>
      </c>
      <c r="P1028" s="29" t="inlineStr">
        <is>
          <t>KRW</t>
        </is>
      </c>
      <c r="Q1028" s="29" t="inlineStr">
        <is>
          <t>5</t>
        </is>
      </c>
    </row>
    <row r="1029" ht="24" customHeight="1">
      <c r="A1029" s="24" t="inlineStr">
        <is>
          <t>OpenDART_fnlttSinglAcntAll</t>
        </is>
      </c>
      <c r="B1029" s="24" t="inlineStr">
        <is>
          <t>00161383</t>
        </is>
      </c>
      <c r="C1029" s="24" t="inlineStr">
        <is>
          <t>한미반도체</t>
        </is>
      </c>
      <c r="D1029" s="24" t="inlineStr">
        <is>
          <t>hanmi</t>
        </is>
      </c>
      <c r="E1029" s="24" t="inlineStr">
        <is>
          <t>042700</t>
        </is>
      </c>
      <c r="F1029" s="24" t="inlineStr">
        <is>
          <t>2025</t>
        </is>
      </c>
      <c r="G1029" s="24" t="inlineStr">
        <is>
          <t>CFS</t>
        </is>
      </c>
      <c r="H1029" s="24" t="inlineStr">
        <is>
          <t>SCE</t>
        </is>
      </c>
      <c r="I1029" s="24" t="inlineStr">
        <is>
          <t>자본변동표</t>
        </is>
      </c>
      <c r="J1029" s="24" t="inlineStr">
        <is>
          <t>-표준계정코드 미사용-</t>
        </is>
      </c>
      <c r="K1029" s="24" t="inlineStr">
        <is>
          <t>기타자본조정</t>
        </is>
      </c>
      <c r="L1029" s="24" t="inlineStr">
        <is>
          <t>자본 [구성요소]|지배기업의 소유주에게 귀속되는 지분 [구성요소]|기타포괄손익누계액 [구성요소]</t>
        </is>
      </c>
      <c r="M1029" s="24" t="inlineStr">
        <is>
          <t>제 46 기</t>
        </is>
      </c>
      <c r="N1029" s="24" t="inlineStr">
        <is>
          <t>0.0</t>
        </is>
      </c>
      <c r="O1029" s="24" t="inlineStr">
        <is>
          <t>0.0</t>
        </is>
      </c>
      <c r="P1029" s="24" t="inlineStr">
        <is>
          <t>KRW</t>
        </is>
      </c>
      <c r="Q1029" s="24" t="inlineStr">
        <is>
          <t>5</t>
        </is>
      </c>
    </row>
    <row r="1030" ht="24" customHeight="1">
      <c r="A1030" s="29" t="inlineStr">
        <is>
          <t>OpenDART_fnlttSinglAcntAll</t>
        </is>
      </c>
      <c r="B1030" s="29" t="inlineStr">
        <is>
          <t>00161383</t>
        </is>
      </c>
      <c r="C1030" s="29" t="inlineStr">
        <is>
          <t>한미반도체</t>
        </is>
      </c>
      <c r="D1030" s="29" t="inlineStr">
        <is>
          <t>hanmi</t>
        </is>
      </c>
      <c r="E1030" s="29" t="inlineStr">
        <is>
          <t>042700</t>
        </is>
      </c>
      <c r="F1030" s="29" t="inlineStr">
        <is>
          <t>2025</t>
        </is>
      </c>
      <c r="G1030" s="29" t="inlineStr">
        <is>
          <t>CFS</t>
        </is>
      </c>
      <c r="H1030" s="29" t="inlineStr">
        <is>
          <t>SCE</t>
        </is>
      </c>
      <c r="I1030" s="29" t="inlineStr">
        <is>
          <t>자본변동표</t>
        </is>
      </c>
      <c r="J1030" s="29" t="inlineStr">
        <is>
          <t>-표준계정코드 미사용-</t>
        </is>
      </c>
      <c r="K1030" s="29" t="inlineStr">
        <is>
          <t>기타자본조정</t>
        </is>
      </c>
      <c r="L1030" s="29" t="inlineStr">
        <is>
          <t>자본 [구성요소]|지배기업의 소유주에게 귀속되는 지분 [구성요소]|이익잉여금 [구성요소]</t>
        </is>
      </c>
      <c r="M1030" s="29" t="inlineStr">
        <is>
          <t>제 46 기</t>
        </is>
      </c>
      <c r="N1030" s="29" t="inlineStr">
        <is>
          <t>0.0</t>
        </is>
      </c>
      <c r="O1030" s="29" t="inlineStr">
        <is>
          <t>0.0</t>
        </is>
      </c>
      <c r="P1030" s="29" t="inlineStr">
        <is>
          <t>KRW</t>
        </is>
      </c>
      <c r="Q1030" s="29" t="inlineStr">
        <is>
          <t>5</t>
        </is>
      </c>
    </row>
    <row r="1031" ht="24" customHeight="1">
      <c r="A1031" s="24" t="inlineStr">
        <is>
          <t>OpenDART_fnlttSinglAcntAll</t>
        </is>
      </c>
      <c r="B1031" s="24" t="inlineStr">
        <is>
          <t>00161383</t>
        </is>
      </c>
      <c r="C1031" s="24" t="inlineStr">
        <is>
          <t>한미반도체</t>
        </is>
      </c>
      <c r="D1031" s="24" t="inlineStr">
        <is>
          <t>hanmi</t>
        </is>
      </c>
      <c r="E1031" s="24" t="inlineStr">
        <is>
          <t>042700</t>
        </is>
      </c>
      <c r="F1031" s="24" t="inlineStr">
        <is>
          <t>2025</t>
        </is>
      </c>
      <c r="G1031" s="24" t="inlineStr">
        <is>
          <t>CFS</t>
        </is>
      </c>
      <c r="H1031" s="24" t="inlineStr">
        <is>
          <t>SCE</t>
        </is>
      </c>
      <c r="I1031" s="24" t="inlineStr">
        <is>
          <t>자본변동표</t>
        </is>
      </c>
      <c r="J1031" s="24" t="inlineStr">
        <is>
          <t>-표준계정코드 미사용-</t>
        </is>
      </c>
      <c r="K1031" s="24" t="inlineStr">
        <is>
          <t>기타자본조정</t>
        </is>
      </c>
      <c r="L1031" s="24" t="inlineStr">
        <is>
          <t>자본 [구성요소]|지배기업의 소유주에게 귀속되는 지분 [구성요소]|자본금 [구성요소]</t>
        </is>
      </c>
      <c r="M1031" s="24" t="inlineStr">
        <is>
          <t>제 46 기</t>
        </is>
      </c>
      <c r="N1031" s="24" t="inlineStr">
        <is>
          <t>0.0</t>
        </is>
      </c>
      <c r="O1031" s="24" t="inlineStr">
        <is>
          <t>0.0</t>
        </is>
      </c>
      <c r="P1031" s="24" t="inlineStr">
        <is>
          <t>KRW</t>
        </is>
      </c>
      <c r="Q1031" s="24" t="inlineStr">
        <is>
          <t>5</t>
        </is>
      </c>
    </row>
    <row r="1032" ht="24" customHeight="1">
      <c r="A1032" s="29" t="inlineStr">
        <is>
          <t>OpenDART_fnlttSinglAcntAll</t>
        </is>
      </c>
      <c r="B1032" s="29" t="inlineStr">
        <is>
          <t>00161383</t>
        </is>
      </c>
      <c r="C1032" s="29" t="inlineStr">
        <is>
          <t>한미반도체</t>
        </is>
      </c>
      <c r="D1032" s="29" t="inlineStr">
        <is>
          <t>hanmi</t>
        </is>
      </c>
      <c r="E1032" s="29" t="inlineStr">
        <is>
          <t>042700</t>
        </is>
      </c>
      <c r="F1032" s="29" t="inlineStr">
        <is>
          <t>2025</t>
        </is>
      </c>
      <c r="G1032" s="29" t="inlineStr">
        <is>
          <t>CFS</t>
        </is>
      </c>
      <c r="H1032" s="29" t="inlineStr">
        <is>
          <t>SCE</t>
        </is>
      </c>
      <c r="I1032" s="29" t="inlineStr">
        <is>
          <t>자본변동표</t>
        </is>
      </c>
      <c r="J1032" s="29" t="inlineStr">
        <is>
          <t>-표준계정코드 미사용-</t>
        </is>
      </c>
      <c r="K1032" s="29" t="inlineStr">
        <is>
          <t>기타자본조정</t>
        </is>
      </c>
      <c r="L1032" s="29" t="inlineStr">
        <is>
          <t>자본 [구성요소]|지배기업의 소유주에게 귀속되는 지분 [구성요소]|자본잉여금 [구성요소]</t>
        </is>
      </c>
      <c r="M1032" s="29" t="inlineStr">
        <is>
          <t>제 46 기</t>
        </is>
      </c>
      <c r="N1032" s="29" t="inlineStr">
        <is>
          <t>0.0</t>
        </is>
      </c>
      <c r="O1032" s="29" t="inlineStr">
        <is>
          <t>0.0</t>
        </is>
      </c>
      <c r="P1032" s="29" t="inlineStr">
        <is>
          <t>KRW</t>
        </is>
      </c>
      <c r="Q1032" s="29" t="inlineStr">
        <is>
          <t>5</t>
        </is>
      </c>
    </row>
    <row r="1033" ht="24" customHeight="1">
      <c r="A1033" s="24" t="inlineStr">
        <is>
          <t>OpenDART_fnlttSinglAcntAll</t>
        </is>
      </c>
      <c r="B1033" s="24" t="inlineStr">
        <is>
          <t>00161383</t>
        </is>
      </c>
      <c r="C1033" s="24" t="inlineStr">
        <is>
          <t>한미반도체</t>
        </is>
      </c>
      <c r="D1033" s="24" t="inlineStr">
        <is>
          <t>hanmi</t>
        </is>
      </c>
      <c r="E1033" s="24" t="inlineStr">
        <is>
          <t>042700</t>
        </is>
      </c>
      <c r="F1033" s="24" t="inlineStr">
        <is>
          <t>2025</t>
        </is>
      </c>
      <c r="G1033" s="24" t="inlineStr">
        <is>
          <t>CFS</t>
        </is>
      </c>
      <c r="H1033" s="24" t="inlineStr">
        <is>
          <t>SCE</t>
        </is>
      </c>
      <c r="I1033" s="24" t="inlineStr">
        <is>
          <t>자본변동표</t>
        </is>
      </c>
      <c r="J1033" s="24" t="inlineStr">
        <is>
          <t>-표준계정코드 미사용-</t>
        </is>
      </c>
      <c r="K1033" s="24" t="inlineStr">
        <is>
          <t>자본잉여금의 이익잉여금 전입</t>
        </is>
      </c>
      <c r="L1033" s="24" t="inlineStr">
        <is>
          <t>연결재무제표 [member]</t>
        </is>
      </c>
      <c r="M1033" s="24" t="inlineStr">
        <is>
          <t>제 46 기</t>
        </is>
      </c>
      <c r="N1033" s="24" t="inlineStr">
        <is>
          <t>0.0</t>
        </is>
      </c>
      <c r="O1033" s="24" t="inlineStr">
        <is>
          <t>0.0</t>
        </is>
      </c>
      <c r="P1033" s="24" t="inlineStr">
        <is>
          <t>KRW</t>
        </is>
      </c>
      <c r="Q1033" s="24" t="inlineStr">
        <is>
          <t>6</t>
        </is>
      </c>
    </row>
    <row r="1034" ht="24" customHeight="1">
      <c r="A1034" s="29" t="inlineStr">
        <is>
          <t>OpenDART_fnlttSinglAcntAll</t>
        </is>
      </c>
      <c r="B1034" s="29" t="inlineStr">
        <is>
          <t>00161383</t>
        </is>
      </c>
      <c r="C1034" s="29" t="inlineStr">
        <is>
          <t>한미반도체</t>
        </is>
      </c>
      <c r="D1034" s="29" t="inlineStr">
        <is>
          <t>hanmi</t>
        </is>
      </c>
      <c r="E1034" s="29" t="inlineStr">
        <is>
          <t>042700</t>
        </is>
      </c>
      <c r="F1034" s="29" t="inlineStr">
        <is>
          <t>2025</t>
        </is>
      </c>
      <c r="G1034" s="29" t="inlineStr">
        <is>
          <t>CFS</t>
        </is>
      </c>
      <c r="H1034" s="29" t="inlineStr">
        <is>
          <t>SCE</t>
        </is>
      </c>
      <c r="I1034" s="29" t="inlineStr">
        <is>
          <t>자본변동표</t>
        </is>
      </c>
      <c r="J1034" s="29" t="inlineStr">
        <is>
          <t>-표준계정코드 미사용-</t>
        </is>
      </c>
      <c r="K1034" s="29" t="inlineStr">
        <is>
          <t>자본잉여금의 이익잉여금 전입</t>
        </is>
      </c>
      <c r="L1034" s="29" t="inlineStr">
        <is>
          <t>자본 [구성요소]|지배기업의 소유주에게 귀속되는 지분 [구성요소]</t>
        </is>
      </c>
      <c r="M1034" s="29" t="inlineStr">
        <is>
          <t>제 46 기</t>
        </is>
      </c>
      <c r="N1034" s="29" t="inlineStr">
        <is>
          <t>0.0</t>
        </is>
      </c>
      <c r="O1034" s="29" t="inlineStr">
        <is>
          <t>0.0</t>
        </is>
      </c>
      <c r="P1034" s="29" t="inlineStr">
        <is>
          <t>KRW</t>
        </is>
      </c>
      <c r="Q1034" s="29" t="inlineStr">
        <is>
          <t>6</t>
        </is>
      </c>
    </row>
    <row r="1035" ht="24" customHeight="1">
      <c r="A1035" s="24" t="inlineStr">
        <is>
          <t>OpenDART_fnlttSinglAcntAll</t>
        </is>
      </c>
      <c r="B1035" s="24" t="inlineStr">
        <is>
          <t>00161383</t>
        </is>
      </c>
      <c r="C1035" s="24" t="inlineStr">
        <is>
          <t>한미반도체</t>
        </is>
      </c>
      <c r="D1035" s="24" t="inlineStr">
        <is>
          <t>hanmi</t>
        </is>
      </c>
      <c r="E1035" s="24" t="inlineStr">
        <is>
          <t>042700</t>
        </is>
      </c>
      <c r="F1035" s="24" t="inlineStr">
        <is>
          <t>2025</t>
        </is>
      </c>
      <c r="G1035" s="24" t="inlineStr">
        <is>
          <t>CFS</t>
        </is>
      </c>
      <c r="H1035" s="24" t="inlineStr">
        <is>
          <t>SCE</t>
        </is>
      </c>
      <c r="I1035" s="24" t="inlineStr">
        <is>
          <t>자본변동표</t>
        </is>
      </c>
      <c r="J1035" s="24" t="inlineStr">
        <is>
          <t>-표준계정코드 미사용-</t>
        </is>
      </c>
      <c r="K1035" s="24" t="inlineStr">
        <is>
          <t>자본잉여금의 이익잉여금 전입</t>
        </is>
      </c>
      <c r="L1035" s="24" t="inlineStr">
        <is>
          <t>자본 [구성요소]|지배기업의 소유주에게 귀속되는 지분 [구성요소]|기타자본구성요소 [구성요소]</t>
        </is>
      </c>
      <c r="M1035" s="24" t="inlineStr">
        <is>
          <t>제 46 기</t>
        </is>
      </c>
      <c r="N1035" s="24" t="inlineStr">
        <is>
          <t>0.0</t>
        </is>
      </c>
      <c r="O1035" s="24" t="inlineStr">
        <is>
          <t>0.0</t>
        </is>
      </c>
      <c r="P1035" s="24" t="inlineStr">
        <is>
          <t>KRW</t>
        </is>
      </c>
      <c r="Q1035" s="24" t="inlineStr">
        <is>
          <t>6</t>
        </is>
      </c>
    </row>
    <row r="1036" ht="24" customHeight="1">
      <c r="A1036" s="29" t="inlineStr">
        <is>
          <t>OpenDART_fnlttSinglAcntAll</t>
        </is>
      </c>
      <c r="B1036" s="29" t="inlineStr">
        <is>
          <t>00161383</t>
        </is>
      </c>
      <c r="C1036" s="29" t="inlineStr">
        <is>
          <t>한미반도체</t>
        </is>
      </c>
      <c r="D1036" s="29" t="inlineStr">
        <is>
          <t>hanmi</t>
        </is>
      </c>
      <c r="E1036" s="29" t="inlineStr">
        <is>
          <t>042700</t>
        </is>
      </c>
      <c r="F1036" s="29" t="inlineStr">
        <is>
          <t>2025</t>
        </is>
      </c>
      <c r="G1036" s="29" t="inlineStr">
        <is>
          <t>CFS</t>
        </is>
      </c>
      <c r="H1036" s="29" t="inlineStr">
        <is>
          <t>SCE</t>
        </is>
      </c>
      <c r="I1036" s="29" t="inlineStr">
        <is>
          <t>자본변동표</t>
        </is>
      </c>
      <c r="J1036" s="29" t="inlineStr">
        <is>
          <t>-표준계정코드 미사용-</t>
        </is>
      </c>
      <c r="K1036" s="29" t="inlineStr">
        <is>
          <t>자본잉여금의 이익잉여금 전입</t>
        </is>
      </c>
      <c r="L1036" s="29" t="inlineStr">
        <is>
          <t>자본 [구성요소]|지배기업의 소유주에게 귀속되는 지분 [구성요소]|기타포괄손익누계액 [구성요소]</t>
        </is>
      </c>
      <c r="M1036" s="29" t="inlineStr">
        <is>
          <t>제 46 기</t>
        </is>
      </c>
      <c r="N1036" s="29" t="inlineStr">
        <is>
          <t>0.0</t>
        </is>
      </c>
      <c r="O1036" s="29" t="inlineStr">
        <is>
          <t>0.0</t>
        </is>
      </c>
      <c r="P1036" s="29" t="inlineStr">
        <is>
          <t>KRW</t>
        </is>
      </c>
      <c r="Q1036" s="29" t="inlineStr">
        <is>
          <t>6</t>
        </is>
      </c>
    </row>
    <row r="1037" ht="24" customHeight="1">
      <c r="A1037" s="24" t="inlineStr">
        <is>
          <t>OpenDART_fnlttSinglAcntAll</t>
        </is>
      </c>
      <c r="B1037" s="24" t="inlineStr">
        <is>
          <t>00161383</t>
        </is>
      </c>
      <c r="C1037" s="24" t="inlineStr">
        <is>
          <t>한미반도체</t>
        </is>
      </c>
      <c r="D1037" s="24" t="inlineStr">
        <is>
          <t>hanmi</t>
        </is>
      </c>
      <c r="E1037" s="24" t="inlineStr">
        <is>
          <t>042700</t>
        </is>
      </c>
      <c r="F1037" s="24" t="inlineStr">
        <is>
          <t>2025</t>
        </is>
      </c>
      <c r="G1037" s="24" t="inlineStr">
        <is>
          <t>CFS</t>
        </is>
      </c>
      <c r="H1037" s="24" t="inlineStr">
        <is>
          <t>SCE</t>
        </is>
      </c>
      <c r="I1037" s="24" t="inlineStr">
        <is>
          <t>자본변동표</t>
        </is>
      </c>
      <c r="J1037" s="24" t="inlineStr">
        <is>
          <t>-표준계정코드 미사용-</t>
        </is>
      </c>
      <c r="K1037" s="24" t="inlineStr">
        <is>
          <t>자본잉여금의 이익잉여금 전입</t>
        </is>
      </c>
      <c r="L1037" s="24" t="inlineStr">
        <is>
          <t>자본 [구성요소]|지배기업의 소유주에게 귀속되는 지분 [구성요소]|이익잉여금 [구성요소]</t>
        </is>
      </c>
      <c r="M1037" s="24" t="inlineStr">
        <is>
          <t>제 46 기</t>
        </is>
      </c>
      <c r="N1037" s="24" t="inlineStr">
        <is>
          <t>14926329869.0</t>
        </is>
      </c>
      <c r="O1037" s="24" t="inlineStr">
        <is>
          <t>0.0</t>
        </is>
      </c>
      <c r="P1037" s="24" t="inlineStr">
        <is>
          <t>KRW</t>
        </is>
      </c>
      <c r="Q1037" s="24" t="inlineStr">
        <is>
          <t>6</t>
        </is>
      </c>
    </row>
    <row r="1038" ht="24" customHeight="1">
      <c r="A1038" s="29" t="inlineStr">
        <is>
          <t>OpenDART_fnlttSinglAcntAll</t>
        </is>
      </c>
      <c r="B1038" s="29" t="inlineStr">
        <is>
          <t>00161383</t>
        </is>
      </c>
      <c r="C1038" s="29" t="inlineStr">
        <is>
          <t>한미반도체</t>
        </is>
      </c>
      <c r="D1038" s="29" t="inlineStr">
        <is>
          <t>hanmi</t>
        </is>
      </c>
      <c r="E1038" s="29" t="inlineStr">
        <is>
          <t>042700</t>
        </is>
      </c>
      <c r="F1038" s="29" t="inlineStr">
        <is>
          <t>2025</t>
        </is>
      </c>
      <c r="G1038" s="29" t="inlineStr">
        <is>
          <t>CFS</t>
        </is>
      </c>
      <c r="H1038" s="29" t="inlineStr">
        <is>
          <t>SCE</t>
        </is>
      </c>
      <c r="I1038" s="29" t="inlineStr">
        <is>
          <t>자본변동표</t>
        </is>
      </c>
      <c r="J1038" s="29" t="inlineStr">
        <is>
          <t>-표준계정코드 미사용-</t>
        </is>
      </c>
      <c r="K1038" s="29" t="inlineStr">
        <is>
          <t>자본잉여금의 이익잉여금 전입</t>
        </is>
      </c>
      <c r="L1038" s="29" t="inlineStr">
        <is>
          <t>자본 [구성요소]|지배기업의 소유주에게 귀속되는 지분 [구성요소]|자본금 [구성요소]</t>
        </is>
      </c>
      <c r="M1038" s="29" t="inlineStr">
        <is>
          <t>제 46 기</t>
        </is>
      </c>
      <c r="N1038" s="29" t="inlineStr">
        <is>
          <t>0.0</t>
        </is>
      </c>
      <c r="O1038" s="29" t="inlineStr">
        <is>
          <t>0.0</t>
        </is>
      </c>
      <c r="P1038" s="29" t="inlineStr">
        <is>
          <t>KRW</t>
        </is>
      </c>
      <c r="Q1038" s="29" t="inlineStr">
        <is>
          <t>6</t>
        </is>
      </c>
    </row>
    <row r="1039" ht="24" customHeight="1">
      <c r="A1039" s="24" t="inlineStr">
        <is>
          <t>OpenDART_fnlttSinglAcntAll</t>
        </is>
      </c>
      <c r="B1039" s="24" t="inlineStr">
        <is>
          <t>00161383</t>
        </is>
      </c>
      <c r="C1039" s="24" t="inlineStr">
        <is>
          <t>한미반도체</t>
        </is>
      </c>
      <c r="D1039" s="24" t="inlineStr">
        <is>
          <t>hanmi</t>
        </is>
      </c>
      <c r="E1039" s="24" t="inlineStr">
        <is>
          <t>042700</t>
        </is>
      </c>
      <c r="F1039" s="24" t="inlineStr">
        <is>
          <t>2025</t>
        </is>
      </c>
      <c r="G1039" s="24" t="inlineStr">
        <is>
          <t>CFS</t>
        </is>
      </c>
      <c r="H1039" s="24" t="inlineStr">
        <is>
          <t>SCE</t>
        </is>
      </c>
      <c r="I1039" s="24" t="inlineStr">
        <is>
          <t>자본변동표</t>
        </is>
      </c>
      <c r="J1039" s="24" t="inlineStr">
        <is>
          <t>-표준계정코드 미사용-</t>
        </is>
      </c>
      <c r="K1039" s="24" t="inlineStr">
        <is>
          <t>자본잉여금의 이익잉여금 전입</t>
        </is>
      </c>
      <c r="L1039" s="24" t="inlineStr">
        <is>
          <t>자본 [구성요소]|지배기업의 소유주에게 귀속되는 지분 [구성요소]|자본잉여금 [구성요소]</t>
        </is>
      </c>
      <c r="M1039" s="24" t="inlineStr">
        <is>
          <t>제 46 기</t>
        </is>
      </c>
      <c r="N1039" s="24" t="inlineStr">
        <is>
          <t>-14926329869.0</t>
        </is>
      </c>
      <c r="O1039" s="24" t="inlineStr">
        <is>
          <t>0.0</t>
        </is>
      </c>
      <c r="P1039" s="24" t="inlineStr">
        <is>
          <t>KRW</t>
        </is>
      </c>
      <c r="Q1039" s="24" t="inlineStr">
        <is>
          <t>6</t>
        </is>
      </c>
    </row>
    <row r="1040" ht="24" customHeight="1">
      <c r="A1040" s="29" t="inlineStr">
        <is>
          <t>OpenDART_fnlttSinglAcntAll</t>
        </is>
      </c>
      <c r="B1040" s="29" t="inlineStr">
        <is>
          <t>00161383</t>
        </is>
      </c>
      <c r="C1040" s="29" t="inlineStr">
        <is>
          <t>한미반도체</t>
        </is>
      </c>
      <c r="D1040" s="29" t="inlineStr">
        <is>
          <t>hanmi</t>
        </is>
      </c>
      <c r="E1040" s="29" t="inlineStr">
        <is>
          <t>042700</t>
        </is>
      </c>
      <c r="F1040" s="29" t="inlineStr">
        <is>
          <t>2025</t>
        </is>
      </c>
      <c r="G1040" s="29" t="inlineStr">
        <is>
          <t>CFS</t>
        </is>
      </c>
      <c r="H1040" s="29" t="inlineStr">
        <is>
          <t>SCE</t>
        </is>
      </c>
      <c r="I1040" s="29" t="inlineStr">
        <is>
          <t>자본변동표</t>
        </is>
      </c>
      <c r="J1040" s="29" t="inlineStr">
        <is>
          <t>ifrs-full_CancellationOfTreasuryShares</t>
        </is>
      </c>
      <c r="K1040" s="29" t="inlineStr">
        <is>
          <t>자기주식 소각</t>
        </is>
      </c>
      <c r="L1040" s="29" t="inlineStr">
        <is>
          <t>자본 [구성요소]|지배기업의 소유주에게 귀속되는 지분 [구성요소]|기타자본구성요소 [구성요소]</t>
        </is>
      </c>
      <c r="M1040" s="29" t="inlineStr">
        <is>
          <t>제 46 기</t>
        </is>
      </c>
      <c r="N1040" s="29" t="inlineStr">
        <is>
          <t>130280292620.0</t>
        </is>
      </c>
      <c r="O1040" s="29" t="inlineStr">
        <is>
          <t>72602192488.0</t>
        </is>
      </c>
      <c r="P1040" s="29" t="inlineStr">
        <is>
          <t>KRW</t>
        </is>
      </c>
      <c r="Q1040" s="29" t="inlineStr">
        <is>
          <t>7</t>
        </is>
      </c>
    </row>
    <row r="1041" ht="24" customHeight="1">
      <c r="A1041" s="24" t="inlineStr">
        <is>
          <t>OpenDART_fnlttSinglAcntAll</t>
        </is>
      </c>
      <c r="B1041" s="24" t="inlineStr">
        <is>
          <t>00161383</t>
        </is>
      </c>
      <c r="C1041" s="24" t="inlineStr">
        <is>
          <t>한미반도체</t>
        </is>
      </c>
      <c r="D1041" s="24" t="inlineStr">
        <is>
          <t>hanmi</t>
        </is>
      </c>
      <c r="E1041" s="24" t="inlineStr">
        <is>
          <t>042700</t>
        </is>
      </c>
      <c r="F1041" s="24" t="inlineStr">
        <is>
          <t>2025</t>
        </is>
      </c>
      <c r="G1041" s="24" t="inlineStr">
        <is>
          <t>CFS</t>
        </is>
      </c>
      <c r="H1041" s="24" t="inlineStr">
        <is>
          <t>SCE</t>
        </is>
      </c>
      <c r="I1041" s="24" t="inlineStr">
        <is>
          <t>자본변동표</t>
        </is>
      </c>
      <c r="J1041" s="24" t="inlineStr">
        <is>
          <t>ifrs-full_CancellationOfTreasuryShares</t>
        </is>
      </c>
      <c r="K1041" s="24" t="inlineStr">
        <is>
          <t>자기주식 소각</t>
        </is>
      </c>
      <c r="L1041" s="24" t="inlineStr">
        <is>
          <t>자본 [구성요소]|지배기업의 소유주에게 귀속되는 지분 [구성요소]</t>
        </is>
      </c>
      <c r="M1041" s="24" t="inlineStr">
        <is>
          <t>제 46 기</t>
        </is>
      </c>
      <c r="N1041" s="24" t="inlineStr">
        <is>
          <t>0.0</t>
        </is>
      </c>
      <c r="O1041" s="24" t="inlineStr">
        <is>
          <t>0.0</t>
        </is>
      </c>
      <c r="P1041" s="24" t="inlineStr">
        <is>
          <t>KRW</t>
        </is>
      </c>
      <c r="Q1041" s="24" t="inlineStr">
        <is>
          <t>7</t>
        </is>
      </c>
    </row>
    <row r="1042" ht="24" customHeight="1">
      <c r="A1042" s="29" t="inlineStr">
        <is>
          <t>OpenDART_fnlttSinglAcntAll</t>
        </is>
      </c>
      <c r="B1042" s="29" t="inlineStr">
        <is>
          <t>00161383</t>
        </is>
      </c>
      <c r="C1042" s="29" t="inlineStr">
        <is>
          <t>한미반도체</t>
        </is>
      </c>
      <c r="D1042" s="29" t="inlineStr">
        <is>
          <t>hanmi</t>
        </is>
      </c>
      <c r="E1042" s="29" t="inlineStr">
        <is>
          <t>042700</t>
        </is>
      </c>
      <c r="F1042" s="29" t="inlineStr">
        <is>
          <t>2025</t>
        </is>
      </c>
      <c r="G1042" s="29" t="inlineStr">
        <is>
          <t>CFS</t>
        </is>
      </c>
      <c r="H1042" s="29" t="inlineStr">
        <is>
          <t>SCE</t>
        </is>
      </c>
      <c r="I1042" s="29" t="inlineStr">
        <is>
          <t>자본변동표</t>
        </is>
      </c>
      <c r="J1042" s="29" t="inlineStr">
        <is>
          <t>ifrs-full_CancellationOfTreasuryShares</t>
        </is>
      </c>
      <c r="K1042" s="29" t="inlineStr">
        <is>
          <t>자기주식 소각</t>
        </is>
      </c>
      <c r="L1042" s="29" t="inlineStr">
        <is>
          <t>연결재무제표 [member]</t>
        </is>
      </c>
      <c r="M1042" s="29" t="inlineStr">
        <is>
          <t>제 46 기</t>
        </is>
      </c>
      <c r="N1042" s="29" t="inlineStr">
        <is>
          <t>0.0</t>
        </is>
      </c>
      <c r="O1042" s="29" t="inlineStr">
        <is>
          <t>0.0</t>
        </is>
      </c>
      <c r="P1042" s="29" t="inlineStr">
        <is>
          <t>KRW</t>
        </is>
      </c>
      <c r="Q1042" s="29" t="inlineStr">
        <is>
          <t>7</t>
        </is>
      </c>
    </row>
    <row r="1043" ht="24" customHeight="1">
      <c r="A1043" s="24" t="inlineStr">
        <is>
          <t>OpenDART_fnlttSinglAcntAll</t>
        </is>
      </c>
      <c r="B1043" s="24" t="inlineStr">
        <is>
          <t>00161383</t>
        </is>
      </c>
      <c r="C1043" s="24" t="inlineStr">
        <is>
          <t>한미반도체</t>
        </is>
      </c>
      <c r="D1043" s="24" t="inlineStr">
        <is>
          <t>hanmi</t>
        </is>
      </c>
      <c r="E1043" s="24" t="inlineStr">
        <is>
          <t>042700</t>
        </is>
      </c>
      <c r="F1043" s="24" t="inlineStr">
        <is>
          <t>2025</t>
        </is>
      </c>
      <c r="G1043" s="24" t="inlineStr">
        <is>
          <t>CFS</t>
        </is>
      </c>
      <c r="H1043" s="24" t="inlineStr">
        <is>
          <t>SCE</t>
        </is>
      </c>
      <c r="I1043" s="24" t="inlineStr">
        <is>
          <t>자본변동표</t>
        </is>
      </c>
      <c r="J1043" s="24" t="inlineStr">
        <is>
          <t>ifrs-full_CancellationOfTreasuryShares</t>
        </is>
      </c>
      <c r="K1043" s="24" t="inlineStr">
        <is>
          <t>자기주식 소각</t>
        </is>
      </c>
      <c r="L1043" s="24" t="inlineStr">
        <is>
          <t>자본 [구성요소]|지배기업의 소유주에게 귀속되는 지분 [구성요소]|기타포괄손익누계액 [구성요소]</t>
        </is>
      </c>
      <c r="M1043" s="24" t="inlineStr">
        <is>
          <t>제 46 기</t>
        </is>
      </c>
      <c r="N1043" s="24" t="inlineStr">
        <is>
          <t>0.0</t>
        </is>
      </c>
      <c r="O1043" s="24" t="inlineStr">
        <is>
          <t>0.0</t>
        </is>
      </c>
      <c r="P1043" s="24" t="inlineStr">
        <is>
          <t>KRW</t>
        </is>
      </c>
      <c r="Q1043" s="24" t="inlineStr">
        <is>
          <t>7</t>
        </is>
      </c>
    </row>
    <row r="1044" ht="24" customHeight="1">
      <c r="A1044" s="29" t="inlineStr">
        <is>
          <t>OpenDART_fnlttSinglAcntAll</t>
        </is>
      </c>
      <c r="B1044" s="29" t="inlineStr">
        <is>
          <t>00161383</t>
        </is>
      </c>
      <c r="C1044" s="29" t="inlineStr">
        <is>
          <t>한미반도체</t>
        </is>
      </c>
      <c r="D1044" s="29" t="inlineStr">
        <is>
          <t>hanmi</t>
        </is>
      </c>
      <c r="E1044" s="29" t="inlineStr">
        <is>
          <t>042700</t>
        </is>
      </c>
      <c r="F1044" s="29" t="inlineStr">
        <is>
          <t>2025</t>
        </is>
      </c>
      <c r="G1044" s="29" t="inlineStr">
        <is>
          <t>CFS</t>
        </is>
      </c>
      <c r="H1044" s="29" t="inlineStr">
        <is>
          <t>SCE</t>
        </is>
      </c>
      <c r="I1044" s="29" t="inlineStr">
        <is>
          <t>자본변동표</t>
        </is>
      </c>
      <c r="J1044" s="29" t="inlineStr">
        <is>
          <t>ifrs-full_CancellationOfTreasuryShares</t>
        </is>
      </c>
      <c r="K1044" s="29" t="inlineStr">
        <is>
          <t>자기주식 소각</t>
        </is>
      </c>
      <c r="L1044" s="29" t="inlineStr">
        <is>
          <t>자본 [구성요소]|지배기업의 소유주에게 귀속되는 지분 [구성요소]|자본잉여금 [구성요소]</t>
        </is>
      </c>
      <c r="M1044" s="29" t="inlineStr">
        <is>
          <t>제 46 기</t>
        </is>
      </c>
      <c r="N1044" s="29" t="inlineStr">
        <is>
          <t>0.0</t>
        </is>
      </c>
      <c r="O1044" s="29" t="inlineStr">
        <is>
          <t>0.0</t>
        </is>
      </c>
      <c r="P1044" s="29" t="inlineStr">
        <is>
          <t>KRW</t>
        </is>
      </c>
      <c r="Q1044" s="29" t="inlineStr">
        <is>
          <t>7</t>
        </is>
      </c>
    </row>
    <row r="1045" ht="24" customHeight="1">
      <c r="A1045" s="24" t="inlineStr">
        <is>
          <t>OpenDART_fnlttSinglAcntAll</t>
        </is>
      </c>
      <c r="B1045" s="24" t="inlineStr">
        <is>
          <t>00161383</t>
        </is>
      </c>
      <c r="C1045" s="24" t="inlineStr">
        <is>
          <t>한미반도체</t>
        </is>
      </c>
      <c r="D1045" s="24" t="inlineStr">
        <is>
          <t>hanmi</t>
        </is>
      </c>
      <c r="E1045" s="24" t="inlineStr">
        <is>
          <t>042700</t>
        </is>
      </c>
      <c r="F1045" s="24" t="inlineStr">
        <is>
          <t>2025</t>
        </is>
      </c>
      <c r="G1045" s="24" t="inlineStr">
        <is>
          <t>CFS</t>
        </is>
      </c>
      <c r="H1045" s="24" t="inlineStr">
        <is>
          <t>SCE</t>
        </is>
      </c>
      <c r="I1045" s="24" t="inlineStr">
        <is>
          <t>자본변동표</t>
        </is>
      </c>
      <c r="J1045" s="24" t="inlineStr">
        <is>
          <t>ifrs-full_CancellationOfTreasuryShares</t>
        </is>
      </c>
      <c r="K1045" s="24" t="inlineStr">
        <is>
          <t>자기주식 소각</t>
        </is>
      </c>
      <c r="L1045" s="24" t="inlineStr">
        <is>
          <t>자본 [구성요소]|지배기업의 소유주에게 귀속되는 지분 [구성요소]|자본금 [구성요소]</t>
        </is>
      </c>
      <c r="M1045" s="24" t="inlineStr">
        <is>
          <t>제 46 기</t>
        </is>
      </c>
      <c r="N1045" s="24" t="inlineStr">
        <is>
          <t>0.0</t>
        </is>
      </c>
      <c r="O1045" s="24" t="inlineStr">
        <is>
          <t>0.0</t>
        </is>
      </c>
      <c r="P1045" s="24" t="inlineStr">
        <is>
          <t>KRW</t>
        </is>
      </c>
      <c r="Q1045" s="24" t="inlineStr">
        <is>
          <t>7</t>
        </is>
      </c>
    </row>
    <row r="1046" ht="24" customHeight="1">
      <c r="A1046" s="29" t="inlineStr">
        <is>
          <t>OpenDART_fnlttSinglAcntAll</t>
        </is>
      </c>
      <c r="B1046" s="29" t="inlineStr">
        <is>
          <t>00161383</t>
        </is>
      </c>
      <c r="C1046" s="29" t="inlineStr">
        <is>
          <t>한미반도체</t>
        </is>
      </c>
      <c r="D1046" s="29" t="inlineStr">
        <is>
          <t>hanmi</t>
        </is>
      </c>
      <c r="E1046" s="29" t="inlineStr">
        <is>
          <t>042700</t>
        </is>
      </c>
      <c r="F1046" s="29" t="inlineStr">
        <is>
          <t>2025</t>
        </is>
      </c>
      <c r="G1046" s="29" t="inlineStr">
        <is>
          <t>CFS</t>
        </is>
      </c>
      <c r="H1046" s="29" t="inlineStr">
        <is>
          <t>SCE</t>
        </is>
      </c>
      <c r="I1046" s="29" t="inlineStr">
        <is>
          <t>자본변동표</t>
        </is>
      </c>
      <c r="J1046" s="29" t="inlineStr">
        <is>
          <t>ifrs-full_CancellationOfTreasuryShares</t>
        </is>
      </c>
      <c r="K1046" s="29" t="inlineStr">
        <is>
          <t>자기주식 소각</t>
        </is>
      </c>
      <c r="L1046" s="29" t="inlineStr">
        <is>
          <t>자본 [구성요소]|지배기업의 소유주에게 귀속되는 지분 [구성요소]|이익잉여금 [구성요소]</t>
        </is>
      </c>
      <c r="M1046" s="29" t="inlineStr">
        <is>
          <t>제 46 기</t>
        </is>
      </c>
      <c r="N1046" s="29" t="inlineStr">
        <is>
          <t>-130280292620.0</t>
        </is>
      </c>
      <c r="O1046" s="29" t="inlineStr">
        <is>
          <t>-72602192488.0</t>
        </is>
      </c>
      <c r="P1046" s="29" t="inlineStr">
        <is>
          <t>KRW</t>
        </is>
      </c>
      <c r="Q1046" s="29" t="inlineStr">
        <is>
          <t>7</t>
        </is>
      </c>
    </row>
    <row r="1047" ht="24" customHeight="1">
      <c r="A1047" s="24" t="inlineStr">
        <is>
          <t>OpenDART_fnlttSinglAcntAll</t>
        </is>
      </c>
      <c r="B1047" s="24" t="inlineStr">
        <is>
          <t>00161383</t>
        </is>
      </c>
      <c r="C1047" s="24" t="inlineStr">
        <is>
          <t>한미반도체</t>
        </is>
      </c>
      <c r="D1047" s="24" t="inlineStr">
        <is>
          <t>hanmi</t>
        </is>
      </c>
      <c r="E1047" s="24" t="inlineStr">
        <is>
          <t>042700</t>
        </is>
      </c>
      <c r="F1047" s="24" t="inlineStr">
        <is>
          <t>2025</t>
        </is>
      </c>
      <c r="G1047" s="24" t="inlineStr">
        <is>
          <t>CFS</t>
        </is>
      </c>
      <c r="H1047" s="24" t="inlineStr">
        <is>
          <t>SCE</t>
        </is>
      </c>
      <c r="I1047" s="24" t="inlineStr">
        <is>
          <t>자본변동표</t>
        </is>
      </c>
      <c r="J1047" s="24" t="inlineStr">
        <is>
          <t>ifrs-full_ChangesInEquity</t>
        </is>
      </c>
      <c r="K1047" s="24" t="inlineStr">
        <is>
          <t>자본 증가(감소) 합계</t>
        </is>
      </c>
      <c r="L1047" s="24" t="inlineStr">
        <is>
          <t>자본 [구성요소]|지배기업의 소유주에게 귀속되는 지분 [구성요소]|자본금 [구성요소]</t>
        </is>
      </c>
      <c r="M1047" s="24" t="inlineStr">
        <is>
          <t>제 46 기</t>
        </is>
      </c>
      <c r="N1047" s="24" t="inlineStr">
        <is>
          <t>0.0</t>
        </is>
      </c>
      <c r="O1047" s="24" t="inlineStr">
        <is>
          <t>0.0</t>
        </is>
      </c>
      <c r="P1047" s="24" t="inlineStr">
        <is>
          <t>KRW</t>
        </is>
      </c>
      <c r="Q1047" s="24" t="inlineStr">
        <is>
          <t>8</t>
        </is>
      </c>
    </row>
    <row r="1048" ht="24" customHeight="1">
      <c r="A1048" s="29" t="inlineStr">
        <is>
          <t>OpenDART_fnlttSinglAcntAll</t>
        </is>
      </c>
      <c r="B1048" s="29" t="inlineStr">
        <is>
          <t>00161383</t>
        </is>
      </c>
      <c r="C1048" s="29" t="inlineStr">
        <is>
          <t>한미반도체</t>
        </is>
      </c>
      <c r="D1048" s="29" t="inlineStr">
        <is>
          <t>hanmi</t>
        </is>
      </c>
      <c r="E1048" s="29" t="inlineStr">
        <is>
          <t>042700</t>
        </is>
      </c>
      <c r="F1048" s="29" t="inlineStr">
        <is>
          <t>2025</t>
        </is>
      </c>
      <c r="G1048" s="29" t="inlineStr">
        <is>
          <t>CFS</t>
        </is>
      </c>
      <c r="H1048" s="29" t="inlineStr">
        <is>
          <t>SCE</t>
        </is>
      </c>
      <c r="I1048" s="29" t="inlineStr">
        <is>
          <t>자본변동표</t>
        </is>
      </c>
      <c r="J1048" s="29" t="inlineStr">
        <is>
          <t>ifrs-full_ChangesInEquity</t>
        </is>
      </c>
      <c r="K1048" s="29" t="inlineStr">
        <is>
          <t>자본 증가(감소) 합계</t>
        </is>
      </c>
      <c r="L1048" s="29" t="inlineStr">
        <is>
          <t>자본 [구성요소]|지배기업의 소유주에게 귀속되는 지분 [구성요소]|이익잉여금 [구성요소]</t>
        </is>
      </c>
      <c r="M1048" s="29" t="inlineStr">
        <is>
          <t>제 46 기</t>
        </is>
      </c>
      <c r="N1048" s="29" t="inlineStr">
        <is>
          <t>29203525104.0</t>
        </is>
      </c>
      <c r="O1048" s="29" t="inlineStr">
        <is>
          <t>77800989228.0</t>
        </is>
      </c>
      <c r="P1048" s="29" t="inlineStr">
        <is>
          <t>KRW</t>
        </is>
      </c>
      <c r="Q1048" s="29" t="inlineStr">
        <is>
          <t>8</t>
        </is>
      </c>
    </row>
    <row r="1049" ht="24" customHeight="1">
      <c r="A1049" s="24" t="inlineStr">
        <is>
          <t>OpenDART_fnlttSinglAcntAll</t>
        </is>
      </c>
      <c r="B1049" s="24" t="inlineStr">
        <is>
          <t>00161383</t>
        </is>
      </c>
      <c r="C1049" s="24" t="inlineStr">
        <is>
          <t>한미반도체</t>
        </is>
      </c>
      <c r="D1049" s="24" t="inlineStr">
        <is>
          <t>hanmi</t>
        </is>
      </c>
      <c r="E1049" s="24" t="inlineStr">
        <is>
          <t>042700</t>
        </is>
      </c>
      <c r="F1049" s="24" t="inlineStr">
        <is>
          <t>2025</t>
        </is>
      </c>
      <c r="G1049" s="24" t="inlineStr">
        <is>
          <t>CFS</t>
        </is>
      </c>
      <c r="H1049" s="24" t="inlineStr">
        <is>
          <t>SCE</t>
        </is>
      </c>
      <c r="I1049" s="24" t="inlineStr">
        <is>
          <t>자본변동표</t>
        </is>
      </c>
      <c r="J1049" s="24" t="inlineStr">
        <is>
          <t>ifrs-full_ChangesInEquity</t>
        </is>
      </c>
      <c r="K1049" s="24" t="inlineStr">
        <is>
          <t>자본 증가(감소) 합계</t>
        </is>
      </c>
      <c r="L1049" s="24" t="inlineStr">
        <is>
          <t>자본 [구성요소]|지배기업의 소유주에게 귀속되는 지분 [구성요소]|기타포괄손익누계액 [구성요소]</t>
        </is>
      </c>
      <c r="M1049" s="24" t="inlineStr">
        <is>
          <t>제 46 기</t>
        </is>
      </c>
      <c r="N1049" s="24" t="inlineStr">
        <is>
          <t>155834613.0</t>
        </is>
      </c>
      <c r="O1049" s="24" t="inlineStr">
        <is>
          <t>240631470.0</t>
        </is>
      </c>
      <c r="P1049" s="24" t="inlineStr">
        <is>
          <t>KRW</t>
        </is>
      </c>
      <c r="Q1049" s="24" t="inlineStr">
        <is>
          <t>8</t>
        </is>
      </c>
    </row>
    <row r="1050" ht="24" customHeight="1">
      <c r="A1050" s="29" t="inlineStr">
        <is>
          <t>OpenDART_fnlttSinglAcntAll</t>
        </is>
      </c>
      <c r="B1050" s="29" t="inlineStr">
        <is>
          <t>00161383</t>
        </is>
      </c>
      <c r="C1050" s="29" t="inlineStr">
        <is>
          <t>한미반도체</t>
        </is>
      </c>
      <c r="D1050" s="29" t="inlineStr">
        <is>
          <t>hanmi</t>
        </is>
      </c>
      <c r="E1050" s="29" t="inlineStr">
        <is>
          <t>042700</t>
        </is>
      </c>
      <c r="F1050" s="29" t="inlineStr">
        <is>
          <t>2025</t>
        </is>
      </c>
      <c r="G1050" s="29" t="inlineStr">
        <is>
          <t>CFS</t>
        </is>
      </c>
      <c r="H1050" s="29" t="inlineStr">
        <is>
          <t>SCE</t>
        </is>
      </c>
      <c r="I1050" s="29" t="inlineStr">
        <is>
          <t>자본변동표</t>
        </is>
      </c>
      <c r="J1050" s="29" t="inlineStr">
        <is>
          <t>ifrs-full_ChangesInEquity</t>
        </is>
      </c>
      <c r="K1050" s="29" t="inlineStr">
        <is>
          <t>자본 증가(감소) 합계</t>
        </is>
      </c>
      <c r="L1050" s="29" t="inlineStr">
        <is>
          <t>자본 [구성요소]|지배기업의 소유주에게 귀속되는 지분 [구성요소]|기타자본구성요소 [구성요소]</t>
        </is>
      </c>
      <c r="M1050" s="29" t="inlineStr">
        <is>
          <t>제 46 기</t>
        </is>
      </c>
      <c r="N1050" s="29" t="inlineStr">
        <is>
          <t>135006626300.0</t>
        </is>
      </c>
      <c r="O1050" s="29" t="inlineStr">
        <is>
          <t>-109052382436.0</t>
        </is>
      </c>
      <c r="P1050" s="29" t="inlineStr">
        <is>
          <t>KRW</t>
        </is>
      </c>
      <c r="Q1050" s="29" t="inlineStr">
        <is>
          <t>8</t>
        </is>
      </c>
    </row>
    <row r="1051" ht="24" customHeight="1">
      <c r="A1051" s="24" t="inlineStr">
        <is>
          <t>OpenDART_fnlttSinglAcntAll</t>
        </is>
      </c>
      <c r="B1051" s="24" t="inlineStr">
        <is>
          <t>00161383</t>
        </is>
      </c>
      <c r="C1051" s="24" t="inlineStr">
        <is>
          <t>한미반도체</t>
        </is>
      </c>
      <c r="D1051" s="24" t="inlineStr">
        <is>
          <t>hanmi</t>
        </is>
      </c>
      <c r="E1051" s="24" t="inlineStr">
        <is>
          <t>042700</t>
        </is>
      </c>
      <c r="F1051" s="24" t="inlineStr">
        <is>
          <t>2025</t>
        </is>
      </c>
      <c r="G1051" s="24" t="inlineStr">
        <is>
          <t>CFS</t>
        </is>
      </c>
      <c r="H1051" s="24" t="inlineStr">
        <is>
          <t>SCE</t>
        </is>
      </c>
      <c r="I1051" s="24" t="inlineStr">
        <is>
          <t>자본변동표</t>
        </is>
      </c>
      <c r="J1051" s="24" t="inlineStr">
        <is>
          <t>ifrs-full_ChangesInEquity</t>
        </is>
      </c>
      <c r="K1051" s="24" t="inlineStr">
        <is>
          <t>자본 증가(감소) 합계</t>
        </is>
      </c>
      <c r="L1051" s="24" t="inlineStr">
        <is>
          <t>자본 [구성요소]|지배기업의 소유주에게 귀속되는 지분 [구성요소]</t>
        </is>
      </c>
      <c r="M1051" s="24" t="inlineStr">
        <is>
          <t>제 46 기</t>
        </is>
      </c>
      <c r="N1051" s="24" t="inlineStr">
        <is>
          <t>149439656148.0</t>
        </is>
      </c>
      <c r="O1051" s="24" t="inlineStr">
        <is>
          <t>-31010761738.0</t>
        </is>
      </c>
      <c r="P1051" s="24" t="inlineStr">
        <is>
          <t>KRW</t>
        </is>
      </c>
      <c r="Q1051" s="24" t="inlineStr">
        <is>
          <t>8</t>
        </is>
      </c>
    </row>
    <row r="1052" ht="24" customHeight="1">
      <c r="A1052" s="29" t="inlineStr">
        <is>
          <t>OpenDART_fnlttSinglAcntAll</t>
        </is>
      </c>
      <c r="B1052" s="29" t="inlineStr">
        <is>
          <t>00161383</t>
        </is>
      </c>
      <c r="C1052" s="29" t="inlineStr">
        <is>
          <t>한미반도체</t>
        </is>
      </c>
      <c r="D1052" s="29" t="inlineStr">
        <is>
          <t>hanmi</t>
        </is>
      </c>
      <c r="E1052" s="29" t="inlineStr">
        <is>
          <t>042700</t>
        </is>
      </c>
      <c r="F1052" s="29" t="inlineStr">
        <is>
          <t>2025</t>
        </is>
      </c>
      <c r="G1052" s="29" t="inlineStr">
        <is>
          <t>CFS</t>
        </is>
      </c>
      <c r="H1052" s="29" t="inlineStr">
        <is>
          <t>SCE</t>
        </is>
      </c>
      <c r="I1052" s="29" t="inlineStr">
        <is>
          <t>자본변동표</t>
        </is>
      </c>
      <c r="J1052" s="29" t="inlineStr">
        <is>
          <t>ifrs-full_ChangesInEquity</t>
        </is>
      </c>
      <c r="K1052" s="29" t="inlineStr">
        <is>
          <t>자본 증가(감소) 합계</t>
        </is>
      </c>
      <c r="L1052" s="29" t="inlineStr">
        <is>
          <t>연결재무제표 [member]</t>
        </is>
      </c>
      <c r="M1052" s="29" t="inlineStr">
        <is>
          <t>제 46 기</t>
        </is>
      </c>
      <c r="N1052" s="29" t="inlineStr">
        <is>
          <t>149439656148.0</t>
        </is>
      </c>
      <c r="O1052" s="29" t="inlineStr">
        <is>
          <t>-31010761738.0</t>
        </is>
      </c>
      <c r="P1052" s="29" t="inlineStr">
        <is>
          <t>KRW</t>
        </is>
      </c>
      <c r="Q1052" s="29" t="inlineStr">
        <is>
          <t>8</t>
        </is>
      </c>
    </row>
    <row r="1053" ht="24" customHeight="1">
      <c r="A1053" s="24" t="inlineStr">
        <is>
          <t>OpenDART_fnlttSinglAcntAll</t>
        </is>
      </c>
      <c r="B1053" s="24" t="inlineStr">
        <is>
          <t>00161383</t>
        </is>
      </c>
      <c r="C1053" s="24" t="inlineStr">
        <is>
          <t>한미반도체</t>
        </is>
      </c>
      <c r="D1053" s="24" t="inlineStr">
        <is>
          <t>hanmi</t>
        </is>
      </c>
      <c r="E1053" s="24" t="inlineStr">
        <is>
          <t>042700</t>
        </is>
      </c>
      <c r="F1053" s="24" t="inlineStr">
        <is>
          <t>2025</t>
        </is>
      </c>
      <c r="G1053" s="24" t="inlineStr">
        <is>
          <t>CFS</t>
        </is>
      </c>
      <c r="H1053" s="24" t="inlineStr">
        <is>
          <t>SCE</t>
        </is>
      </c>
      <c r="I1053" s="24" t="inlineStr">
        <is>
          <t>자본변동표</t>
        </is>
      </c>
      <c r="J1053" s="24" t="inlineStr">
        <is>
          <t>ifrs-full_ChangesInEquity</t>
        </is>
      </c>
      <c r="K1053" s="24" t="inlineStr">
        <is>
          <t>자본 증가(감소) 합계</t>
        </is>
      </c>
      <c r="L1053" s="24" t="inlineStr">
        <is>
          <t>자본 [구성요소]|지배기업의 소유주에게 귀속되는 지분 [구성요소]|자본잉여금 [구성요소]</t>
        </is>
      </c>
      <c r="M1053" s="24" t="inlineStr">
        <is>
          <t>제 46 기</t>
        </is>
      </c>
      <c r="N1053" s="24" t="inlineStr">
        <is>
          <t>-14926329869.0</t>
        </is>
      </c>
      <c r="O1053" s="24" t="inlineStr">
        <is>
          <t>0.0</t>
        </is>
      </c>
      <c r="P1053" s="24" t="inlineStr">
        <is>
          <t>KRW</t>
        </is>
      </c>
      <c r="Q1053" s="24" t="inlineStr">
        <is>
          <t>8</t>
        </is>
      </c>
    </row>
    <row r="1054" ht="24" customHeight="1">
      <c r="A1054" s="29" t="inlineStr">
        <is>
          <t>OpenDART_fnlttSinglAcntAll</t>
        </is>
      </c>
      <c r="B1054" s="29" t="inlineStr">
        <is>
          <t>00161383</t>
        </is>
      </c>
      <c r="C1054" s="29" t="inlineStr">
        <is>
          <t>한미반도체</t>
        </is>
      </c>
      <c r="D1054" s="29" t="inlineStr">
        <is>
          <t>hanmi</t>
        </is>
      </c>
      <c r="E1054" s="29" t="inlineStr">
        <is>
          <t>042700</t>
        </is>
      </c>
      <c r="F1054" s="29" t="inlineStr">
        <is>
          <t>2025</t>
        </is>
      </c>
      <c r="G1054" s="29" t="inlineStr">
        <is>
          <t>CFS</t>
        </is>
      </c>
      <c r="H1054" s="29" t="inlineStr">
        <is>
          <t>SCE</t>
        </is>
      </c>
      <c r="I1054" s="29" t="inlineStr">
        <is>
          <t>자본변동표</t>
        </is>
      </c>
      <c r="J1054" s="29" t="inlineStr">
        <is>
          <t>ifrs-full_DividendsPaid</t>
        </is>
      </c>
      <c r="K1054" s="29" t="inlineStr">
        <is>
          <t>소유주에 대한 배분으로 인식된 배당금</t>
        </is>
      </c>
      <c r="L1054" s="29" t="inlineStr">
        <is>
          <t>자본 [구성요소]|지배기업의 소유주에게 귀속되는 지분 [구성요소]|자본금 [구성요소]</t>
        </is>
      </c>
      <c r="M1054" s="29" t="inlineStr">
        <is>
          <t>제 46 기</t>
        </is>
      </c>
      <c r="N1054" s="29" t="inlineStr">
        <is>
          <t>0.0</t>
        </is>
      </c>
      <c r="O1054" s="29" t="inlineStr">
        <is>
          <t>0.0</t>
        </is>
      </c>
      <c r="P1054" s="29" t="inlineStr">
        <is>
          <t>KRW</t>
        </is>
      </c>
      <c r="Q1054" s="29" t="inlineStr">
        <is>
          <t>9</t>
        </is>
      </c>
    </row>
    <row r="1055" ht="24" customHeight="1">
      <c r="A1055" s="24" t="inlineStr">
        <is>
          <t>OpenDART_fnlttSinglAcntAll</t>
        </is>
      </c>
      <c r="B1055" s="24" t="inlineStr">
        <is>
          <t>00161383</t>
        </is>
      </c>
      <c r="C1055" s="24" t="inlineStr">
        <is>
          <t>한미반도체</t>
        </is>
      </c>
      <c r="D1055" s="24" t="inlineStr">
        <is>
          <t>hanmi</t>
        </is>
      </c>
      <c r="E1055" s="24" t="inlineStr">
        <is>
          <t>042700</t>
        </is>
      </c>
      <c r="F1055" s="24" t="inlineStr">
        <is>
          <t>2025</t>
        </is>
      </c>
      <c r="G1055" s="24" t="inlineStr">
        <is>
          <t>CFS</t>
        </is>
      </c>
      <c r="H1055" s="24" t="inlineStr">
        <is>
          <t>SCE</t>
        </is>
      </c>
      <c r="I1055" s="24" t="inlineStr">
        <is>
          <t>자본변동표</t>
        </is>
      </c>
      <c r="J1055" s="24" t="inlineStr">
        <is>
          <t>ifrs-full_DividendsPaid</t>
        </is>
      </c>
      <c r="K1055" s="24" t="inlineStr">
        <is>
          <t>소유주에 대한 배분으로 인식된 배당금</t>
        </is>
      </c>
      <c r="L1055" s="24" t="inlineStr">
        <is>
          <t>자본 [구성요소]|지배기업의 소유주에게 귀속되는 지분 [구성요소]|이익잉여금 [구성요소]</t>
        </is>
      </c>
      <c r="M1055" s="24" t="inlineStr">
        <is>
          <t>제 46 기</t>
        </is>
      </c>
      <c r="N1055" s="24" t="inlineStr">
        <is>
          <t>68294161440.0</t>
        </is>
      </c>
      <c r="O1055" s="24" t="inlineStr">
        <is>
          <t>0.0</t>
        </is>
      </c>
      <c r="P1055" s="24" t="inlineStr">
        <is>
          <t>KRW</t>
        </is>
      </c>
      <c r="Q1055" s="24" t="inlineStr">
        <is>
          <t>9</t>
        </is>
      </c>
    </row>
    <row r="1056" ht="24" customHeight="1">
      <c r="A1056" s="29" t="inlineStr">
        <is>
          <t>OpenDART_fnlttSinglAcntAll</t>
        </is>
      </c>
      <c r="B1056" s="29" t="inlineStr">
        <is>
          <t>00161383</t>
        </is>
      </c>
      <c r="C1056" s="29" t="inlineStr">
        <is>
          <t>한미반도체</t>
        </is>
      </c>
      <c r="D1056" s="29" t="inlineStr">
        <is>
          <t>hanmi</t>
        </is>
      </c>
      <c r="E1056" s="29" t="inlineStr">
        <is>
          <t>042700</t>
        </is>
      </c>
      <c r="F1056" s="29" t="inlineStr">
        <is>
          <t>2025</t>
        </is>
      </c>
      <c r="G1056" s="29" t="inlineStr">
        <is>
          <t>CFS</t>
        </is>
      </c>
      <c r="H1056" s="29" t="inlineStr">
        <is>
          <t>SCE</t>
        </is>
      </c>
      <c r="I1056" s="29" t="inlineStr">
        <is>
          <t>자본변동표</t>
        </is>
      </c>
      <c r="J1056" s="29" t="inlineStr">
        <is>
          <t>ifrs-full_DividendsPaid</t>
        </is>
      </c>
      <c r="K1056" s="29" t="inlineStr">
        <is>
          <t>소유주에 대한 배분으로 인식된 배당금</t>
        </is>
      </c>
      <c r="L1056" s="29" t="inlineStr">
        <is>
          <t>자본 [구성요소]|지배기업의 소유주에게 귀속되는 지분 [구성요소]|기타포괄손익누계액 [구성요소]</t>
        </is>
      </c>
      <c r="M1056" s="29" t="inlineStr">
        <is>
          <t>제 46 기</t>
        </is>
      </c>
      <c r="N1056" s="29" t="inlineStr">
        <is>
          <t>0.0</t>
        </is>
      </c>
      <c r="O1056" s="29" t="inlineStr">
        <is>
          <t>0.0</t>
        </is>
      </c>
      <c r="P1056" s="29" t="inlineStr">
        <is>
          <t>KRW</t>
        </is>
      </c>
      <c r="Q1056" s="29" t="inlineStr">
        <is>
          <t>9</t>
        </is>
      </c>
    </row>
    <row r="1057" ht="24" customHeight="1">
      <c r="A1057" s="24" t="inlineStr">
        <is>
          <t>OpenDART_fnlttSinglAcntAll</t>
        </is>
      </c>
      <c r="B1057" s="24" t="inlineStr">
        <is>
          <t>00161383</t>
        </is>
      </c>
      <c r="C1057" s="24" t="inlineStr">
        <is>
          <t>한미반도체</t>
        </is>
      </c>
      <c r="D1057" s="24" t="inlineStr">
        <is>
          <t>hanmi</t>
        </is>
      </c>
      <c r="E1057" s="24" t="inlineStr">
        <is>
          <t>042700</t>
        </is>
      </c>
      <c r="F1057" s="24" t="inlineStr">
        <is>
          <t>2025</t>
        </is>
      </c>
      <c r="G1057" s="24" t="inlineStr">
        <is>
          <t>CFS</t>
        </is>
      </c>
      <c r="H1057" s="24" t="inlineStr">
        <is>
          <t>SCE</t>
        </is>
      </c>
      <c r="I1057" s="24" t="inlineStr">
        <is>
          <t>자본변동표</t>
        </is>
      </c>
      <c r="J1057" s="24" t="inlineStr">
        <is>
          <t>ifrs-full_DividendsPaid</t>
        </is>
      </c>
      <c r="K1057" s="24" t="inlineStr">
        <is>
          <t>소유주에 대한 배분으로 인식된 배당금</t>
        </is>
      </c>
      <c r="L1057" s="24" t="inlineStr">
        <is>
          <t>자본 [구성요소]|지배기업의 소유주에게 귀속되는 지분 [구성요소]|기타자본구성요소 [구성요소]</t>
        </is>
      </c>
      <c r="M1057" s="24" t="inlineStr">
        <is>
          <t>제 46 기</t>
        </is>
      </c>
      <c r="N1057" s="24" t="inlineStr">
        <is>
          <t>0.0</t>
        </is>
      </c>
      <c r="O1057" s="24" t="inlineStr">
        <is>
          <t>0.0</t>
        </is>
      </c>
      <c r="P1057" s="24" t="inlineStr">
        <is>
          <t>KRW</t>
        </is>
      </c>
      <c r="Q1057" s="24" t="inlineStr">
        <is>
          <t>9</t>
        </is>
      </c>
    </row>
    <row r="1058" ht="24" customHeight="1">
      <c r="A1058" s="29" t="inlineStr">
        <is>
          <t>OpenDART_fnlttSinglAcntAll</t>
        </is>
      </c>
      <c r="B1058" s="29" t="inlineStr">
        <is>
          <t>00161383</t>
        </is>
      </c>
      <c r="C1058" s="29" t="inlineStr">
        <is>
          <t>한미반도체</t>
        </is>
      </c>
      <c r="D1058" s="29" t="inlineStr">
        <is>
          <t>hanmi</t>
        </is>
      </c>
      <c r="E1058" s="29" t="inlineStr">
        <is>
          <t>042700</t>
        </is>
      </c>
      <c r="F1058" s="29" t="inlineStr">
        <is>
          <t>2025</t>
        </is>
      </c>
      <c r="G1058" s="29" t="inlineStr">
        <is>
          <t>CFS</t>
        </is>
      </c>
      <c r="H1058" s="29" t="inlineStr">
        <is>
          <t>SCE</t>
        </is>
      </c>
      <c r="I1058" s="29" t="inlineStr">
        <is>
          <t>자본변동표</t>
        </is>
      </c>
      <c r="J1058" s="29" t="inlineStr">
        <is>
          <t>ifrs-full_DividendsPaid</t>
        </is>
      </c>
      <c r="K1058" s="29" t="inlineStr">
        <is>
          <t>소유주에 대한 배분으로 인식된 배당금</t>
        </is>
      </c>
      <c r="L1058" s="29" t="inlineStr">
        <is>
          <t>자본 [구성요소]|지배기업의 소유주에게 귀속되는 지분 [구성요소]</t>
        </is>
      </c>
      <c r="M1058" s="29" t="inlineStr">
        <is>
          <t>제 46 기</t>
        </is>
      </c>
      <c r="N1058" s="29" t="inlineStr">
        <is>
          <t>68294161440.0</t>
        </is>
      </c>
      <c r="O1058" s="29" t="inlineStr">
        <is>
          <t>0.0</t>
        </is>
      </c>
      <c r="P1058" s="29" t="inlineStr">
        <is>
          <t>KRW</t>
        </is>
      </c>
      <c r="Q1058" s="29" t="inlineStr">
        <is>
          <t>9</t>
        </is>
      </c>
    </row>
    <row r="1059" ht="24" customHeight="1">
      <c r="A1059" s="24" t="inlineStr">
        <is>
          <t>OpenDART_fnlttSinglAcntAll</t>
        </is>
      </c>
      <c r="B1059" s="24" t="inlineStr">
        <is>
          <t>00161383</t>
        </is>
      </c>
      <c r="C1059" s="24" t="inlineStr">
        <is>
          <t>한미반도체</t>
        </is>
      </c>
      <c r="D1059" s="24" t="inlineStr">
        <is>
          <t>hanmi</t>
        </is>
      </c>
      <c r="E1059" s="24" t="inlineStr">
        <is>
          <t>042700</t>
        </is>
      </c>
      <c r="F1059" s="24" t="inlineStr">
        <is>
          <t>2025</t>
        </is>
      </c>
      <c r="G1059" s="24" t="inlineStr">
        <is>
          <t>CFS</t>
        </is>
      </c>
      <c r="H1059" s="24" t="inlineStr">
        <is>
          <t>SCE</t>
        </is>
      </c>
      <c r="I1059" s="24" t="inlineStr">
        <is>
          <t>자본변동표</t>
        </is>
      </c>
      <c r="J1059" s="24" t="inlineStr">
        <is>
          <t>ifrs-full_DividendsPaid</t>
        </is>
      </c>
      <c r="K1059" s="24" t="inlineStr">
        <is>
          <t>소유주에 대한 배분으로 인식된 배당금</t>
        </is>
      </c>
      <c r="L1059" s="24" t="inlineStr">
        <is>
          <t>연결재무제표 [member]</t>
        </is>
      </c>
      <c r="M1059" s="24" t="inlineStr">
        <is>
          <t>제 46 기</t>
        </is>
      </c>
      <c r="N1059" s="24" t="inlineStr">
        <is>
          <t>68294161440.0</t>
        </is>
      </c>
      <c r="O1059" s="24" t="inlineStr">
        <is>
          <t>0.0</t>
        </is>
      </c>
      <c r="P1059" s="24" t="inlineStr">
        <is>
          <t>KRW</t>
        </is>
      </c>
      <c r="Q1059" s="24" t="inlineStr">
        <is>
          <t>9</t>
        </is>
      </c>
    </row>
    <row r="1060" ht="24" customHeight="1">
      <c r="A1060" s="29" t="inlineStr">
        <is>
          <t>OpenDART_fnlttSinglAcntAll</t>
        </is>
      </c>
      <c r="B1060" s="29" t="inlineStr">
        <is>
          <t>00161383</t>
        </is>
      </c>
      <c r="C1060" s="29" t="inlineStr">
        <is>
          <t>한미반도체</t>
        </is>
      </c>
      <c r="D1060" s="29" t="inlineStr">
        <is>
          <t>hanmi</t>
        </is>
      </c>
      <c r="E1060" s="29" t="inlineStr">
        <is>
          <t>042700</t>
        </is>
      </c>
      <c r="F1060" s="29" t="inlineStr">
        <is>
          <t>2025</t>
        </is>
      </c>
      <c r="G1060" s="29" t="inlineStr">
        <is>
          <t>CFS</t>
        </is>
      </c>
      <c r="H1060" s="29" t="inlineStr">
        <is>
          <t>SCE</t>
        </is>
      </c>
      <c r="I1060" s="29" t="inlineStr">
        <is>
          <t>자본변동표</t>
        </is>
      </c>
      <c r="J1060" s="29" t="inlineStr">
        <is>
          <t>ifrs-full_DividendsPaid</t>
        </is>
      </c>
      <c r="K1060" s="29" t="inlineStr">
        <is>
          <t>소유주에 대한 배분으로 인식된 배당금</t>
        </is>
      </c>
      <c r="L1060" s="29" t="inlineStr">
        <is>
          <t>자본 [구성요소]|지배기업의 소유주에게 귀속되는 지분 [구성요소]|자본잉여금 [구성요소]</t>
        </is>
      </c>
      <c r="M1060" s="29" t="inlineStr">
        <is>
          <t>제 46 기</t>
        </is>
      </c>
      <c r="N1060" s="29" t="inlineStr">
        <is>
          <t>0.0</t>
        </is>
      </c>
      <c r="O1060" s="29" t="inlineStr">
        <is>
          <t>0.0</t>
        </is>
      </c>
      <c r="P1060" s="29" t="inlineStr">
        <is>
          <t>KRW</t>
        </is>
      </c>
      <c r="Q1060" s="29" t="inlineStr">
        <is>
          <t>9</t>
        </is>
      </c>
    </row>
    <row r="1061" ht="24" customHeight="1">
      <c r="A1061" s="24" t="inlineStr">
        <is>
          <t>OpenDART_fnlttSinglAcntAll</t>
        </is>
      </c>
      <c r="B1061" s="24" t="inlineStr">
        <is>
          <t>00161383</t>
        </is>
      </c>
      <c r="C1061" s="24" t="inlineStr">
        <is>
          <t>한미반도체</t>
        </is>
      </c>
      <c r="D1061" s="24" t="inlineStr">
        <is>
          <t>hanmi</t>
        </is>
      </c>
      <c r="E1061" s="24" t="inlineStr">
        <is>
          <t>042700</t>
        </is>
      </c>
      <c r="F1061" s="24" t="inlineStr">
        <is>
          <t>2025</t>
        </is>
      </c>
      <c r="G1061" s="24" t="inlineStr">
        <is>
          <t>CFS</t>
        </is>
      </c>
      <c r="H1061" s="24" t="inlineStr">
        <is>
          <t>SCE</t>
        </is>
      </c>
      <c r="I1061" s="24" t="inlineStr">
        <is>
          <t>자본변동표</t>
        </is>
      </c>
      <c r="J1061" s="24" t="inlineStr">
        <is>
          <t>ifrs-full_Equity</t>
        </is>
      </c>
      <c r="K1061" s="24" t="inlineStr">
        <is>
          <t>자본총계</t>
        </is>
      </c>
      <c r="L1061" s="24" t="inlineStr">
        <is>
          <t>연결재무제표 [member]</t>
        </is>
      </c>
      <c r="M1061" s="24" t="inlineStr">
        <is>
          <t>제 46 기</t>
        </is>
      </c>
      <c r="N1061" s="24" t="inlineStr">
        <is>
          <t>690327519537.0</t>
        </is>
      </c>
      <c r="O1061" s="24" t="inlineStr">
        <is>
          <t>540887863389.0</t>
        </is>
      </c>
      <c r="P1061" s="24" t="inlineStr">
        <is>
          <t>KRW</t>
        </is>
      </c>
      <c r="Q1061" s="24" t="inlineStr">
        <is>
          <t>10</t>
        </is>
      </c>
    </row>
    <row r="1062" ht="24" customHeight="1">
      <c r="A1062" s="29" t="inlineStr">
        <is>
          <t>OpenDART_fnlttSinglAcntAll</t>
        </is>
      </c>
      <c r="B1062" s="29" t="inlineStr">
        <is>
          <t>00161383</t>
        </is>
      </c>
      <c r="C1062" s="29" t="inlineStr">
        <is>
          <t>한미반도체</t>
        </is>
      </c>
      <c r="D1062" s="29" t="inlineStr">
        <is>
          <t>hanmi</t>
        </is>
      </c>
      <c r="E1062" s="29" t="inlineStr">
        <is>
          <t>042700</t>
        </is>
      </c>
      <c r="F1062" s="29" t="inlineStr">
        <is>
          <t>2025</t>
        </is>
      </c>
      <c r="G1062" s="29" t="inlineStr">
        <is>
          <t>CFS</t>
        </is>
      </c>
      <c r="H1062" s="29" t="inlineStr">
        <is>
          <t>SCE</t>
        </is>
      </c>
      <c r="I1062" s="29" t="inlineStr">
        <is>
          <t>자본변동표</t>
        </is>
      </c>
      <c r="J1062" s="29" t="inlineStr">
        <is>
          <t>ifrs-full_Equity</t>
        </is>
      </c>
      <c r="K1062" s="29" t="inlineStr">
        <is>
          <t>자본총계</t>
        </is>
      </c>
      <c r="L1062" s="29" t="inlineStr">
        <is>
          <t>자본 [구성요소]|지배기업의 소유주에게 귀속되는 지분 [구성요소]</t>
        </is>
      </c>
      <c r="M1062" s="29" t="inlineStr">
        <is>
          <t>제 46 기</t>
        </is>
      </c>
      <c r="N1062" s="29" t="inlineStr">
        <is>
          <t>690327519537.0</t>
        </is>
      </c>
      <c r="O1062" s="29" t="inlineStr">
        <is>
          <t>540887863389.0</t>
        </is>
      </c>
      <c r="P1062" s="29" t="inlineStr">
        <is>
          <t>KRW</t>
        </is>
      </c>
      <c r="Q1062" s="29" t="inlineStr">
        <is>
          <t>10</t>
        </is>
      </c>
    </row>
    <row r="1063" ht="24" customHeight="1">
      <c r="A1063" s="24" t="inlineStr">
        <is>
          <t>OpenDART_fnlttSinglAcntAll</t>
        </is>
      </c>
      <c r="B1063" s="24" t="inlineStr">
        <is>
          <t>00161383</t>
        </is>
      </c>
      <c r="C1063" s="24" t="inlineStr">
        <is>
          <t>한미반도체</t>
        </is>
      </c>
      <c r="D1063" s="24" t="inlineStr">
        <is>
          <t>hanmi</t>
        </is>
      </c>
      <c r="E1063" s="24" t="inlineStr">
        <is>
          <t>042700</t>
        </is>
      </c>
      <c r="F1063" s="24" t="inlineStr">
        <is>
          <t>2025</t>
        </is>
      </c>
      <c r="G1063" s="24" t="inlineStr">
        <is>
          <t>CFS</t>
        </is>
      </c>
      <c r="H1063" s="24" t="inlineStr">
        <is>
          <t>SCE</t>
        </is>
      </c>
      <c r="I1063" s="24" t="inlineStr">
        <is>
          <t>자본변동표</t>
        </is>
      </c>
      <c r="J1063" s="24" t="inlineStr">
        <is>
          <t>ifrs-full_Equity</t>
        </is>
      </c>
      <c r="K1063" s="24" t="inlineStr">
        <is>
          <t>자본총계</t>
        </is>
      </c>
      <c r="L1063" s="24" t="inlineStr">
        <is>
          <t>자본 [구성요소]|지배기업의 소유주에게 귀속되는 지분 [구성요소]|기타자본구성요소 [구성요소]</t>
        </is>
      </c>
      <c r="M1063" s="24" t="inlineStr">
        <is>
          <t>제 46 기</t>
        </is>
      </c>
      <c r="N1063" s="24" t="inlineStr">
        <is>
          <t>-3588190111.0</t>
        </is>
      </c>
      <c r="O1063" s="24" t="inlineStr">
        <is>
          <t>-138594816411.0</t>
        </is>
      </c>
      <c r="P1063" s="24" t="inlineStr">
        <is>
          <t>KRW</t>
        </is>
      </c>
      <c r="Q1063" s="24" t="inlineStr">
        <is>
          <t>10</t>
        </is>
      </c>
    </row>
    <row r="1064" ht="24" customHeight="1">
      <c r="A1064" s="29" t="inlineStr">
        <is>
          <t>OpenDART_fnlttSinglAcntAll</t>
        </is>
      </c>
      <c r="B1064" s="29" t="inlineStr">
        <is>
          <t>00161383</t>
        </is>
      </c>
      <c r="C1064" s="29" t="inlineStr">
        <is>
          <t>한미반도체</t>
        </is>
      </c>
      <c r="D1064" s="29" t="inlineStr">
        <is>
          <t>hanmi</t>
        </is>
      </c>
      <c r="E1064" s="29" t="inlineStr">
        <is>
          <t>042700</t>
        </is>
      </c>
      <c r="F1064" s="29" t="inlineStr">
        <is>
          <t>2025</t>
        </is>
      </c>
      <c r="G1064" s="29" t="inlineStr">
        <is>
          <t>CFS</t>
        </is>
      </c>
      <c r="H1064" s="29" t="inlineStr">
        <is>
          <t>SCE</t>
        </is>
      </c>
      <c r="I1064" s="29" t="inlineStr">
        <is>
          <t>자본변동표</t>
        </is>
      </c>
      <c r="J1064" s="29" t="inlineStr">
        <is>
          <t>ifrs-full_Equity</t>
        </is>
      </c>
      <c r="K1064" s="29" t="inlineStr">
        <is>
          <t>자본총계</t>
        </is>
      </c>
      <c r="L1064" s="29" t="inlineStr">
        <is>
          <t>자본 [구성요소]|지배기업의 소유주에게 귀속되는 지분 [구성요소]|기타포괄손익누계액 [구성요소]</t>
        </is>
      </c>
      <c r="M1064" s="29" t="inlineStr">
        <is>
          <t>제 46 기</t>
        </is>
      </c>
      <c r="N1064" s="29" t="inlineStr">
        <is>
          <t>490057578.0</t>
        </is>
      </c>
      <c r="O1064" s="29" t="inlineStr">
        <is>
          <t>334222965.0</t>
        </is>
      </c>
      <c r="P1064" s="29" t="inlineStr">
        <is>
          <t>KRW</t>
        </is>
      </c>
      <c r="Q1064" s="29" t="inlineStr">
        <is>
          <t>10</t>
        </is>
      </c>
    </row>
    <row r="1065" ht="24" customHeight="1">
      <c r="A1065" s="24" t="inlineStr">
        <is>
          <t>OpenDART_fnlttSinglAcntAll</t>
        </is>
      </c>
      <c r="B1065" s="24" t="inlineStr">
        <is>
          <t>00161383</t>
        </is>
      </c>
      <c r="C1065" s="24" t="inlineStr">
        <is>
          <t>한미반도체</t>
        </is>
      </c>
      <c r="D1065" s="24" t="inlineStr">
        <is>
          <t>hanmi</t>
        </is>
      </c>
      <c r="E1065" s="24" t="inlineStr">
        <is>
          <t>042700</t>
        </is>
      </c>
      <c r="F1065" s="24" t="inlineStr">
        <is>
          <t>2025</t>
        </is>
      </c>
      <c r="G1065" s="24" t="inlineStr">
        <is>
          <t>CFS</t>
        </is>
      </c>
      <c r="H1065" s="24" t="inlineStr">
        <is>
          <t>SCE</t>
        </is>
      </c>
      <c r="I1065" s="24" t="inlineStr">
        <is>
          <t>자본변동표</t>
        </is>
      </c>
      <c r="J1065" s="24" t="inlineStr">
        <is>
          <t>ifrs-full_Equity</t>
        </is>
      </c>
      <c r="K1065" s="24" t="inlineStr">
        <is>
          <t>자본총계</t>
        </is>
      </c>
      <c r="L1065" s="24" t="inlineStr">
        <is>
          <t>자본 [구성요소]|지배기업의 소유주에게 귀속되는 지분 [구성요소]|이익잉여금 [구성요소]</t>
        </is>
      </c>
      <c r="M1065" s="24" t="inlineStr">
        <is>
          <t>제 46 기</t>
        </is>
      </c>
      <c r="N1065" s="24" t="inlineStr">
        <is>
          <t>639253488501.0</t>
        </is>
      </c>
      <c r="O1065" s="24" t="inlineStr">
        <is>
          <t>610049963397.0</t>
        </is>
      </c>
      <c r="P1065" s="24" t="inlineStr">
        <is>
          <t>KRW</t>
        </is>
      </c>
      <c r="Q1065" s="24" t="inlineStr">
        <is>
          <t>10</t>
        </is>
      </c>
    </row>
    <row r="1066" ht="24" customHeight="1">
      <c r="A1066" s="29" t="inlineStr">
        <is>
          <t>OpenDART_fnlttSinglAcntAll</t>
        </is>
      </c>
      <c r="B1066" s="29" t="inlineStr">
        <is>
          <t>00161383</t>
        </is>
      </c>
      <c r="C1066" s="29" t="inlineStr">
        <is>
          <t>한미반도체</t>
        </is>
      </c>
      <c r="D1066" s="29" t="inlineStr">
        <is>
          <t>hanmi</t>
        </is>
      </c>
      <c r="E1066" s="29" t="inlineStr">
        <is>
          <t>042700</t>
        </is>
      </c>
      <c r="F1066" s="29" t="inlineStr">
        <is>
          <t>2025</t>
        </is>
      </c>
      <c r="G1066" s="29" t="inlineStr">
        <is>
          <t>CFS</t>
        </is>
      </c>
      <c r="H1066" s="29" t="inlineStr">
        <is>
          <t>SCE</t>
        </is>
      </c>
      <c r="I1066" s="29" t="inlineStr">
        <is>
          <t>자본변동표</t>
        </is>
      </c>
      <c r="J1066" s="29" t="inlineStr">
        <is>
          <t>ifrs-full_Equity</t>
        </is>
      </c>
      <c r="K1066" s="29" t="inlineStr">
        <is>
          <t>자본총계</t>
        </is>
      </c>
      <c r="L1066" s="29" t="inlineStr">
        <is>
          <t>자본 [구성요소]|지배기업의 소유주에게 귀속되는 지분 [구성요소]|자본금 [구성요소]</t>
        </is>
      </c>
      <c r="M1066" s="29" t="inlineStr">
        <is>
          <t>제 46 기</t>
        </is>
      </c>
      <c r="N1066" s="29" t="inlineStr">
        <is>
          <t>12716420500.0</t>
        </is>
      </c>
      <c r="O1066" s="29" t="inlineStr">
        <is>
          <t>12716420500.0</t>
        </is>
      </c>
      <c r="P1066" s="29" t="inlineStr">
        <is>
          <t>KRW</t>
        </is>
      </c>
      <c r="Q1066" s="29" t="inlineStr">
        <is>
          <t>10</t>
        </is>
      </c>
    </row>
    <row r="1067" ht="24" customHeight="1">
      <c r="A1067" s="24" t="inlineStr">
        <is>
          <t>OpenDART_fnlttSinglAcntAll</t>
        </is>
      </c>
      <c r="B1067" s="24" t="inlineStr">
        <is>
          <t>00161383</t>
        </is>
      </c>
      <c r="C1067" s="24" t="inlineStr">
        <is>
          <t>한미반도체</t>
        </is>
      </c>
      <c r="D1067" s="24" t="inlineStr">
        <is>
          <t>hanmi</t>
        </is>
      </c>
      <c r="E1067" s="24" t="inlineStr">
        <is>
          <t>042700</t>
        </is>
      </c>
      <c r="F1067" s="24" t="inlineStr">
        <is>
          <t>2025</t>
        </is>
      </c>
      <c r="G1067" s="24" t="inlineStr">
        <is>
          <t>CFS</t>
        </is>
      </c>
      <c r="H1067" s="24" t="inlineStr">
        <is>
          <t>SCE</t>
        </is>
      </c>
      <c r="I1067" s="24" t="inlineStr">
        <is>
          <t>자본변동표</t>
        </is>
      </c>
      <c r="J1067" s="24" t="inlineStr">
        <is>
          <t>ifrs-full_Equity</t>
        </is>
      </c>
      <c r="K1067" s="24" t="inlineStr">
        <is>
          <t>자본총계</t>
        </is>
      </c>
      <c r="L1067" s="24" t="inlineStr">
        <is>
          <t>자본 [구성요소]|지배기업의 소유주에게 귀속되는 지분 [구성요소]|자본잉여금 [구성요소]</t>
        </is>
      </c>
      <c r="M1067" s="24" t="inlineStr">
        <is>
          <t>제 46 기</t>
        </is>
      </c>
      <c r="N1067" s="24" t="inlineStr">
        <is>
          <t>41455743069.0</t>
        </is>
      </c>
      <c r="O1067" s="24" t="inlineStr">
        <is>
          <t>56382072938.0</t>
        </is>
      </c>
      <c r="P1067" s="24" t="inlineStr">
        <is>
          <t>KRW</t>
        </is>
      </c>
      <c r="Q1067" s="24" t="inlineStr">
        <is>
          <t>10</t>
        </is>
      </c>
    </row>
    <row r="1068" ht="24" customHeight="1">
      <c r="A1068" s="29" t="inlineStr">
        <is>
          <t>OpenDART_fnlttSinglAcntAll</t>
        </is>
      </c>
      <c r="B1068" s="29" t="inlineStr">
        <is>
          <t>00161383</t>
        </is>
      </c>
      <c r="C1068" s="29" t="inlineStr">
        <is>
          <t>한미반도체</t>
        </is>
      </c>
      <c r="D1068" s="29" t="inlineStr">
        <is>
          <t>hanmi</t>
        </is>
      </c>
      <c r="E1068" s="29" t="inlineStr">
        <is>
          <t>042700</t>
        </is>
      </c>
      <c r="F1068" s="29" t="inlineStr">
        <is>
          <t>2025</t>
        </is>
      </c>
      <c r="G1068" s="29" t="inlineStr">
        <is>
          <t>CFS</t>
        </is>
      </c>
      <c r="H1068" s="29" t="inlineStr">
        <is>
          <t>SCE</t>
        </is>
      </c>
      <c r="I1068" s="29" t="inlineStr">
        <is>
          <t>자본변동표</t>
        </is>
      </c>
      <c r="J1068" s="29" t="inlineStr">
        <is>
          <t>ifrs-full_GainsLossesOnExchangeDifferencesOnTranslationNetOfTax</t>
        </is>
      </c>
      <c r="K1068" s="29" t="inlineStr">
        <is>
          <t>해외사업장환산외환차이(세후기타포괄손익)</t>
        </is>
      </c>
      <c r="L1068" s="29" t="inlineStr">
        <is>
          <t>연결재무제표 [member]</t>
        </is>
      </c>
      <c r="M1068" s="29" t="inlineStr">
        <is>
          <t>제 46 기</t>
        </is>
      </c>
      <c r="N1068" s="29" t="inlineStr">
        <is>
          <t>146597275.0</t>
        </is>
      </c>
      <c r="O1068" s="29" t="inlineStr">
        <is>
          <t>240631470.0</t>
        </is>
      </c>
      <c r="P1068" s="29" t="inlineStr">
        <is>
          <t>KRW</t>
        </is>
      </c>
      <c r="Q1068" s="29" t="inlineStr">
        <is>
          <t>11</t>
        </is>
      </c>
    </row>
    <row r="1069" ht="24" customHeight="1">
      <c r="A1069" s="24" t="inlineStr">
        <is>
          <t>OpenDART_fnlttSinglAcntAll</t>
        </is>
      </c>
      <c r="B1069" s="24" t="inlineStr">
        <is>
          <t>00161383</t>
        </is>
      </c>
      <c r="C1069" s="24" t="inlineStr">
        <is>
          <t>한미반도체</t>
        </is>
      </c>
      <c r="D1069" s="24" t="inlineStr">
        <is>
          <t>hanmi</t>
        </is>
      </c>
      <c r="E1069" s="24" t="inlineStr">
        <is>
          <t>042700</t>
        </is>
      </c>
      <c r="F1069" s="24" t="inlineStr">
        <is>
          <t>2025</t>
        </is>
      </c>
      <c r="G1069" s="24" t="inlineStr">
        <is>
          <t>CFS</t>
        </is>
      </c>
      <c r="H1069" s="24" t="inlineStr">
        <is>
          <t>SCE</t>
        </is>
      </c>
      <c r="I1069" s="24" t="inlineStr">
        <is>
          <t>자본변동표</t>
        </is>
      </c>
      <c r="J1069" s="24" t="inlineStr">
        <is>
          <t>ifrs-full_GainsLossesOnExchangeDifferencesOnTranslationNetOfTax</t>
        </is>
      </c>
      <c r="K1069" s="24" t="inlineStr">
        <is>
          <t>해외사업장환산외환차이(세후기타포괄손익)</t>
        </is>
      </c>
      <c r="L1069" s="24" t="inlineStr">
        <is>
          <t>자본 [구성요소]|지배기업의 소유주에게 귀속되는 지분 [구성요소]</t>
        </is>
      </c>
      <c r="M1069" s="24" t="inlineStr">
        <is>
          <t>제 46 기</t>
        </is>
      </c>
      <c r="N1069" s="24" t="inlineStr">
        <is>
          <t>146597275.0</t>
        </is>
      </c>
      <c r="O1069" s="24" t="inlineStr">
        <is>
          <t>240631470.0</t>
        </is>
      </c>
      <c r="P1069" s="24" t="inlineStr">
        <is>
          <t>KRW</t>
        </is>
      </c>
      <c r="Q1069" s="24" t="inlineStr">
        <is>
          <t>11</t>
        </is>
      </c>
    </row>
    <row r="1070" ht="24" customHeight="1">
      <c r="A1070" s="29" t="inlineStr">
        <is>
          <t>OpenDART_fnlttSinglAcntAll</t>
        </is>
      </c>
      <c r="B1070" s="29" t="inlineStr">
        <is>
          <t>00161383</t>
        </is>
      </c>
      <c r="C1070" s="29" t="inlineStr">
        <is>
          <t>한미반도체</t>
        </is>
      </c>
      <c r="D1070" s="29" t="inlineStr">
        <is>
          <t>hanmi</t>
        </is>
      </c>
      <c r="E1070" s="29" t="inlineStr">
        <is>
          <t>042700</t>
        </is>
      </c>
      <c r="F1070" s="29" t="inlineStr">
        <is>
          <t>2025</t>
        </is>
      </c>
      <c r="G1070" s="29" t="inlineStr">
        <is>
          <t>CFS</t>
        </is>
      </c>
      <c r="H1070" s="29" t="inlineStr">
        <is>
          <t>SCE</t>
        </is>
      </c>
      <c r="I1070" s="29" t="inlineStr">
        <is>
          <t>자본변동표</t>
        </is>
      </c>
      <c r="J1070" s="29" t="inlineStr">
        <is>
          <t>ifrs-full_GainsLossesOnExchangeDifferencesOnTranslationNetOfTax</t>
        </is>
      </c>
      <c r="K1070" s="29" t="inlineStr">
        <is>
          <t>해외사업장환산외환차이(세후기타포괄손익)</t>
        </is>
      </c>
      <c r="L1070" s="29" t="inlineStr">
        <is>
          <t>자본 [구성요소]|지배기업의 소유주에게 귀속되는 지분 [구성요소]|기타자본구성요소 [구성요소]</t>
        </is>
      </c>
      <c r="M1070" s="29" t="inlineStr">
        <is>
          <t>제 46 기</t>
        </is>
      </c>
      <c r="N1070" s="29" t="inlineStr">
        <is>
          <t>0.0</t>
        </is>
      </c>
      <c r="O1070" s="29" t="inlineStr">
        <is>
          <t>0.0</t>
        </is>
      </c>
      <c r="P1070" s="29" t="inlineStr">
        <is>
          <t>KRW</t>
        </is>
      </c>
      <c r="Q1070" s="29" t="inlineStr">
        <is>
          <t>11</t>
        </is>
      </c>
    </row>
    <row r="1071" ht="24" customHeight="1">
      <c r="A1071" s="24" t="inlineStr">
        <is>
          <t>OpenDART_fnlttSinglAcntAll</t>
        </is>
      </c>
      <c r="B1071" s="24" t="inlineStr">
        <is>
          <t>00161383</t>
        </is>
      </c>
      <c r="C1071" s="24" t="inlineStr">
        <is>
          <t>한미반도체</t>
        </is>
      </c>
      <c r="D1071" s="24" t="inlineStr">
        <is>
          <t>hanmi</t>
        </is>
      </c>
      <c r="E1071" s="24" t="inlineStr">
        <is>
          <t>042700</t>
        </is>
      </c>
      <c r="F1071" s="24" t="inlineStr">
        <is>
          <t>2025</t>
        </is>
      </c>
      <c r="G1071" s="24" t="inlineStr">
        <is>
          <t>CFS</t>
        </is>
      </c>
      <c r="H1071" s="24" t="inlineStr">
        <is>
          <t>SCE</t>
        </is>
      </c>
      <c r="I1071" s="24" t="inlineStr">
        <is>
          <t>자본변동표</t>
        </is>
      </c>
      <c r="J1071" s="24" t="inlineStr">
        <is>
          <t>ifrs-full_GainsLossesOnExchangeDifferencesOnTranslationNetOfTax</t>
        </is>
      </c>
      <c r="K1071" s="24" t="inlineStr">
        <is>
          <t>해외사업장환산외환차이(세후기타포괄손익)</t>
        </is>
      </c>
      <c r="L1071" s="24" t="inlineStr">
        <is>
          <t>자본 [구성요소]|지배기업의 소유주에게 귀속되는 지분 [구성요소]|자본금 [구성요소]</t>
        </is>
      </c>
      <c r="M1071" s="24" t="inlineStr">
        <is>
          <t>제 46 기</t>
        </is>
      </c>
      <c r="N1071" s="24" t="inlineStr">
        <is>
          <t>0.0</t>
        </is>
      </c>
      <c r="O1071" s="24" t="inlineStr">
        <is>
          <t>0.0</t>
        </is>
      </c>
      <c r="P1071" s="24" t="inlineStr">
        <is>
          <t>KRW</t>
        </is>
      </c>
      <c r="Q1071" s="24" t="inlineStr">
        <is>
          <t>11</t>
        </is>
      </c>
    </row>
    <row r="1072" ht="24" customHeight="1">
      <c r="A1072" s="29" t="inlineStr">
        <is>
          <t>OpenDART_fnlttSinglAcntAll</t>
        </is>
      </c>
      <c r="B1072" s="29" t="inlineStr">
        <is>
          <t>00161383</t>
        </is>
      </c>
      <c r="C1072" s="29" t="inlineStr">
        <is>
          <t>한미반도체</t>
        </is>
      </c>
      <c r="D1072" s="29" t="inlineStr">
        <is>
          <t>hanmi</t>
        </is>
      </c>
      <c r="E1072" s="29" t="inlineStr">
        <is>
          <t>042700</t>
        </is>
      </c>
      <c r="F1072" s="29" t="inlineStr">
        <is>
          <t>2025</t>
        </is>
      </c>
      <c r="G1072" s="29" t="inlineStr">
        <is>
          <t>CFS</t>
        </is>
      </c>
      <c r="H1072" s="29" t="inlineStr">
        <is>
          <t>SCE</t>
        </is>
      </c>
      <c r="I1072" s="29" t="inlineStr">
        <is>
          <t>자본변동표</t>
        </is>
      </c>
      <c r="J1072" s="29" t="inlineStr">
        <is>
          <t>ifrs-full_GainsLossesOnExchangeDifferencesOnTranslationNetOfTax</t>
        </is>
      </c>
      <c r="K1072" s="29" t="inlineStr">
        <is>
          <t>해외사업장환산외환차이(세후기타포괄손익)</t>
        </is>
      </c>
      <c r="L1072" s="29" t="inlineStr">
        <is>
          <t>자본 [구성요소]|지배기업의 소유주에게 귀속되는 지분 [구성요소]|이익잉여금 [구성요소]</t>
        </is>
      </c>
      <c r="M1072" s="29" t="inlineStr">
        <is>
          <t>제 46 기</t>
        </is>
      </c>
      <c r="N1072" s="29" t="inlineStr">
        <is>
          <t>0.0</t>
        </is>
      </c>
      <c r="O1072" s="29" t="inlineStr">
        <is>
          <t>0.0</t>
        </is>
      </c>
      <c r="P1072" s="29" t="inlineStr">
        <is>
          <t>KRW</t>
        </is>
      </c>
      <c r="Q1072" s="29" t="inlineStr">
        <is>
          <t>11</t>
        </is>
      </c>
    </row>
    <row r="1073" ht="24" customHeight="1">
      <c r="A1073" s="24" t="inlineStr">
        <is>
          <t>OpenDART_fnlttSinglAcntAll</t>
        </is>
      </c>
      <c r="B1073" s="24" t="inlineStr">
        <is>
          <t>00161383</t>
        </is>
      </c>
      <c r="C1073" s="24" t="inlineStr">
        <is>
          <t>한미반도체</t>
        </is>
      </c>
      <c r="D1073" s="24" t="inlineStr">
        <is>
          <t>hanmi</t>
        </is>
      </c>
      <c r="E1073" s="24" t="inlineStr">
        <is>
          <t>042700</t>
        </is>
      </c>
      <c r="F1073" s="24" t="inlineStr">
        <is>
          <t>2025</t>
        </is>
      </c>
      <c r="G1073" s="24" t="inlineStr">
        <is>
          <t>CFS</t>
        </is>
      </c>
      <c r="H1073" s="24" t="inlineStr">
        <is>
          <t>SCE</t>
        </is>
      </c>
      <c r="I1073" s="24" t="inlineStr">
        <is>
          <t>자본변동표</t>
        </is>
      </c>
      <c r="J1073" s="24" t="inlineStr">
        <is>
          <t>ifrs-full_GainsLossesOnExchangeDifferencesOnTranslationNetOfTax</t>
        </is>
      </c>
      <c r="K1073" s="24" t="inlineStr">
        <is>
          <t>해외사업장환산외환차이(세후기타포괄손익)</t>
        </is>
      </c>
      <c r="L1073" s="24" t="inlineStr">
        <is>
          <t>자본 [구성요소]|지배기업의 소유주에게 귀속되는 지분 [구성요소]|기타포괄손익누계액 [구성요소]</t>
        </is>
      </c>
      <c r="M1073" s="24" t="inlineStr">
        <is>
          <t>제 46 기</t>
        </is>
      </c>
      <c r="N1073" s="24" t="inlineStr">
        <is>
          <t>146597275.0</t>
        </is>
      </c>
      <c r="O1073" s="24" t="inlineStr">
        <is>
          <t>240631470.0</t>
        </is>
      </c>
      <c r="P1073" s="24" t="inlineStr">
        <is>
          <t>KRW</t>
        </is>
      </c>
      <c r="Q1073" s="24" t="inlineStr">
        <is>
          <t>11</t>
        </is>
      </c>
    </row>
    <row r="1074" ht="24" customHeight="1">
      <c r="A1074" s="29" t="inlineStr">
        <is>
          <t>OpenDART_fnlttSinglAcntAll</t>
        </is>
      </c>
      <c r="B1074" s="29" t="inlineStr">
        <is>
          <t>00161383</t>
        </is>
      </c>
      <c r="C1074" s="29" t="inlineStr">
        <is>
          <t>한미반도체</t>
        </is>
      </c>
      <c r="D1074" s="29" t="inlineStr">
        <is>
          <t>hanmi</t>
        </is>
      </c>
      <c r="E1074" s="29" t="inlineStr">
        <is>
          <t>042700</t>
        </is>
      </c>
      <c r="F1074" s="29" t="inlineStr">
        <is>
          <t>2025</t>
        </is>
      </c>
      <c r="G1074" s="29" t="inlineStr">
        <is>
          <t>CFS</t>
        </is>
      </c>
      <c r="H1074" s="29" t="inlineStr">
        <is>
          <t>SCE</t>
        </is>
      </c>
      <c r="I1074" s="29" t="inlineStr">
        <is>
          <t>자본변동표</t>
        </is>
      </c>
      <c r="J1074" s="29" t="inlineStr">
        <is>
          <t>ifrs-full_GainsLossesOnExchangeDifferencesOnTranslationNetOfTax</t>
        </is>
      </c>
      <c r="K1074" s="29" t="inlineStr">
        <is>
          <t>해외사업장환산외환차이(세후기타포괄손익)</t>
        </is>
      </c>
      <c r="L1074" s="29" t="inlineStr">
        <is>
          <t>자본 [구성요소]|지배기업의 소유주에게 귀속되는 지분 [구성요소]|자본잉여금 [구성요소]</t>
        </is>
      </c>
      <c r="M1074" s="29" t="inlineStr">
        <is>
          <t>제 46 기</t>
        </is>
      </c>
      <c r="N1074" s="29" t="inlineStr">
        <is>
          <t>0.0</t>
        </is>
      </c>
      <c r="O1074" s="29" t="inlineStr">
        <is>
          <t>0.0</t>
        </is>
      </c>
      <c r="P1074" s="29" t="inlineStr">
        <is>
          <t>KRW</t>
        </is>
      </c>
      <c r="Q1074" s="29" t="inlineStr">
        <is>
          <t>11</t>
        </is>
      </c>
    </row>
    <row r="1075" ht="24" customHeight="1">
      <c r="A1075" s="24" t="inlineStr">
        <is>
          <t>OpenDART_fnlttSinglAcntAll</t>
        </is>
      </c>
      <c r="B1075" s="24" t="inlineStr">
        <is>
          <t>00161383</t>
        </is>
      </c>
      <c r="C1075" s="24" t="inlineStr">
        <is>
          <t>한미반도체</t>
        </is>
      </c>
      <c r="D1075" s="24" t="inlineStr">
        <is>
          <t>hanmi</t>
        </is>
      </c>
      <c r="E1075" s="24" t="inlineStr">
        <is>
          <t>042700</t>
        </is>
      </c>
      <c r="F1075" s="24" t="inlineStr">
        <is>
          <t>2025</t>
        </is>
      </c>
      <c r="G1075" s="24" t="inlineStr">
        <is>
          <t>CFS</t>
        </is>
      </c>
      <c r="H1075" s="24" t="inlineStr">
        <is>
          <t>SCE</t>
        </is>
      </c>
      <c r="I1075" s="24" t="inlineStr">
        <is>
          <t>자본변동표</t>
        </is>
      </c>
      <c r="J1075" s="24" t="inlineStr">
        <is>
          <t>ifrs-full_IncreaseDecreaseThroughSharebasedPaymentTransactions</t>
        </is>
      </c>
      <c r="K1075" s="24" t="inlineStr">
        <is>
          <t>주식기준보상거래에 따른 증가(감소), 지분</t>
        </is>
      </c>
      <c r="L1075" s="24" t="inlineStr">
        <is>
          <t>자본 [구성요소]|지배기업의 소유주에게 귀속되는 지분 [구성요소]</t>
        </is>
      </c>
      <c r="M1075" s="24" t="inlineStr">
        <is>
          <t>제 46 기</t>
        </is>
      </c>
      <c r="N1075" s="24" t="inlineStr">
        <is>
          <t>12460148207.0</t>
        </is>
      </c>
      <c r="O1075" s="24" t="inlineStr">
        <is>
          <t>10249119876.0</t>
        </is>
      </c>
      <c r="P1075" s="24" t="inlineStr">
        <is>
          <t>KRW</t>
        </is>
      </c>
      <c r="Q1075" s="24" t="inlineStr">
        <is>
          <t>12</t>
        </is>
      </c>
    </row>
    <row r="1076" ht="24" customHeight="1">
      <c r="A1076" s="29" t="inlineStr">
        <is>
          <t>OpenDART_fnlttSinglAcntAll</t>
        </is>
      </c>
      <c r="B1076" s="29" t="inlineStr">
        <is>
          <t>00161383</t>
        </is>
      </c>
      <c r="C1076" s="29" t="inlineStr">
        <is>
          <t>한미반도체</t>
        </is>
      </c>
      <c r="D1076" s="29" t="inlineStr">
        <is>
          <t>hanmi</t>
        </is>
      </c>
      <c r="E1076" s="29" t="inlineStr">
        <is>
          <t>042700</t>
        </is>
      </c>
      <c r="F1076" s="29" t="inlineStr">
        <is>
          <t>2025</t>
        </is>
      </c>
      <c r="G1076" s="29" t="inlineStr">
        <is>
          <t>CFS</t>
        </is>
      </c>
      <c r="H1076" s="29" t="inlineStr">
        <is>
          <t>SCE</t>
        </is>
      </c>
      <c r="I1076" s="29" t="inlineStr">
        <is>
          <t>자본변동표</t>
        </is>
      </c>
      <c r="J1076" s="29" t="inlineStr">
        <is>
          <t>ifrs-full_IncreaseDecreaseThroughSharebasedPaymentTransactions</t>
        </is>
      </c>
      <c r="K1076" s="29" t="inlineStr">
        <is>
          <t>주식기준보상거래에 따른 증가(감소), 지분</t>
        </is>
      </c>
      <c r="L1076" s="29" t="inlineStr">
        <is>
          <t>자본 [구성요소]|지배기업의 소유주에게 귀속되는 지분 [구성요소]|기타자본구성요소 [구성요소]</t>
        </is>
      </c>
      <c r="M1076" s="29" t="inlineStr">
        <is>
          <t>제 46 기</t>
        </is>
      </c>
      <c r="N1076" s="29" t="inlineStr">
        <is>
          <t>12460148207.0</t>
        </is>
      </c>
      <c r="O1076" s="29" t="inlineStr">
        <is>
          <t>10249119876.0</t>
        </is>
      </c>
      <c r="P1076" s="29" t="inlineStr">
        <is>
          <t>KRW</t>
        </is>
      </c>
      <c r="Q1076" s="29" t="inlineStr">
        <is>
          <t>12</t>
        </is>
      </c>
    </row>
    <row r="1077" ht="24" customHeight="1">
      <c r="A1077" s="24" t="inlineStr">
        <is>
          <t>OpenDART_fnlttSinglAcntAll</t>
        </is>
      </c>
      <c r="B1077" s="24" t="inlineStr">
        <is>
          <t>00161383</t>
        </is>
      </c>
      <c r="C1077" s="24" t="inlineStr">
        <is>
          <t>한미반도체</t>
        </is>
      </c>
      <c r="D1077" s="24" t="inlineStr">
        <is>
          <t>hanmi</t>
        </is>
      </c>
      <c r="E1077" s="24" t="inlineStr">
        <is>
          <t>042700</t>
        </is>
      </c>
      <c r="F1077" s="24" t="inlineStr">
        <is>
          <t>2025</t>
        </is>
      </c>
      <c r="G1077" s="24" t="inlineStr">
        <is>
          <t>CFS</t>
        </is>
      </c>
      <c r="H1077" s="24" t="inlineStr">
        <is>
          <t>SCE</t>
        </is>
      </c>
      <c r="I1077" s="24" t="inlineStr">
        <is>
          <t>자본변동표</t>
        </is>
      </c>
      <c r="J1077" s="24" t="inlineStr">
        <is>
          <t>ifrs-full_IncreaseDecreaseThroughSharebasedPaymentTransactions</t>
        </is>
      </c>
      <c r="K1077" s="24" t="inlineStr">
        <is>
          <t>주식기준보상거래에 따른 증가(감소), 지분</t>
        </is>
      </c>
      <c r="L1077" s="24" t="inlineStr">
        <is>
          <t>자본 [구성요소]|지배기업의 소유주에게 귀속되는 지분 [구성요소]|기타포괄손익누계액 [구성요소]</t>
        </is>
      </c>
      <c r="M1077" s="24" t="inlineStr">
        <is>
          <t>제 46 기</t>
        </is>
      </c>
      <c r="N1077" s="24" t="inlineStr">
        <is>
          <t>0.0</t>
        </is>
      </c>
      <c r="O1077" s="24" t="inlineStr">
        <is>
          <t>0.0</t>
        </is>
      </c>
      <c r="P1077" s="24" t="inlineStr">
        <is>
          <t>KRW</t>
        </is>
      </c>
      <c r="Q1077" s="24" t="inlineStr">
        <is>
          <t>12</t>
        </is>
      </c>
    </row>
    <row r="1078" ht="24" customHeight="1">
      <c r="A1078" s="29" t="inlineStr">
        <is>
          <t>OpenDART_fnlttSinglAcntAll</t>
        </is>
      </c>
      <c r="B1078" s="29" t="inlineStr">
        <is>
          <t>00161383</t>
        </is>
      </c>
      <c r="C1078" s="29" t="inlineStr">
        <is>
          <t>한미반도체</t>
        </is>
      </c>
      <c r="D1078" s="29" t="inlineStr">
        <is>
          <t>hanmi</t>
        </is>
      </c>
      <c r="E1078" s="29" t="inlineStr">
        <is>
          <t>042700</t>
        </is>
      </c>
      <c r="F1078" s="29" t="inlineStr">
        <is>
          <t>2025</t>
        </is>
      </c>
      <c r="G1078" s="29" t="inlineStr">
        <is>
          <t>CFS</t>
        </is>
      </c>
      <c r="H1078" s="29" t="inlineStr">
        <is>
          <t>SCE</t>
        </is>
      </c>
      <c r="I1078" s="29" t="inlineStr">
        <is>
          <t>자본변동표</t>
        </is>
      </c>
      <c r="J1078" s="29" t="inlineStr">
        <is>
          <t>ifrs-full_IncreaseDecreaseThroughSharebasedPaymentTransactions</t>
        </is>
      </c>
      <c r="K1078" s="29" t="inlineStr">
        <is>
          <t>주식기준보상거래에 따른 증가(감소), 지분</t>
        </is>
      </c>
      <c r="L1078" s="29" t="inlineStr">
        <is>
          <t>자본 [구성요소]|지배기업의 소유주에게 귀속되는 지분 [구성요소]|이익잉여금 [구성요소]</t>
        </is>
      </c>
      <c r="M1078" s="29" t="inlineStr">
        <is>
          <t>제 46 기</t>
        </is>
      </c>
      <c r="N1078" s="29" t="inlineStr">
        <is>
          <t>0.0</t>
        </is>
      </c>
      <c r="O1078" s="29" t="inlineStr">
        <is>
          <t>0.0</t>
        </is>
      </c>
      <c r="P1078" s="29" t="inlineStr">
        <is>
          <t>KRW</t>
        </is>
      </c>
      <c r="Q1078" s="29" t="inlineStr">
        <is>
          <t>12</t>
        </is>
      </c>
    </row>
    <row r="1079" ht="24" customHeight="1">
      <c r="A1079" s="24" t="inlineStr">
        <is>
          <t>OpenDART_fnlttSinglAcntAll</t>
        </is>
      </c>
      <c r="B1079" s="24" t="inlineStr">
        <is>
          <t>00161383</t>
        </is>
      </c>
      <c r="C1079" s="24" t="inlineStr">
        <is>
          <t>한미반도체</t>
        </is>
      </c>
      <c r="D1079" s="24" t="inlineStr">
        <is>
          <t>hanmi</t>
        </is>
      </c>
      <c r="E1079" s="24" t="inlineStr">
        <is>
          <t>042700</t>
        </is>
      </c>
      <c r="F1079" s="24" t="inlineStr">
        <is>
          <t>2025</t>
        </is>
      </c>
      <c r="G1079" s="24" t="inlineStr">
        <is>
          <t>CFS</t>
        </is>
      </c>
      <c r="H1079" s="24" t="inlineStr">
        <is>
          <t>SCE</t>
        </is>
      </c>
      <c r="I1079" s="24" t="inlineStr">
        <is>
          <t>자본변동표</t>
        </is>
      </c>
      <c r="J1079" s="24" t="inlineStr">
        <is>
          <t>ifrs-full_IncreaseDecreaseThroughSharebasedPaymentTransactions</t>
        </is>
      </c>
      <c r="K1079" s="24" t="inlineStr">
        <is>
          <t>주식기준보상거래에 따른 증가(감소), 지분</t>
        </is>
      </c>
      <c r="L1079" s="24" t="inlineStr">
        <is>
          <t>자본 [구성요소]|지배기업의 소유주에게 귀속되는 지분 [구성요소]|자본금 [구성요소]</t>
        </is>
      </c>
      <c r="M1079" s="24" t="inlineStr">
        <is>
          <t>제 46 기</t>
        </is>
      </c>
      <c r="N1079" s="24" t="inlineStr">
        <is>
          <t>0.0</t>
        </is>
      </c>
      <c r="O1079" s="24" t="inlineStr">
        <is>
          <t>0.0</t>
        </is>
      </c>
      <c r="P1079" s="24" t="inlineStr">
        <is>
          <t>KRW</t>
        </is>
      </c>
      <c r="Q1079" s="24" t="inlineStr">
        <is>
          <t>12</t>
        </is>
      </c>
    </row>
    <row r="1080" ht="24" customHeight="1">
      <c r="A1080" s="29" t="inlineStr">
        <is>
          <t>OpenDART_fnlttSinglAcntAll</t>
        </is>
      </c>
      <c r="B1080" s="29" t="inlineStr">
        <is>
          <t>00161383</t>
        </is>
      </c>
      <c r="C1080" s="29" t="inlineStr">
        <is>
          <t>한미반도체</t>
        </is>
      </c>
      <c r="D1080" s="29" t="inlineStr">
        <is>
          <t>hanmi</t>
        </is>
      </c>
      <c r="E1080" s="29" t="inlineStr">
        <is>
          <t>042700</t>
        </is>
      </c>
      <c r="F1080" s="29" t="inlineStr">
        <is>
          <t>2025</t>
        </is>
      </c>
      <c r="G1080" s="29" t="inlineStr">
        <is>
          <t>CFS</t>
        </is>
      </c>
      <c r="H1080" s="29" t="inlineStr">
        <is>
          <t>SCE</t>
        </is>
      </c>
      <c r="I1080" s="29" t="inlineStr">
        <is>
          <t>자본변동표</t>
        </is>
      </c>
      <c r="J1080" s="29" t="inlineStr">
        <is>
          <t>ifrs-full_IncreaseDecreaseThroughSharebasedPaymentTransactions</t>
        </is>
      </c>
      <c r="K1080" s="29" t="inlineStr">
        <is>
          <t>주식기준보상거래에 따른 증가(감소), 지분</t>
        </is>
      </c>
      <c r="L1080" s="29" t="inlineStr">
        <is>
          <t>자본 [구성요소]|지배기업의 소유주에게 귀속되는 지분 [구성요소]|자본잉여금 [구성요소]</t>
        </is>
      </c>
      <c r="M1080" s="29" t="inlineStr">
        <is>
          <t>제 46 기</t>
        </is>
      </c>
      <c r="N1080" s="29" t="inlineStr">
        <is>
          <t>0.0</t>
        </is>
      </c>
      <c r="O1080" s="29" t="inlineStr">
        <is>
          <t>0.0</t>
        </is>
      </c>
      <c r="P1080" s="29" t="inlineStr">
        <is>
          <t>KRW</t>
        </is>
      </c>
      <c r="Q1080" s="29" t="inlineStr">
        <is>
          <t>12</t>
        </is>
      </c>
    </row>
    <row r="1081" ht="24" customHeight="1">
      <c r="A1081" s="24" t="inlineStr">
        <is>
          <t>OpenDART_fnlttSinglAcntAll</t>
        </is>
      </c>
      <c r="B1081" s="24" t="inlineStr">
        <is>
          <t>00161383</t>
        </is>
      </c>
      <c r="C1081" s="24" t="inlineStr">
        <is>
          <t>한미반도체</t>
        </is>
      </c>
      <c r="D1081" s="24" t="inlineStr">
        <is>
          <t>hanmi</t>
        </is>
      </c>
      <c r="E1081" s="24" t="inlineStr">
        <is>
          <t>042700</t>
        </is>
      </c>
      <c r="F1081" s="24" t="inlineStr">
        <is>
          <t>2025</t>
        </is>
      </c>
      <c r="G1081" s="24" t="inlineStr">
        <is>
          <t>CFS</t>
        </is>
      </c>
      <c r="H1081" s="24" t="inlineStr">
        <is>
          <t>SCE</t>
        </is>
      </c>
      <c r="I1081" s="24" t="inlineStr">
        <is>
          <t>자본변동표</t>
        </is>
      </c>
      <c r="J1081" s="24" t="inlineStr">
        <is>
          <t>ifrs-full_IncreaseDecreaseThroughSharebasedPaymentTransactions</t>
        </is>
      </c>
      <c r="K1081" s="24" t="inlineStr">
        <is>
          <t>주식기준보상거래에 따른 증가(감소), 지분</t>
        </is>
      </c>
      <c r="L1081" s="24" t="inlineStr">
        <is>
          <t>연결재무제표 [member]</t>
        </is>
      </c>
      <c r="M1081" s="24" t="inlineStr">
        <is>
          <t>제 46 기</t>
        </is>
      </c>
      <c r="N1081" s="24" t="inlineStr">
        <is>
          <t>12460148207.0</t>
        </is>
      </c>
      <c r="O1081" s="24" t="inlineStr">
        <is>
          <t>10249119876.0</t>
        </is>
      </c>
      <c r="P1081" s="24" t="inlineStr">
        <is>
          <t>KRW</t>
        </is>
      </c>
      <c r="Q1081" s="24" t="inlineStr">
        <is>
          <t>12</t>
        </is>
      </c>
    </row>
    <row r="1082" ht="24" customHeight="1">
      <c r="A1082" s="29" t="inlineStr">
        <is>
          <t>OpenDART_fnlttSinglAcntAll</t>
        </is>
      </c>
      <c r="B1082" s="29" t="inlineStr">
        <is>
          <t>00161383</t>
        </is>
      </c>
      <c r="C1082" s="29" t="inlineStr">
        <is>
          <t>한미반도체</t>
        </is>
      </c>
      <c r="D1082" s="29" t="inlineStr">
        <is>
          <t>hanmi</t>
        </is>
      </c>
      <c r="E1082" s="29" t="inlineStr">
        <is>
          <t>042700</t>
        </is>
      </c>
      <c r="F1082" s="29" t="inlineStr">
        <is>
          <t>2025</t>
        </is>
      </c>
      <c r="G1082" s="29" t="inlineStr">
        <is>
          <t>CFS</t>
        </is>
      </c>
      <c r="H1082" s="29" t="inlineStr">
        <is>
          <t>SCE</t>
        </is>
      </c>
      <c r="I1082" s="29" t="inlineStr">
        <is>
          <t>자본변동표</t>
        </is>
      </c>
      <c r="J1082" s="29" t="inlineStr">
        <is>
          <t>ifrs-full_OtherComprehensiveIncomeNetOfTaxGainsLossesOnRemeasurementsOfDefinedBenefitPlans</t>
        </is>
      </c>
      <c r="K1082" s="29" t="inlineStr">
        <is>
          <t>확정급여제도의 재측정손익(세후기타포괄손익)</t>
        </is>
      </c>
      <c r="L1082" s="29" t="inlineStr">
        <is>
          <t>자본 [구성요소]|지배기업의 소유주에게 귀속되는 지분 [구성요소]|기타자본구성요소 [구성요소]</t>
        </is>
      </c>
      <c r="M1082" s="29" t="inlineStr">
        <is>
          <t>제 46 기</t>
        </is>
      </c>
      <c r="N1082" s="29" t="inlineStr">
        <is>
          <t>0.0</t>
        </is>
      </c>
      <c r="O1082" s="29" t="inlineStr">
        <is>
          <t>0.0</t>
        </is>
      </c>
      <c r="P1082" s="29" t="inlineStr">
        <is>
          <t>KRW</t>
        </is>
      </c>
      <c r="Q1082" s="29" t="inlineStr">
        <is>
          <t>13</t>
        </is>
      </c>
    </row>
    <row r="1083" ht="24" customHeight="1">
      <c r="A1083" s="24" t="inlineStr">
        <is>
          <t>OpenDART_fnlttSinglAcntAll</t>
        </is>
      </c>
      <c r="B1083" s="24" t="inlineStr">
        <is>
          <t>00161383</t>
        </is>
      </c>
      <c r="C1083" s="24" t="inlineStr">
        <is>
          <t>한미반도체</t>
        </is>
      </c>
      <c r="D1083" s="24" t="inlineStr">
        <is>
          <t>hanmi</t>
        </is>
      </c>
      <c r="E1083" s="24" t="inlineStr">
        <is>
          <t>042700</t>
        </is>
      </c>
      <c r="F1083" s="24" t="inlineStr">
        <is>
          <t>2025</t>
        </is>
      </c>
      <c r="G1083" s="24" t="inlineStr">
        <is>
          <t>CFS</t>
        </is>
      </c>
      <c r="H1083" s="24" t="inlineStr">
        <is>
          <t>SCE</t>
        </is>
      </c>
      <c r="I1083" s="24" t="inlineStr">
        <is>
          <t>자본변동표</t>
        </is>
      </c>
      <c r="J1083" s="24" t="inlineStr">
        <is>
          <t>ifrs-full_OtherComprehensiveIncomeNetOfTaxGainsLossesOnRemeasurementsOfDefinedBenefitPlans</t>
        </is>
      </c>
      <c r="K1083" s="24" t="inlineStr">
        <is>
          <t>확정급여제도의 재측정손익(세후기타포괄손익)</t>
        </is>
      </c>
      <c r="L1083" s="24" t="inlineStr">
        <is>
          <t>자본 [구성요소]|지배기업의 소유주에게 귀속되는 지분 [구성요소]</t>
        </is>
      </c>
      <c r="M1083" s="24" t="inlineStr">
        <is>
          <t>제 46 기</t>
        </is>
      </c>
      <c r="N1083" s="24" t="inlineStr">
        <is>
          <t>-1146661778.0</t>
        </is>
      </c>
      <c r="O1083" s="24" t="inlineStr">
        <is>
          <t>-2354788285.0</t>
        </is>
      </c>
      <c r="P1083" s="24" t="inlineStr">
        <is>
          <t>KRW</t>
        </is>
      </c>
      <c r="Q1083" s="24" t="inlineStr">
        <is>
          <t>13</t>
        </is>
      </c>
    </row>
    <row r="1084" ht="24" customHeight="1">
      <c r="A1084" s="29" t="inlineStr">
        <is>
          <t>OpenDART_fnlttSinglAcntAll</t>
        </is>
      </c>
      <c r="B1084" s="29" t="inlineStr">
        <is>
          <t>00161383</t>
        </is>
      </c>
      <c r="C1084" s="29" t="inlineStr">
        <is>
          <t>한미반도체</t>
        </is>
      </c>
      <c r="D1084" s="29" t="inlineStr">
        <is>
          <t>hanmi</t>
        </is>
      </c>
      <c r="E1084" s="29" t="inlineStr">
        <is>
          <t>042700</t>
        </is>
      </c>
      <c r="F1084" s="29" t="inlineStr">
        <is>
          <t>2025</t>
        </is>
      </c>
      <c r="G1084" s="29" t="inlineStr">
        <is>
          <t>CFS</t>
        </is>
      </c>
      <c r="H1084" s="29" t="inlineStr">
        <is>
          <t>SCE</t>
        </is>
      </c>
      <c r="I1084" s="29" t="inlineStr">
        <is>
          <t>자본변동표</t>
        </is>
      </c>
      <c r="J1084" s="29" t="inlineStr">
        <is>
          <t>ifrs-full_OtherComprehensiveIncomeNetOfTaxGainsLossesOnRemeasurementsOfDefinedBenefitPlans</t>
        </is>
      </c>
      <c r="K1084" s="29" t="inlineStr">
        <is>
          <t>확정급여제도의 재측정손익(세후기타포괄손익)</t>
        </is>
      </c>
      <c r="L1084" s="29" t="inlineStr">
        <is>
          <t>연결재무제표 [member]</t>
        </is>
      </c>
      <c r="M1084" s="29" t="inlineStr">
        <is>
          <t>제 46 기</t>
        </is>
      </c>
      <c r="N1084" s="29" t="inlineStr">
        <is>
          <t>-1146661778.0</t>
        </is>
      </c>
      <c r="O1084" s="29" t="inlineStr">
        <is>
          <t>-2354788285.0</t>
        </is>
      </c>
      <c r="P1084" s="29" t="inlineStr">
        <is>
          <t>KRW</t>
        </is>
      </c>
      <c r="Q1084" s="29" t="inlineStr">
        <is>
          <t>13</t>
        </is>
      </c>
    </row>
    <row r="1085" ht="24" customHeight="1">
      <c r="A1085" s="24" t="inlineStr">
        <is>
          <t>OpenDART_fnlttSinglAcntAll</t>
        </is>
      </c>
      <c r="B1085" s="24" t="inlineStr">
        <is>
          <t>00161383</t>
        </is>
      </c>
      <c r="C1085" s="24" t="inlineStr">
        <is>
          <t>한미반도체</t>
        </is>
      </c>
      <c r="D1085" s="24" t="inlineStr">
        <is>
          <t>hanmi</t>
        </is>
      </c>
      <c r="E1085" s="24" t="inlineStr">
        <is>
          <t>042700</t>
        </is>
      </c>
      <c r="F1085" s="24" t="inlineStr">
        <is>
          <t>2025</t>
        </is>
      </c>
      <c r="G1085" s="24" t="inlineStr">
        <is>
          <t>CFS</t>
        </is>
      </c>
      <c r="H1085" s="24" t="inlineStr">
        <is>
          <t>SCE</t>
        </is>
      </c>
      <c r="I1085" s="24" t="inlineStr">
        <is>
          <t>자본변동표</t>
        </is>
      </c>
      <c r="J1085" s="24" t="inlineStr">
        <is>
          <t>ifrs-full_OtherComprehensiveIncomeNetOfTaxGainsLossesOnRemeasurementsOfDefinedBenefitPlans</t>
        </is>
      </c>
      <c r="K1085" s="24" t="inlineStr">
        <is>
          <t>확정급여제도의 재측정손익(세후기타포괄손익)</t>
        </is>
      </c>
      <c r="L1085" s="24" t="inlineStr">
        <is>
          <t>자본 [구성요소]|지배기업의 소유주에게 귀속되는 지분 [구성요소]|기타포괄손익누계액 [구성요소]</t>
        </is>
      </c>
      <c r="M1085" s="24" t="inlineStr">
        <is>
          <t>제 46 기</t>
        </is>
      </c>
      <c r="N1085" s="24" t="inlineStr">
        <is>
          <t>0.0</t>
        </is>
      </c>
      <c r="O1085" s="24" t="inlineStr">
        <is>
          <t>0.0</t>
        </is>
      </c>
      <c r="P1085" s="24" t="inlineStr">
        <is>
          <t>KRW</t>
        </is>
      </c>
      <c r="Q1085" s="24" t="inlineStr">
        <is>
          <t>13</t>
        </is>
      </c>
    </row>
    <row r="1086" ht="24" customHeight="1">
      <c r="A1086" s="29" t="inlineStr">
        <is>
          <t>OpenDART_fnlttSinglAcntAll</t>
        </is>
      </c>
      <c r="B1086" s="29" t="inlineStr">
        <is>
          <t>00161383</t>
        </is>
      </c>
      <c r="C1086" s="29" t="inlineStr">
        <is>
          <t>한미반도체</t>
        </is>
      </c>
      <c r="D1086" s="29" t="inlineStr">
        <is>
          <t>hanmi</t>
        </is>
      </c>
      <c r="E1086" s="29" t="inlineStr">
        <is>
          <t>042700</t>
        </is>
      </c>
      <c r="F1086" s="29" t="inlineStr">
        <is>
          <t>2025</t>
        </is>
      </c>
      <c r="G1086" s="29" t="inlineStr">
        <is>
          <t>CFS</t>
        </is>
      </c>
      <c r="H1086" s="29" t="inlineStr">
        <is>
          <t>SCE</t>
        </is>
      </c>
      <c r="I1086" s="29" t="inlineStr">
        <is>
          <t>자본변동표</t>
        </is>
      </c>
      <c r="J1086" s="29" t="inlineStr">
        <is>
          <t>ifrs-full_OtherComprehensiveIncomeNetOfTaxGainsLossesOnRemeasurementsOfDefinedBenefitPlans</t>
        </is>
      </c>
      <c r="K1086" s="29" t="inlineStr">
        <is>
          <t>확정급여제도의 재측정손익(세후기타포괄손익)</t>
        </is>
      </c>
      <c r="L1086" s="29" t="inlineStr">
        <is>
          <t>자본 [구성요소]|지배기업의 소유주에게 귀속되는 지분 [구성요소]|이익잉여금 [구성요소]</t>
        </is>
      </c>
      <c r="M1086" s="29" t="inlineStr">
        <is>
          <t>제 46 기</t>
        </is>
      </c>
      <c r="N1086" s="29" t="inlineStr">
        <is>
          <t>-1146661778.0</t>
        </is>
      </c>
      <c r="O1086" s="29" t="inlineStr">
        <is>
          <t>-2354788285.0</t>
        </is>
      </c>
      <c r="P1086" s="29" t="inlineStr">
        <is>
          <t>KRW</t>
        </is>
      </c>
      <c r="Q1086" s="29" t="inlineStr">
        <is>
          <t>13</t>
        </is>
      </c>
    </row>
    <row r="1087" ht="24" customHeight="1">
      <c r="A1087" s="24" t="inlineStr">
        <is>
          <t>OpenDART_fnlttSinglAcntAll</t>
        </is>
      </c>
      <c r="B1087" s="24" t="inlineStr">
        <is>
          <t>00161383</t>
        </is>
      </c>
      <c r="C1087" s="24" t="inlineStr">
        <is>
          <t>한미반도체</t>
        </is>
      </c>
      <c r="D1087" s="24" t="inlineStr">
        <is>
          <t>hanmi</t>
        </is>
      </c>
      <c r="E1087" s="24" t="inlineStr">
        <is>
          <t>042700</t>
        </is>
      </c>
      <c r="F1087" s="24" t="inlineStr">
        <is>
          <t>2025</t>
        </is>
      </c>
      <c r="G1087" s="24" t="inlineStr">
        <is>
          <t>CFS</t>
        </is>
      </c>
      <c r="H1087" s="24" t="inlineStr">
        <is>
          <t>SCE</t>
        </is>
      </c>
      <c r="I1087" s="24" t="inlineStr">
        <is>
          <t>자본변동표</t>
        </is>
      </c>
      <c r="J1087" s="24" t="inlineStr">
        <is>
          <t>ifrs-full_OtherComprehensiveIncomeNetOfTaxGainsLossesOnRemeasurementsOfDefinedBenefitPlans</t>
        </is>
      </c>
      <c r="K1087" s="24" t="inlineStr">
        <is>
          <t>확정급여제도의 재측정손익(세후기타포괄손익)</t>
        </is>
      </c>
      <c r="L1087" s="24" t="inlineStr">
        <is>
          <t>자본 [구성요소]|지배기업의 소유주에게 귀속되는 지분 [구성요소]|자본금 [구성요소]</t>
        </is>
      </c>
      <c r="M1087" s="24" t="inlineStr">
        <is>
          <t>제 46 기</t>
        </is>
      </c>
      <c r="N1087" s="24" t="inlineStr">
        <is>
          <t>0.0</t>
        </is>
      </c>
      <c r="O1087" s="24" t="inlineStr">
        <is>
          <t>0.0</t>
        </is>
      </c>
      <c r="P1087" s="24" t="inlineStr">
        <is>
          <t>KRW</t>
        </is>
      </c>
      <c r="Q1087" s="24" t="inlineStr">
        <is>
          <t>13</t>
        </is>
      </c>
    </row>
    <row r="1088" ht="24" customHeight="1">
      <c r="A1088" s="29" t="inlineStr">
        <is>
          <t>OpenDART_fnlttSinglAcntAll</t>
        </is>
      </c>
      <c r="B1088" s="29" t="inlineStr">
        <is>
          <t>00161383</t>
        </is>
      </c>
      <c r="C1088" s="29" t="inlineStr">
        <is>
          <t>한미반도체</t>
        </is>
      </c>
      <c r="D1088" s="29" t="inlineStr">
        <is>
          <t>hanmi</t>
        </is>
      </c>
      <c r="E1088" s="29" t="inlineStr">
        <is>
          <t>042700</t>
        </is>
      </c>
      <c r="F1088" s="29" t="inlineStr">
        <is>
          <t>2025</t>
        </is>
      </c>
      <c r="G1088" s="29" t="inlineStr">
        <is>
          <t>CFS</t>
        </is>
      </c>
      <c r="H1088" s="29" t="inlineStr">
        <is>
          <t>SCE</t>
        </is>
      </c>
      <c r="I1088" s="29" t="inlineStr">
        <is>
          <t>자본변동표</t>
        </is>
      </c>
      <c r="J1088" s="29" t="inlineStr">
        <is>
          <t>ifrs-full_OtherComprehensiveIncomeNetOfTaxGainsLossesOnRemeasurementsOfDefinedBenefitPlans</t>
        </is>
      </c>
      <c r="K1088" s="29" t="inlineStr">
        <is>
          <t>확정급여제도의 재측정손익(세후기타포괄손익)</t>
        </is>
      </c>
      <c r="L1088" s="29" t="inlineStr">
        <is>
          <t>자본 [구성요소]|지배기업의 소유주에게 귀속되는 지분 [구성요소]|자본잉여금 [구성요소]</t>
        </is>
      </c>
      <c r="M1088" s="29" t="inlineStr">
        <is>
          <t>제 46 기</t>
        </is>
      </c>
      <c r="N1088" s="29" t="inlineStr">
        <is>
          <t>0.0</t>
        </is>
      </c>
      <c r="O1088" s="29" t="inlineStr">
        <is>
          <t>0.0</t>
        </is>
      </c>
      <c r="P1088" s="29" t="inlineStr">
        <is>
          <t>KRW</t>
        </is>
      </c>
      <c r="Q1088" s="29" t="inlineStr">
        <is>
          <t>13</t>
        </is>
      </c>
    </row>
    <row r="1089" ht="24" customHeight="1">
      <c r="A1089" s="24" t="inlineStr">
        <is>
          <t>OpenDART_fnlttSinglAcntAll</t>
        </is>
      </c>
      <c r="B1089" s="24" t="inlineStr">
        <is>
          <t>00161383</t>
        </is>
      </c>
      <c r="C1089" s="24" t="inlineStr">
        <is>
          <t>한미반도체</t>
        </is>
      </c>
      <c r="D1089" s="24" t="inlineStr">
        <is>
          <t>hanmi</t>
        </is>
      </c>
      <c r="E1089" s="24" t="inlineStr">
        <is>
          <t>042700</t>
        </is>
      </c>
      <c r="F1089" s="24" t="inlineStr">
        <is>
          <t>2025</t>
        </is>
      </c>
      <c r="G1089" s="24" t="inlineStr">
        <is>
          <t>CFS</t>
        </is>
      </c>
      <c r="H1089" s="24" t="inlineStr">
        <is>
          <t>SCE</t>
        </is>
      </c>
      <c r="I1089" s="24" t="inlineStr">
        <is>
          <t>자본변동표</t>
        </is>
      </c>
      <c r="J1089" s="24" t="inlineStr">
        <is>
          <t>ifrs-full_ProfitLoss</t>
        </is>
      </c>
      <c r="K1089" s="24" t="inlineStr">
        <is>
          <t>당기순이익(손실)</t>
        </is>
      </c>
      <c r="L1089" s="24" t="inlineStr">
        <is>
          <t>연결재무제표 [member]</t>
        </is>
      </c>
      <c r="M1089" s="24" t="inlineStr">
        <is>
          <t>제 46 기</t>
        </is>
      </c>
      <c r="N1089" s="24" t="inlineStr">
        <is>
          <t>214007548411.0</t>
        </is>
      </c>
      <c r="O1089" s="24" t="inlineStr">
        <is>
          <t>152614498001.0</t>
        </is>
      </c>
      <c r="P1089" s="24" t="inlineStr">
        <is>
          <t>KRW</t>
        </is>
      </c>
      <c r="Q1089" s="24" t="inlineStr">
        <is>
          <t>14</t>
        </is>
      </c>
    </row>
    <row r="1090" ht="24" customHeight="1">
      <c r="A1090" s="29" t="inlineStr">
        <is>
          <t>OpenDART_fnlttSinglAcntAll</t>
        </is>
      </c>
      <c r="B1090" s="29" t="inlineStr">
        <is>
          <t>00161383</t>
        </is>
      </c>
      <c r="C1090" s="29" t="inlineStr">
        <is>
          <t>한미반도체</t>
        </is>
      </c>
      <c r="D1090" s="29" t="inlineStr">
        <is>
          <t>hanmi</t>
        </is>
      </c>
      <c r="E1090" s="29" t="inlineStr">
        <is>
          <t>042700</t>
        </is>
      </c>
      <c r="F1090" s="29" t="inlineStr">
        <is>
          <t>2025</t>
        </is>
      </c>
      <c r="G1090" s="29" t="inlineStr">
        <is>
          <t>CFS</t>
        </is>
      </c>
      <c r="H1090" s="29" t="inlineStr">
        <is>
          <t>SCE</t>
        </is>
      </c>
      <c r="I1090" s="29" t="inlineStr">
        <is>
          <t>자본변동표</t>
        </is>
      </c>
      <c r="J1090" s="29" t="inlineStr">
        <is>
          <t>ifrs-full_ProfitLoss</t>
        </is>
      </c>
      <c r="K1090" s="29" t="inlineStr">
        <is>
          <t>당기순이익(손실)</t>
        </is>
      </c>
      <c r="L1090" s="29" t="inlineStr">
        <is>
          <t>자본 [구성요소]|지배기업의 소유주에게 귀속되는 지분 [구성요소]</t>
        </is>
      </c>
      <c r="M1090" s="29" t="inlineStr">
        <is>
          <t>제 46 기</t>
        </is>
      </c>
      <c r="N1090" s="29" t="inlineStr">
        <is>
          <t>214007548411.0</t>
        </is>
      </c>
      <c r="O1090" s="29" t="inlineStr">
        <is>
          <t>152614498001.0</t>
        </is>
      </c>
      <c r="P1090" s="29" t="inlineStr">
        <is>
          <t>KRW</t>
        </is>
      </c>
      <c r="Q1090" s="29" t="inlineStr">
        <is>
          <t>14</t>
        </is>
      </c>
    </row>
    <row r="1091" ht="24" customHeight="1">
      <c r="A1091" s="24" t="inlineStr">
        <is>
          <t>OpenDART_fnlttSinglAcntAll</t>
        </is>
      </c>
      <c r="B1091" s="24" t="inlineStr">
        <is>
          <t>00161383</t>
        </is>
      </c>
      <c r="C1091" s="24" t="inlineStr">
        <is>
          <t>한미반도체</t>
        </is>
      </c>
      <c r="D1091" s="24" t="inlineStr">
        <is>
          <t>hanmi</t>
        </is>
      </c>
      <c r="E1091" s="24" t="inlineStr">
        <is>
          <t>042700</t>
        </is>
      </c>
      <c r="F1091" s="24" t="inlineStr">
        <is>
          <t>2025</t>
        </is>
      </c>
      <c r="G1091" s="24" t="inlineStr">
        <is>
          <t>CFS</t>
        </is>
      </c>
      <c r="H1091" s="24" t="inlineStr">
        <is>
          <t>SCE</t>
        </is>
      </c>
      <c r="I1091" s="24" t="inlineStr">
        <is>
          <t>자본변동표</t>
        </is>
      </c>
      <c r="J1091" s="24" t="inlineStr">
        <is>
          <t>ifrs-full_ProfitLoss</t>
        </is>
      </c>
      <c r="K1091" s="24" t="inlineStr">
        <is>
          <t>당기순이익(손실)</t>
        </is>
      </c>
      <c r="L1091" s="24" t="inlineStr">
        <is>
          <t>자본 [구성요소]|지배기업의 소유주에게 귀속되는 지분 [구성요소]|기타자본구성요소 [구성요소]</t>
        </is>
      </c>
      <c r="M1091" s="24" t="inlineStr">
        <is>
          <t>제 46 기</t>
        </is>
      </c>
      <c r="N1091" s="24" t="inlineStr">
        <is>
          <t>0.0</t>
        </is>
      </c>
      <c r="O1091" s="24" t="inlineStr">
        <is>
          <t>0.0</t>
        </is>
      </c>
      <c r="P1091" s="24" t="inlineStr">
        <is>
          <t>KRW</t>
        </is>
      </c>
      <c r="Q1091" s="24" t="inlineStr">
        <is>
          <t>14</t>
        </is>
      </c>
    </row>
    <row r="1092" ht="24" customHeight="1">
      <c r="A1092" s="29" t="inlineStr">
        <is>
          <t>OpenDART_fnlttSinglAcntAll</t>
        </is>
      </c>
      <c r="B1092" s="29" t="inlineStr">
        <is>
          <t>00161383</t>
        </is>
      </c>
      <c r="C1092" s="29" t="inlineStr">
        <is>
          <t>한미반도체</t>
        </is>
      </c>
      <c r="D1092" s="29" t="inlineStr">
        <is>
          <t>hanmi</t>
        </is>
      </c>
      <c r="E1092" s="29" t="inlineStr">
        <is>
          <t>042700</t>
        </is>
      </c>
      <c r="F1092" s="29" t="inlineStr">
        <is>
          <t>2025</t>
        </is>
      </c>
      <c r="G1092" s="29" t="inlineStr">
        <is>
          <t>CFS</t>
        </is>
      </c>
      <c r="H1092" s="29" t="inlineStr">
        <is>
          <t>SCE</t>
        </is>
      </c>
      <c r="I1092" s="29" t="inlineStr">
        <is>
          <t>자본변동표</t>
        </is>
      </c>
      <c r="J1092" s="29" t="inlineStr">
        <is>
          <t>ifrs-full_ProfitLoss</t>
        </is>
      </c>
      <c r="K1092" s="29" t="inlineStr">
        <is>
          <t>당기순이익(손실)</t>
        </is>
      </c>
      <c r="L1092" s="29" t="inlineStr">
        <is>
          <t>자본 [구성요소]|지배기업의 소유주에게 귀속되는 지분 [구성요소]|기타포괄손익누계액 [구성요소]</t>
        </is>
      </c>
      <c r="M1092" s="29" t="inlineStr">
        <is>
          <t>제 46 기</t>
        </is>
      </c>
      <c r="N1092" s="29" t="inlineStr">
        <is>
          <t>0.0</t>
        </is>
      </c>
      <c r="O1092" s="29" t="inlineStr">
        <is>
          <t>0.0</t>
        </is>
      </c>
      <c r="P1092" s="29" t="inlineStr">
        <is>
          <t>KRW</t>
        </is>
      </c>
      <c r="Q1092" s="29" t="inlineStr">
        <is>
          <t>14</t>
        </is>
      </c>
    </row>
    <row r="1093" ht="24" customHeight="1">
      <c r="A1093" s="24" t="inlineStr">
        <is>
          <t>OpenDART_fnlttSinglAcntAll</t>
        </is>
      </c>
      <c r="B1093" s="24" t="inlineStr">
        <is>
          <t>00161383</t>
        </is>
      </c>
      <c r="C1093" s="24" t="inlineStr">
        <is>
          <t>한미반도체</t>
        </is>
      </c>
      <c r="D1093" s="24" t="inlineStr">
        <is>
          <t>hanmi</t>
        </is>
      </c>
      <c r="E1093" s="24" t="inlineStr">
        <is>
          <t>042700</t>
        </is>
      </c>
      <c r="F1093" s="24" t="inlineStr">
        <is>
          <t>2025</t>
        </is>
      </c>
      <c r="G1093" s="24" t="inlineStr">
        <is>
          <t>CFS</t>
        </is>
      </c>
      <c r="H1093" s="24" t="inlineStr">
        <is>
          <t>SCE</t>
        </is>
      </c>
      <c r="I1093" s="24" t="inlineStr">
        <is>
          <t>자본변동표</t>
        </is>
      </c>
      <c r="J1093" s="24" t="inlineStr">
        <is>
          <t>ifrs-full_ProfitLoss</t>
        </is>
      </c>
      <c r="K1093" s="24" t="inlineStr">
        <is>
          <t>당기순이익(손실)</t>
        </is>
      </c>
      <c r="L1093" s="24" t="inlineStr">
        <is>
          <t>자본 [구성요소]|지배기업의 소유주에게 귀속되는 지분 [구성요소]|이익잉여금 [구성요소]</t>
        </is>
      </c>
      <c r="M1093" s="24" t="inlineStr">
        <is>
          <t>제 46 기</t>
        </is>
      </c>
      <c r="N1093" s="24" t="inlineStr">
        <is>
          <t>214007548411.0</t>
        </is>
      </c>
      <c r="O1093" s="24" t="inlineStr">
        <is>
          <t>152614498001.0</t>
        </is>
      </c>
      <c r="P1093" s="24" t="inlineStr">
        <is>
          <t>KRW</t>
        </is>
      </c>
      <c r="Q1093" s="24" t="inlineStr">
        <is>
          <t>14</t>
        </is>
      </c>
    </row>
    <row r="1094" ht="24" customHeight="1">
      <c r="A1094" s="29" t="inlineStr">
        <is>
          <t>OpenDART_fnlttSinglAcntAll</t>
        </is>
      </c>
      <c r="B1094" s="29" t="inlineStr">
        <is>
          <t>00161383</t>
        </is>
      </c>
      <c r="C1094" s="29" t="inlineStr">
        <is>
          <t>한미반도체</t>
        </is>
      </c>
      <c r="D1094" s="29" t="inlineStr">
        <is>
          <t>hanmi</t>
        </is>
      </c>
      <c r="E1094" s="29" t="inlineStr">
        <is>
          <t>042700</t>
        </is>
      </c>
      <c r="F1094" s="29" t="inlineStr">
        <is>
          <t>2025</t>
        </is>
      </c>
      <c r="G1094" s="29" t="inlineStr">
        <is>
          <t>CFS</t>
        </is>
      </c>
      <c r="H1094" s="29" t="inlineStr">
        <is>
          <t>SCE</t>
        </is>
      </c>
      <c r="I1094" s="29" t="inlineStr">
        <is>
          <t>자본변동표</t>
        </is>
      </c>
      <c r="J1094" s="29" t="inlineStr">
        <is>
          <t>ifrs-full_ProfitLoss</t>
        </is>
      </c>
      <c r="K1094" s="29" t="inlineStr">
        <is>
          <t>당기순이익(손실)</t>
        </is>
      </c>
      <c r="L1094" s="29" t="inlineStr">
        <is>
          <t>자본 [구성요소]|지배기업의 소유주에게 귀속되는 지분 [구성요소]|자본금 [구성요소]</t>
        </is>
      </c>
      <c r="M1094" s="29" t="inlineStr">
        <is>
          <t>제 46 기</t>
        </is>
      </c>
      <c r="N1094" s="29" t="inlineStr">
        <is>
          <t>0.0</t>
        </is>
      </c>
      <c r="O1094" s="29" t="inlineStr">
        <is>
          <t>0.0</t>
        </is>
      </c>
      <c r="P1094" s="29" t="inlineStr">
        <is>
          <t>KRW</t>
        </is>
      </c>
      <c r="Q1094" s="29" t="inlineStr">
        <is>
          <t>14</t>
        </is>
      </c>
    </row>
    <row r="1095" ht="24" customHeight="1">
      <c r="A1095" s="24" t="inlineStr">
        <is>
          <t>OpenDART_fnlttSinglAcntAll</t>
        </is>
      </c>
      <c r="B1095" s="24" t="inlineStr">
        <is>
          <t>00161383</t>
        </is>
      </c>
      <c r="C1095" s="24" t="inlineStr">
        <is>
          <t>한미반도체</t>
        </is>
      </c>
      <c r="D1095" s="24" t="inlineStr">
        <is>
          <t>hanmi</t>
        </is>
      </c>
      <c r="E1095" s="24" t="inlineStr">
        <is>
          <t>042700</t>
        </is>
      </c>
      <c r="F1095" s="24" t="inlineStr">
        <is>
          <t>2025</t>
        </is>
      </c>
      <c r="G1095" s="24" t="inlineStr">
        <is>
          <t>CFS</t>
        </is>
      </c>
      <c r="H1095" s="24" t="inlineStr">
        <is>
          <t>SCE</t>
        </is>
      </c>
      <c r="I1095" s="24" t="inlineStr">
        <is>
          <t>자본변동표</t>
        </is>
      </c>
      <c r="J1095" s="24" t="inlineStr">
        <is>
          <t>ifrs-full_ProfitLoss</t>
        </is>
      </c>
      <c r="K1095" s="24" t="inlineStr">
        <is>
          <t>당기순이익(손실)</t>
        </is>
      </c>
      <c r="L1095" s="24" t="inlineStr">
        <is>
          <t>자본 [구성요소]|지배기업의 소유주에게 귀속되는 지분 [구성요소]|자본잉여금 [구성요소]</t>
        </is>
      </c>
      <c r="M1095" s="24" t="inlineStr">
        <is>
          <t>제 46 기</t>
        </is>
      </c>
      <c r="N1095" s="24" t="inlineStr">
        <is>
          <t>0.0</t>
        </is>
      </c>
      <c r="O1095" s="24" t="inlineStr">
        <is>
          <t>0.0</t>
        </is>
      </c>
      <c r="P1095" s="24" t="inlineStr">
        <is>
          <t>KRW</t>
        </is>
      </c>
      <c r="Q1095" s="24" t="inlineStr">
        <is>
          <t>14</t>
        </is>
      </c>
    </row>
    <row r="1096" ht="24" customHeight="1">
      <c r="A1096" s="29" t="inlineStr">
        <is>
          <t>OpenDART_fnlttSinglAcntAll</t>
        </is>
      </c>
      <c r="B1096" s="29" t="inlineStr">
        <is>
          <t>00161383</t>
        </is>
      </c>
      <c r="C1096" s="29" t="inlineStr">
        <is>
          <t>한미반도체</t>
        </is>
      </c>
      <c r="D1096" s="29" t="inlineStr">
        <is>
          <t>hanmi</t>
        </is>
      </c>
      <c r="E1096" s="29" t="inlineStr">
        <is>
          <t>042700</t>
        </is>
      </c>
      <c r="F1096" s="29" t="inlineStr">
        <is>
          <t>2025</t>
        </is>
      </c>
      <c r="G1096" s="29" t="inlineStr">
        <is>
          <t>CFS</t>
        </is>
      </c>
      <c r="H1096" s="29" t="inlineStr">
        <is>
          <t>SCE</t>
        </is>
      </c>
      <c r="I1096" s="29" t="inlineStr">
        <is>
          <t>자본변동표</t>
        </is>
      </c>
      <c r="J1096" s="29" t="inlineStr">
        <is>
          <t>ifrs-full_PurchaseOfTreasuryShares</t>
        </is>
      </c>
      <c r="K1096" s="29" t="inlineStr">
        <is>
          <t>자기주식의 취득</t>
        </is>
      </c>
      <c r="L1096" s="29" t="inlineStr">
        <is>
          <t>자본 [구성요소]|지배기업의 소유주에게 귀속되는 지분 [구성요소]|기타자본구성요소 [구성요소]</t>
        </is>
      </c>
      <c r="M1096" s="29" t="inlineStr">
        <is>
          <t>제 46 기</t>
        </is>
      </c>
      <c r="N1096" s="29" t="inlineStr">
        <is>
          <t>7788213000.0</t>
        </is>
      </c>
      <c r="O1096" s="29" t="inlineStr">
        <is>
          <t>191903694800.0</t>
        </is>
      </c>
      <c r="P1096" s="29" t="inlineStr">
        <is>
          <t>KRW</t>
        </is>
      </c>
      <c r="Q1096" s="29" t="inlineStr">
        <is>
          <t>15</t>
        </is>
      </c>
    </row>
    <row r="1097" ht="24" customHeight="1">
      <c r="A1097" s="24" t="inlineStr">
        <is>
          <t>OpenDART_fnlttSinglAcntAll</t>
        </is>
      </c>
      <c r="B1097" s="24" t="inlineStr">
        <is>
          <t>00161383</t>
        </is>
      </c>
      <c r="C1097" s="24" t="inlineStr">
        <is>
          <t>한미반도체</t>
        </is>
      </c>
      <c r="D1097" s="24" t="inlineStr">
        <is>
          <t>hanmi</t>
        </is>
      </c>
      <c r="E1097" s="24" t="inlineStr">
        <is>
          <t>042700</t>
        </is>
      </c>
      <c r="F1097" s="24" t="inlineStr">
        <is>
          <t>2025</t>
        </is>
      </c>
      <c r="G1097" s="24" t="inlineStr">
        <is>
          <t>CFS</t>
        </is>
      </c>
      <c r="H1097" s="24" t="inlineStr">
        <is>
          <t>SCE</t>
        </is>
      </c>
      <c r="I1097" s="24" t="inlineStr">
        <is>
          <t>자본변동표</t>
        </is>
      </c>
      <c r="J1097" s="24" t="inlineStr">
        <is>
          <t>ifrs-full_PurchaseOfTreasuryShares</t>
        </is>
      </c>
      <c r="K1097" s="24" t="inlineStr">
        <is>
          <t>자기주식의 취득</t>
        </is>
      </c>
      <c r="L1097" s="24" t="inlineStr">
        <is>
          <t>자본 [구성요소]|지배기업의 소유주에게 귀속되는 지분 [구성요소]</t>
        </is>
      </c>
      <c r="M1097" s="24" t="inlineStr">
        <is>
          <t>제 46 기</t>
        </is>
      </c>
      <c r="N1097" s="24" t="inlineStr">
        <is>
          <t>7788213000.0</t>
        </is>
      </c>
      <c r="O1097" s="24" t="inlineStr">
        <is>
          <t>191903694800.0</t>
        </is>
      </c>
      <c r="P1097" s="24" t="inlineStr">
        <is>
          <t>KRW</t>
        </is>
      </c>
      <c r="Q1097" s="24" t="inlineStr">
        <is>
          <t>15</t>
        </is>
      </c>
    </row>
    <row r="1098" ht="24" customHeight="1">
      <c r="A1098" s="29" t="inlineStr">
        <is>
          <t>OpenDART_fnlttSinglAcntAll</t>
        </is>
      </c>
      <c r="B1098" s="29" t="inlineStr">
        <is>
          <t>00161383</t>
        </is>
      </c>
      <c r="C1098" s="29" t="inlineStr">
        <is>
          <t>한미반도체</t>
        </is>
      </c>
      <c r="D1098" s="29" t="inlineStr">
        <is>
          <t>hanmi</t>
        </is>
      </c>
      <c r="E1098" s="29" t="inlineStr">
        <is>
          <t>042700</t>
        </is>
      </c>
      <c r="F1098" s="29" t="inlineStr">
        <is>
          <t>2025</t>
        </is>
      </c>
      <c r="G1098" s="29" t="inlineStr">
        <is>
          <t>CFS</t>
        </is>
      </c>
      <c r="H1098" s="29" t="inlineStr">
        <is>
          <t>SCE</t>
        </is>
      </c>
      <c r="I1098" s="29" t="inlineStr">
        <is>
          <t>자본변동표</t>
        </is>
      </c>
      <c r="J1098" s="29" t="inlineStr">
        <is>
          <t>ifrs-full_PurchaseOfTreasuryShares</t>
        </is>
      </c>
      <c r="K1098" s="29" t="inlineStr">
        <is>
          <t>자기주식의 취득</t>
        </is>
      </c>
      <c r="L1098" s="29" t="inlineStr">
        <is>
          <t>연결재무제표 [member]</t>
        </is>
      </c>
      <c r="M1098" s="29" t="inlineStr">
        <is>
          <t>제 46 기</t>
        </is>
      </c>
      <c r="N1098" s="29" t="inlineStr">
        <is>
          <t>7788213000.0</t>
        </is>
      </c>
      <c r="O1098" s="29" t="inlineStr">
        <is>
          <t>191903694800.0</t>
        </is>
      </c>
      <c r="P1098" s="29" t="inlineStr">
        <is>
          <t>KRW</t>
        </is>
      </c>
      <c r="Q1098" s="29" t="inlineStr">
        <is>
          <t>15</t>
        </is>
      </c>
    </row>
    <row r="1099" ht="24" customHeight="1">
      <c r="A1099" s="24" t="inlineStr">
        <is>
          <t>OpenDART_fnlttSinglAcntAll</t>
        </is>
      </c>
      <c r="B1099" s="24" t="inlineStr">
        <is>
          <t>00161383</t>
        </is>
      </c>
      <c r="C1099" s="24" t="inlineStr">
        <is>
          <t>한미반도체</t>
        </is>
      </c>
      <c r="D1099" s="24" t="inlineStr">
        <is>
          <t>hanmi</t>
        </is>
      </c>
      <c r="E1099" s="24" t="inlineStr">
        <is>
          <t>042700</t>
        </is>
      </c>
      <c r="F1099" s="24" t="inlineStr">
        <is>
          <t>2025</t>
        </is>
      </c>
      <c r="G1099" s="24" t="inlineStr">
        <is>
          <t>CFS</t>
        </is>
      </c>
      <c r="H1099" s="24" t="inlineStr">
        <is>
          <t>SCE</t>
        </is>
      </c>
      <c r="I1099" s="24" t="inlineStr">
        <is>
          <t>자본변동표</t>
        </is>
      </c>
      <c r="J1099" s="24" t="inlineStr">
        <is>
          <t>ifrs-full_PurchaseOfTreasuryShares</t>
        </is>
      </c>
      <c r="K1099" s="24" t="inlineStr">
        <is>
          <t>자기주식의 취득</t>
        </is>
      </c>
      <c r="L1099" s="24" t="inlineStr">
        <is>
          <t>자본 [구성요소]|지배기업의 소유주에게 귀속되는 지분 [구성요소]|기타포괄손익누계액 [구성요소]</t>
        </is>
      </c>
      <c r="M1099" s="24" t="inlineStr">
        <is>
          <t>제 46 기</t>
        </is>
      </c>
      <c r="N1099" s="24" t="inlineStr">
        <is>
          <t>0.0</t>
        </is>
      </c>
      <c r="O1099" s="24" t="inlineStr">
        <is>
          <t>0.0</t>
        </is>
      </c>
      <c r="P1099" s="24" t="inlineStr">
        <is>
          <t>KRW</t>
        </is>
      </c>
      <c r="Q1099" s="24" t="inlineStr">
        <is>
          <t>15</t>
        </is>
      </c>
    </row>
    <row r="1100" ht="24" customHeight="1">
      <c r="A1100" s="29" t="inlineStr">
        <is>
          <t>OpenDART_fnlttSinglAcntAll</t>
        </is>
      </c>
      <c r="B1100" s="29" t="inlineStr">
        <is>
          <t>00161383</t>
        </is>
      </c>
      <c r="C1100" s="29" t="inlineStr">
        <is>
          <t>한미반도체</t>
        </is>
      </c>
      <c r="D1100" s="29" t="inlineStr">
        <is>
          <t>hanmi</t>
        </is>
      </c>
      <c r="E1100" s="29" t="inlineStr">
        <is>
          <t>042700</t>
        </is>
      </c>
      <c r="F1100" s="29" t="inlineStr">
        <is>
          <t>2025</t>
        </is>
      </c>
      <c r="G1100" s="29" t="inlineStr">
        <is>
          <t>CFS</t>
        </is>
      </c>
      <c r="H1100" s="29" t="inlineStr">
        <is>
          <t>SCE</t>
        </is>
      </c>
      <c r="I1100" s="29" t="inlineStr">
        <is>
          <t>자본변동표</t>
        </is>
      </c>
      <c r="J1100" s="29" t="inlineStr">
        <is>
          <t>ifrs-full_PurchaseOfTreasuryShares</t>
        </is>
      </c>
      <c r="K1100" s="29" t="inlineStr">
        <is>
          <t>자기주식의 취득</t>
        </is>
      </c>
      <c r="L1100" s="29" t="inlineStr">
        <is>
          <t>자본 [구성요소]|지배기업의 소유주에게 귀속되는 지분 [구성요소]|자본잉여금 [구성요소]</t>
        </is>
      </c>
      <c r="M1100" s="29" t="inlineStr">
        <is>
          <t>제 46 기</t>
        </is>
      </c>
      <c r="N1100" s="29" t="inlineStr">
        <is>
          <t>0.0</t>
        </is>
      </c>
      <c r="O1100" s="29" t="inlineStr">
        <is>
          <t>0.0</t>
        </is>
      </c>
      <c r="P1100" s="29" t="inlineStr">
        <is>
          <t>KRW</t>
        </is>
      </c>
      <c r="Q1100" s="29" t="inlineStr">
        <is>
          <t>15</t>
        </is>
      </c>
    </row>
    <row r="1101" ht="24" customHeight="1">
      <c r="A1101" s="24" t="inlineStr">
        <is>
          <t>OpenDART_fnlttSinglAcntAll</t>
        </is>
      </c>
      <c r="B1101" s="24" t="inlineStr">
        <is>
          <t>00161383</t>
        </is>
      </c>
      <c r="C1101" s="24" t="inlineStr">
        <is>
          <t>한미반도체</t>
        </is>
      </c>
      <c r="D1101" s="24" t="inlineStr">
        <is>
          <t>hanmi</t>
        </is>
      </c>
      <c r="E1101" s="24" t="inlineStr">
        <is>
          <t>042700</t>
        </is>
      </c>
      <c r="F1101" s="24" t="inlineStr">
        <is>
          <t>2025</t>
        </is>
      </c>
      <c r="G1101" s="24" t="inlineStr">
        <is>
          <t>CFS</t>
        </is>
      </c>
      <c r="H1101" s="24" t="inlineStr">
        <is>
          <t>SCE</t>
        </is>
      </c>
      <c r="I1101" s="24" t="inlineStr">
        <is>
          <t>자본변동표</t>
        </is>
      </c>
      <c r="J1101" s="24" t="inlineStr">
        <is>
          <t>ifrs-full_PurchaseOfTreasuryShares</t>
        </is>
      </c>
      <c r="K1101" s="24" t="inlineStr">
        <is>
          <t>자기주식의 취득</t>
        </is>
      </c>
      <c r="L1101" s="24" t="inlineStr">
        <is>
          <t>자본 [구성요소]|지배기업의 소유주에게 귀속되는 지분 [구성요소]|자본금 [구성요소]</t>
        </is>
      </c>
      <c r="M1101" s="24" t="inlineStr">
        <is>
          <t>제 46 기</t>
        </is>
      </c>
      <c r="N1101" s="24" t="inlineStr">
        <is>
          <t>0.0</t>
        </is>
      </c>
      <c r="O1101" s="24" t="inlineStr">
        <is>
          <t>0.0</t>
        </is>
      </c>
      <c r="P1101" s="24" t="inlineStr">
        <is>
          <t>KRW</t>
        </is>
      </c>
      <c r="Q1101" s="24" t="inlineStr">
        <is>
          <t>15</t>
        </is>
      </c>
    </row>
    <row r="1102" ht="24" customHeight="1">
      <c r="A1102" s="29" t="inlineStr">
        <is>
          <t>OpenDART_fnlttSinglAcntAll</t>
        </is>
      </c>
      <c r="B1102" s="29" t="inlineStr">
        <is>
          <t>00161383</t>
        </is>
      </c>
      <c r="C1102" s="29" t="inlineStr">
        <is>
          <t>한미반도체</t>
        </is>
      </c>
      <c r="D1102" s="29" t="inlineStr">
        <is>
          <t>hanmi</t>
        </is>
      </c>
      <c r="E1102" s="29" t="inlineStr">
        <is>
          <t>042700</t>
        </is>
      </c>
      <c r="F1102" s="29" t="inlineStr">
        <is>
          <t>2025</t>
        </is>
      </c>
      <c r="G1102" s="29" t="inlineStr">
        <is>
          <t>CFS</t>
        </is>
      </c>
      <c r="H1102" s="29" t="inlineStr">
        <is>
          <t>SCE</t>
        </is>
      </c>
      <c r="I1102" s="29" t="inlineStr">
        <is>
          <t>자본변동표</t>
        </is>
      </c>
      <c r="J1102" s="29" t="inlineStr">
        <is>
          <t>ifrs-full_PurchaseOfTreasuryShares</t>
        </is>
      </c>
      <c r="K1102" s="29" t="inlineStr">
        <is>
          <t>자기주식의 취득</t>
        </is>
      </c>
      <c r="L1102" s="29" t="inlineStr">
        <is>
          <t>자본 [구성요소]|지배기업의 소유주에게 귀속되는 지분 [구성요소]|이익잉여금 [구성요소]</t>
        </is>
      </c>
      <c r="M1102" s="29" t="inlineStr">
        <is>
          <t>제 46 기</t>
        </is>
      </c>
      <c r="N1102" s="29" t="inlineStr">
        <is>
          <t>0.0</t>
        </is>
      </c>
      <c r="O1102" s="29" t="inlineStr">
        <is>
          <t>0.0</t>
        </is>
      </c>
      <c r="P1102" s="29" t="inlineStr">
        <is>
          <t>KRW</t>
        </is>
      </c>
      <c r="Q1102" s="29" t="inlineStr">
        <is>
          <t>15</t>
        </is>
      </c>
    </row>
    <row r="1103" ht="24" customHeight="1">
      <c r="A1103" s="24" t="inlineStr">
        <is>
          <t>OpenDART_fnlttSinglAcntAll</t>
        </is>
      </c>
      <c r="B1103" s="24" t="inlineStr">
        <is>
          <t>00161383</t>
        </is>
      </c>
      <c r="C1103" s="24" t="inlineStr">
        <is>
          <t>한미반도체</t>
        </is>
      </c>
      <c r="D1103" s="24" t="inlineStr">
        <is>
          <t>hanmi</t>
        </is>
      </c>
      <c r="E1103" s="24" t="inlineStr">
        <is>
          <t>042700</t>
        </is>
      </c>
      <c r="F1103" s="24" t="inlineStr">
        <is>
          <t>2025</t>
        </is>
      </c>
      <c r="G1103" s="24" t="inlineStr">
        <is>
          <t>CFS</t>
        </is>
      </c>
      <c r="H1103" s="24" t="inlineStr">
        <is>
          <t>SCE</t>
        </is>
      </c>
      <c r="I1103" s="24" t="inlineStr">
        <is>
          <t>자본변동표</t>
        </is>
      </c>
      <c r="J1103" s="24" t="inlineStr">
        <is>
          <t>ifrs-full_SaleOrIssueOfTreasuryShares</t>
        </is>
      </c>
      <c r="K1103" s="24" t="inlineStr">
        <is>
          <t>자기주식의 처분</t>
        </is>
      </c>
      <c r="L1103" s="24" t="inlineStr">
        <is>
          <t>연결재무제표 [member]</t>
        </is>
      </c>
      <c r="M1103" s="24" t="inlineStr">
        <is>
          <t>제 46 기</t>
        </is>
      </c>
      <c r="N1103" s="24" t="inlineStr">
        <is>
          <t>0.0</t>
        </is>
      </c>
      <c r="O1103" s="24" t="inlineStr">
        <is>
          <t>0.0</t>
        </is>
      </c>
      <c r="P1103" s="24" t="inlineStr">
        <is>
          <t>KRW</t>
        </is>
      </c>
      <c r="Q1103" s="24" t="inlineStr">
        <is>
          <t>16</t>
        </is>
      </c>
    </row>
    <row r="1104" ht="24" customHeight="1">
      <c r="A1104" s="29" t="inlineStr">
        <is>
          <t>OpenDART_fnlttSinglAcntAll</t>
        </is>
      </c>
      <c r="B1104" s="29" t="inlineStr">
        <is>
          <t>00161383</t>
        </is>
      </c>
      <c r="C1104" s="29" t="inlineStr">
        <is>
          <t>한미반도체</t>
        </is>
      </c>
      <c r="D1104" s="29" t="inlineStr">
        <is>
          <t>hanmi</t>
        </is>
      </c>
      <c r="E1104" s="29" t="inlineStr">
        <is>
          <t>042700</t>
        </is>
      </c>
      <c r="F1104" s="29" t="inlineStr">
        <is>
          <t>2025</t>
        </is>
      </c>
      <c r="G1104" s="29" t="inlineStr">
        <is>
          <t>CFS</t>
        </is>
      </c>
      <c r="H1104" s="29" t="inlineStr">
        <is>
          <t>SCE</t>
        </is>
      </c>
      <c r="I1104" s="29" t="inlineStr">
        <is>
          <t>자본변동표</t>
        </is>
      </c>
      <c r="J1104" s="29" t="inlineStr">
        <is>
          <t>ifrs-full_SaleOrIssueOfTreasuryShares</t>
        </is>
      </c>
      <c r="K1104" s="29" t="inlineStr">
        <is>
          <t>자기주식의 처분</t>
        </is>
      </c>
      <c r="L1104" s="29" t="inlineStr">
        <is>
          <t>자본 [구성요소]|지배기업의 소유주에게 귀속되는 지분 [구성요소]</t>
        </is>
      </c>
      <c r="M1104" s="29" t="inlineStr">
        <is>
          <t>제 46 기</t>
        </is>
      </c>
      <c r="N1104" s="29" t="inlineStr">
        <is>
          <t>0.0</t>
        </is>
      </c>
      <c r="O1104" s="29" t="inlineStr">
        <is>
          <t>0.0</t>
        </is>
      </c>
      <c r="P1104" s="29" t="inlineStr">
        <is>
          <t>KRW</t>
        </is>
      </c>
      <c r="Q1104" s="29" t="inlineStr">
        <is>
          <t>16</t>
        </is>
      </c>
    </row>
    <row r="1105" ht="24" customHeight="1">
      <c r="A1105" s="24" t="inlineStr">
        <is>
          <t>OpenDART_fnlttSinglAcntAll</t>
        </is>
      </c>
      <c r="B1105" s="24" t="inlineStr">
        <is>
          <t>00161383</t>
        </is>
      </c>
      <c r="C1105" s="24" t="inlineStr">
        <is>
          <t>한미반도체</t>
        </is>
      </c>
      <c r="D1105" s="24" t="inlineStr">
        <is>
          <t>hanmi</t>
        </is>
      </c>
      <c r="E1105" s="24" t="inlineStr">
        <is>
          <t>042700</t>
        </is>
      </c>
      <c r="F1105" s="24" t="inlineStr">
        <is>
          <t>2025</t>
        </is>
      </c>
      <c r="G1105" s="24" t="inlineStr">
        <is>
          <t>CFS</t>
        </is>
      </c>
      <c r="H1105" s="24" t="inlineStr">
        <is>
          <t>SCE</t>
        </is>
      </c>
      <c r="I1105" s="24" t="inlineStr">
        <is>
          <t>자본변동표</t>
        </is>
      </c>
      <c r="J1105" s="24" t="inlineStr">
        <is>
          <t>ifrs-full_SaleOrIssueOfTreasuryShares</t>
        </is>
      </c>
      <c r="K1105" s="24" t="inlineStr">
        <is>
          <t>자기주식의 처분</t>
        </is>
      </c>
      <c r="L1105" s="24" t="inlineStr">
        <is>
          <t>자본 [구성요소]|지배기업의 소유주에게 귀속되는 지분 [구성요소]|기타자본구성요소 [구성요소]</t>
        </is>
      </c>
      <c r="M1105" s="24" t="inlineStr">
        <is>
          <t>제 46 기</t>
        </is>
      </c>
      <c r="N1105" s="24" t="inlineStr">
        <is>
          <t>0.0</t>
        </is>
      </c>
      <c r="O1105" s="24" t="inlineStr">
        <is>
          <t>0.0</t>
        </is>
      </c>
      <c r="P1105" s="24" t="inlineStr">
        <is>
          <t>KRW</t>
        </is>
      </c>
      <c r="Q1105" s="24" t="inlineStr">
        <is>
          <t>16</t>
        </is>
      </c>
    </row>
    <row r="1106" ht="24" customHeight="1">
      <c r="A1106" s="29" t="inlineStr">
        <is>
          <t>OpenDART_fnlttSinglAcntAll</t>
        </is>
      </c>
      <c r="B1106" s="29" t="inlineStr">
        <is>
          <t>00161383</t>
        </is>
      </c>
      <c r="C1106" s="29" t="inlineStr">
        <is>
          <t>한미반도체</t>
        </is>
      </c>
      <c r="D1106" s="29" t="inlineStr">
        <is>
          <t>hanmi</t>
        </is>
      </c>
      <c r="E1106" s="29" t="inlineStr">
        <is>
          <t>042700</t>
        </is>
      </c>
      <c r="F1106" s="29" t="inlineStr">
        <is>
          <t>2025</t>
        </is>
      </c>
      <c r="G1106" s="29" t="inlineStr">
        <is>
          <t>CFS</t>
        </is>
      </c>
      <c r="H1106" s="29" t="inlineStr">
        <is>
          <t>SCE</t>
        </is>
      </c>
      <c r="I1106" s="29" t="inlineStr">
        <is>
          <t>자본변동표</t>
        </is>
      </c>
      <c r="J1106" s="29" t="inlineStr">
        <is>
          <t>ifrs-full_SaleOrIssueOfTreasuryShares</t>
        </is>
      </c>
      <c r="K1106" s="29" t="inlineStr">
        <is>
          <t>자기주식의 처분</t>
        </is>
      </c>
      <c r="L1106" s="29" t="inlineStr">
        <is>
          <t>자본 [구성요소]|지배기업의 소유주에게 귀속되는 지분 [구성요소]|기타포괄손익누계액 [구성요소]</t>
        </is>
      </c>
      <c r="M1106" s="29" t="inlineStr">
        <is>
          <t>제 46 기</t>
        </is>
      </c>
      <c r="N1106" s="29" t="inlineStr">
        <is>
          <t>0.0</t>
        </is>
      </c>
      <c r="O1106" s="29" t="inlineStr">
        <is>
          <t>0.0</t>
        </is>
      </c>
      <c r="P1106" s="29" t="inlineStr">
        <is>
          <t>KRW</t>
        </is>
      </c>
      <c r="Q1106" s="29" t="inlineStr">
        <is>
          <t>16</t>
        </is>
      </c>
    </row>
    <row r="1107" ht="24" customHeight="1">
      <c r="A1107" s="24" t="inlineStr">
        <is>
          <t>OpenDART_fnlttSinglAcntAll</t>
        </is>
      </c>
      <c r="B1107" s="24" t="inlineStr">
        <is>
          <t>00161383</t>
        </is>
      </c>
      <c r="C1107" s="24" t="inlineStr">
        <is>
          <t>한미반도체</t>
        </is>
      </c>
      <c r="D1107" s="24" t="inlineStr">
        <is>
          <t>hanmi</t>
        </is>
      </c>
      <c r="E1107" s="24" t="inlineStr">
        <is>
          <t>042700</t>
        </is>
      </c>
      <c r="F1107" s="24" t="inlineStr">
        <is>
          <t>2025</t>
        </is>
      </c>
      <c r="G1107" s="24" t="inlineStr">
        <is>
          <t>CFS</t>
        </is>
      </c>
      <c r="H1107" s="24" t="inlineStr">
        <is>
          <t>SCE</t>
        </is>
      </c>
      <c r="I1107" s="24" t="inlineStr">
        <is>
          <t>자본변동표</t>
        </is>
      </c>
      <c r="J1107" s="24" t="inlineStr">
        <is>
          <t>ifrs-full_SaleOrIssueOfTreasuryShares</t>
        </is>
      </c>
      <c r="K1107" s="24" t="inlineStr">
        <is>
          <t>자기주식의 처분</t>
        </is>
      </c>
      <c r="L1107" s="24" t="inlineStr">
        <is>
          <t>자본 [구성요소]|지배기업의 소유주에게 귀속되는 지분 [구성요소]|이익잉여금 [구성요소]</t>
        </is>
      </c>
      <c r="M1107" s="24" t="inlineStr">
        <is>
          <t>제 46 기</t>
        </is>
      </c>
      <c r="N1107" s="24" t="inlineStr">
        <is>
          <t>0.0</t>
        </is>
      </c>
      <c r="O1107" s="24" t="inlineStr">
        <is>
          <t>0.0</t>
        </is>
      </c>
      <c r="P1107" s="24" t="inlineStr">
        <is>
          <t>KRW</t>
        </is>
      </c>
      <c r="Q1107" s="24" t="inlineStr">
        <is>
          <t>16</t>
        </is>
      </c>
    </row>
    <row r="1108" ht="24" customHeight="1">
      <c r="A1108" s="29" t="inlineStr">
        <is>
          <t>OpenDART_fnlttSinglAcntAll</t>
        </is>
      </c>
      <c r="B1108" s="29" t="inlineStr">
        <is>
          <t>00161383</t>
        </is>
      </c>
      <c r="C1108" s="29" t="inlineStr">
        <is>
          <t>한미반도체</t>
        </is>
      </c>
      <c r="D1108" s="29" t="inlineStr">
        <is>
          <t>hanmi</t>
        </is>
      </c>
      <c r="E1108" s="29" t="inlineStr">
        <is>
          <t>042700</t>
        </is>
      </c>
      <c r="F1108" s="29" t="inlineStr">
        <is>
          <t>2025</t>
        </is>
      </c>
      <c r="G1108" s="29" t="inlineStr">
        <is>
          <t>CFS</t>
        </is>
      </c>
      <c r="H1108" s="29" t="inlineStr">
        <is>
          <t>SCE</t>
        </is>
      </c>
      <c r="I1108" s="29" t="inlineStr">
        <is>
          <t>자본변동표</t>
        </is>
      </c>
      <c r="J1108" s="29" t="inlineStr">
        <is>
          <t>ifrs-full_SaleOrIssueOfTreasuryShares</t>
        </is>
      </c>
      <c r="K1108" s="29" t="inlineStr">
        <is>
          <t>자기주식의 처분</t>
        </is>
      </c>
      <c r="L1108" s="29" t="inlineStr">
        <is>
          <t>자본 [구성요소]|지배기업의 소유주에게 귀속되는 지분 [구성요소]|자본금 [구성요소]</t>
        </is>
      </c>
      <c r="M1108" s="29" t="inlineStr">
        <is>
          <t>제 46 기</t>
        </is>
      </c>
      <c r="N1108" s="29" t="inlineStr">
        <is>
          <t>0.0</t>
        </is>
      </c>
      <c r="O1108" s="29" t="inlineStr">
        <is>
          <t>0.0</t>
        </is>
      </c>
      <c r="P1108" s="29" t="inlineStr">
        <is>
          <t>KRW</t>
        </is>
      </c>
      <c r="Q1108" s="29" t="inlineStr">
        <is>
          <t>16</t>
        </is>
      </c>
    </row>
    <row r="1109" ht="24" customHeight="1">
      <c r="A1109" s="24" t="inlineStr">
        <is>
          <t>OpenDART_fnlttSinglAcntAll</t>
        </is>
      </c>
      <c r="B1109" s="24" t="inlineStr">
        <is>
          <t>00161383</t>
        </is>
      </c>
      <c r="C1109" s="24" t="inlineStr">
        <is>
          <t>한미반도체</t>
        </is>
      </c>
      <c r="D1109" s="24" t="inlineStr">
        <is>
          <t>hanmi</t>
        </is>
      </c>
      <c r="E1109" s="24" t="inlineStr">
        <is>
          <t>042700</t>
        </is>
      </c>
      <c r="F1109" s="24" t="inlineStr">
        <is>
          <t>2025</t>
        </is>
      </c>
      <c r="G1109" s="24" t="inlineStr">
        <is>
          <t>CFS</t>
        </is>
      </c>
      <c r="H1109" s="24" t="inlineStr">
        <is>
          <t>SCE</t>
        </is>
      </c>
      <c r="I1109" s="24" t="inlineStr">
        <is>
          <t>자본변동표</t>
        </is>
      </c>
      <c r="J1109" s="24" t="inlineStr">
        <is>
          <t>ifrs-full_SaleOrIssueOfTreasuryShares</t>
        </is>
      </c>
      <c r="K1109" s="24" t="inlineStr">
        <is>
          <t>자기주식의 처분</t>
        </is>
      </c>
      <c r="L1109" s="24" t="inlineStr">
        <is>
          <t>자본 [구성요소]|지배기업의 소유주에게 귀속되는 지분 [구성요소]|자본잉여금 [구성요소]</t>
        </is>
      </c>
      <c r="M1109" s="24" t="inlineStr">
        <is>
          <t>제 46 기</t>
        </is>
      </c>
      <c r="N1109" s="24" t="inlineStr">
        <is>
          <t>0.0</t>
        </is>
      </c>
      <c r="O1109" s="24" t="inlineStr">
        <is>
          <t>0.0</t>
        </is>
      </c>
      <c r="P1109" s="24" t="inlineStr">
        <is>
          <t>KRW</t>
        </is>
      </c>
      <c r="Q1109" s="24" t="inlineStr">
        <is>
          <t>16</t>
        </is>
      </c>
    </row>
    <row r="1110" ht="24" customHeight="1">
      <c r="A1110" s="29" t="inlineStr">
        <is>
          <t>OpenDART_fnlttSinglAcntAll</t>
        </is>
      </c>
      <c r="B1110" s="29" t="inlineStr">
        <is>
          <t>00161383</t>
        </is>
      </c>
      <c r="C1110" s="29" t="inlineStr">
        <is>
          <t>한미반도체</t>
        </is>
      </c>
      <c r="D1110" s="29" t="inlineStr">
        <is>
          <t>hanmi</t>
        </is>
      </c>
      <c r="E1110" s="29" t="inlineStr">
        <is>
          <t>042700</t>
        </is>
      </c>
      <c r="F1110" s="29" t="inlineStr">
        <is>
          <t>2025</t>
        </is>
      </c>
      <c r="G1110" s="29" t="inlineStr">
        <is>
          <t>CFS</t>
        </is>
      </c>
      <c r="H1110" s="29" t="inlineStr">
        <is>
          <t>SCE</t>
        </is>
      </c>
      <c r="I1110" s="29" t="inlineStr">
        <is>
          <t>자본변동표</t>
        </is>
      </c>
      <c r="J1110" s="29" t="inlineStr">
        <is>
          <t>ifrs-full_ShareOfOtherComprehensiveIncomeOfAssociatesAndJointVenturesAccountedForUsingEquityMethod</t>
        </is>
      </c>
      <c r="K1110" s="29" t="inlineStr">
        <is>
          <t>지분법자본변동</t>
        </is>
      </c>
      <c r="L1110" s="29" t="inlineStr">
        <is>
          <t>연결재무제표 [member]</t>
        </is>
      </c>
      <c r="M1110" s="29" t="inlineStr">
        <is>
          <t>제 46 기</t>
        </is>
      </c>
      <c r="N1110" s="29" t="inlineStr">
        <is>
          <t>0.0</t>
        </is>
      </c>
      <c r="O1110" s="29" t="inlineStr">
        <is>
          <t>0.0</t>
        </is>
      </c>
      <c r="P1110" s="29" t="inlineStr">
        <is>
          <t>KRW</t>
        </is>
      </c>
      <c r="Q1110" s="29" t="inlineStr">
        <is>
          <t>17</t>
        </is>
      </c>
    </row>
    <row r="1111" ht="24" customHeight="1">
      <c r="A1111" s="24" t="inlineStr">
        <is>
          <t>OpenDART_fnlttSinglAcntAll</t>
        </is>
      </c>
      <c r="B1111" s="24" t="inlineStr">
        <is>
          <t>00161383</t>
        </is>
      </c>
      <c r="C1111" s="24" t="inlineStr">
        <is>
          <t>한미반도체</t>
        </is>
      </c>
      <c r="D1111" s="24" t="inlineStr">
        <is>
          <t>hanmi</t>
        </is>
      </c>
      <c r="E1111" s="24" t="inlineStr">
        <is>
          <t>042700</t>
        </is>
      </c>
      <c r="F1111" s="24" t="inlineStr">
        <is>
          <t>2025</t>
        </is>
      </c>
      <c r="G1111" s="24" t="inlineStr">
        <is>
          <t>CFS</t>
        </is>
      </c>
      <c r="H1111" s="24" t="inlineStr">
        <is>
          <t>SCE</t>
        </is>
      </c>
      <c r="I1111" s="24" t="inlineStr">
        <is>
          <t>자본변동표</t>
        </is>
      </c>
      <c r="J1111" s="24" t="inlineStr">
        <is>
          <t>ifrs-full_ShareOfOtherComprehensiveIncomeOfAssociatesAndJointVenturesAccountedForUsingEquityMethod</t>
        </is>
      </c>
      <c r="K1111" s="24" t="inlineStr">
        <is>
          <t>지분법자본변동</t>
        </is>
      </c>
      <c r="L1111" s="24" t="inlineStr">
        <is>
          <t>자본 [구성요소]|지배기업의 소유주에게 귀속되는 지분 [구성요소]</t>
        </is>
      </c>
      <c r="M1111" s="24" t="inlineStr">
        <is>
          <t>제 46 기</t>
        </is>
      </c>
      <c r="N1111" s="24" t="inlineStr">
        <is>
          <t>0.0</t>
        </is>
      </c>
      <c r="O1111" s="24" t="inlineStr">
        <is>
          <t>0.0</t>
        </is>
      </c>
      <c r="P1111" s="24" t="inlineStr">
        <is>
          <t>KRW</t>
        </is>
      </c>
      <c r="Q1111" s="24" t="inlineStr">
        <is>
          <t>17</t>
        </is>
      </c>
    </row>
    <row r="1112" ht="24" customHeight="1">
      <c r="A1112" s="29" t="inlineStr">
        <is>
          <t>OpenDART_fnlttSinglAcntAll</t>
        </is>
      </c>
      <c r="B1112" s="29" t="inlineStr">
        <is>
          <t>00161383</t>
        </is>
      </c>
      <c r="C1112" s="29" t="inlineStr">
        <is>
          <t>한미반도체</t>
        </is>
      </c>
      <c r="D1112" s="29" t="inlineStr">
        <is>
          <t>hanmi</t>
        </is>
      </c>
      <c r="E1112" s="29" t="inlineStr">
        <is>
          <t>042700</t>
        </is>
      </c>
      <c r="F1112" s="29" t="inlineStr">
        <is>
          <t>2025</t>
        </is>
      </c>
      <c r="G1112" s="29" t="inlineStr">
        <is>
          <t>CFS</t>
        </is>
      </c>
      <c r="H1112" s="29" t="inlineStr">
        <is>
          <t>SCE</t>
        </is>
      </c>
      <c r="I1112" s="29" t="inlineStr">
        <is>
          <t>자본변동표</t>
        </is>
      </c>
      <c r="J1112" s="29" t="inlineStr">
        <is>
          <t>ifrs-full_ShareOfOtherComprehensiveIncomeOfAssociatesAndJointVenturesAccountedForUsingEquityMethod</t>
        </is>
      </c>
      <c r="K1112" s="29" t="inlineStr">
        <is>
          <t>지분법자본변동</t>
        </is>
      </c>
      <c r="L1112" s="29" t="inlineStr">
        <is>
          <t>자본 [구성요소]|지배기업의 소유주에게 귀속되는 지분 [구성요소]|기타자본구성요소 [구성요소]</t>
        </is>
      </c>
      <c r="M1112" s="29" t="inlineStr">
        <is>
          <t>제 46 기</t>
        </is>
      </c>
      <c r="N1112" s="29" t="inlineStr">
        <is>
          <t>0.0</t>
        </is>
      </c>
      <c r="O1112" s="29" t="inlineStr">
        <is>
          <t>0.0</t>
        </is>
      </c>
      <c r="P1112" s="29" t="inlineStr">
        <is>
          <t>KRW</t>
        </is>
      </c>
      <c r="Q1112" s="29" t="inlineStr">
        <is>
          <t>17</t>
        </is>
      </c>
    </row>
    <row r="1113" ht="24" customHeight="1">
      <c r="A1113" s="24" t="inlineStr">
        <is>
          <t>OpenDART_fnlttSinglAcntAll</t>
        </is>
      </c>
      <c r="B1113" s="24" t="inlineStr">
        <is>
          <t>00161383</t>
        </is>
      </c>
      <c r="C1113" s="24" t="inlineStr">
        <is>
          <t>한미반도체</t>
        </is>
      </c>
      <c r="D1113" s="24" t="inlineStr">
        <is>
          <t>hanmi</t>
        </is>
      </c>
      <c r="E1113" s="24" t="inlineStr">
        <is>
          <t>042700</t>
        </is>
      </c>
      <c r="F1113" s="24" t="inlineStr">
        <is>
          <t>2025</t>
        </is>
      </c>
      <c r="G1113" s="24" t="inlineStr">
        <is>
          <t>CFS</t>
        </is>
      </c>
      <c r="H1113" s="24" t="inlineStr">
        <is>
          <t>SCE</t>
        </is>
      </c>
      <c r="I1113" s="24" t="inlineStr">
        <is>
          <t>자본변동표</t>
        </is>
      </c>
      <c r="J1113" s="24" t="inlineStr">
        <is>
          <t>ifrs-full_ShareOfOtherComprehensiveIncomeOfAssociatesAndJointVenturesAccountedForUsingEquityMethod</t>
        </is>
      </c>
      <c r="K1113" s="24" t="inlineStr">
        <is>
          <t>지분법자본변동</t>
        </is>
      </c>
      <c r="L1113" s="24" t="inlineStr">
        <is>
          <t>자본 [구성요소]|지배기업의 소유주에게 귀속되는 지분 [구성요소]|자본금 [구성요소]</t>
        </is>
      </c>
      <c r="M1113" s="24" t="inlineStr">
        <is>
          <t>제 46 기</t>
        </is>
      </c>
      <c r="N1113" s="24" t="inlineStr">
        <is>
          <t>0.0</t>
        </is>
      </c>
      <c r="O1113" s="24" t="inlineStr">
        <is>
          <t>0.0</t>
        </is>
      </c>
      <c r="P1113" s="24" t="inlineStr">
        <is>
          <t>KRW</t>
        </is>
      </c>
      <c r="Q1113" s="24" t="inlineStr">
        <is>
          <t>17</t>
        </is>
      </c>
    </row>
    <row r="1114" ht="24" customHeight="1">
      <c r="A1114" s="29" t="inlineStr">
        <is>
          <t>OpenDART_fnlttSinglAcntAll</t>
        </is>
      </c>
      <c r="B1114" s="29" t="inlineStr">
        <is>
          <t>00161383</t>
        </is>
      </c>
      <c r="C1114" s="29" t="inlineStr">
        <is>
          <t>한미반도체</t>
        </is>
      </c>
      <c r="D1114" s="29" t="inlineStr">
        <is>
          <t>hanmi</t>
        </is>
      </c>
      <c r="E1114" s="29" t="inlineStr">
        <is>
          <t>042700</t>
        </is>
      </c>
      <c r="F1114" s="29" t="inlineStr">
        <is>
          <t>2025</t>
        </is>
      </c>
      <c r="G1114" s="29" t="inlineStr">
        <is>
          <t>CFS</t>
        </is>
      </c>
      <c r="H1114" s="29" t="inlineStr">
        <is>
          <t>SCE</t>
        </is>
      </c>
      <c r="I1114" s="29" t="inlineStr">
        <is>
          <t>자본변동표</t>
        </is>
      </c>
      <c r="J1114" s="29" t="inlineStr">
        <is>
          <t>ifrs-full_ShareOfOtherComprehensiveIncomeOfAssociatesAndJointVenturesAccountedForUsingEquityMethod</t>
        </is>
      </c>
      <c r="K1114" s="29" t="inlineStr">
        <is>
          <t>지분법자본변동</t>
        </is>
      </c>
      <c r="L1114" s="29" t="inlineStr">
        <is>
          <t>자본 [구성요소]|지배기업의 소유주에게 귀속되는 지분 [구성요소]|이익잉여금 [구성요소]</t>
        </is>
      </c>
      <c r="M1114" s="29" t="inlineStr">
        <is>
          <t>제 46 기</t>
        </is>
      </c>
      <c r="N1114" s="29" t="inlineStr">
        <is>
          <t>-9237338.0</t>
        </is>
      </c>
      <c r="O1114" s="29" t="inlineStr">
        <is>
          <t>0.0</t>
        </is>
      </c>
      <c r="P1114" s="29" t="inlineStr">
        <is>
          <t>KRW</t>
        </is>
      </c>
      <c r="Q1114" s="29" t="inlineStr">
        <is>
          <t>17</t>
        </is>
      </c>
    </row>
    <row r="1115" ht="24" customHeight="1">
      <c r="A1115" s="24" t="inlineStr">
        <is>
          <t>OpenDART_fnlttSinglAcntAll</t>
        </is>
      </c>
      <c r="B1115" s="24" t="inlineStr">
        <is>
          <t>00161383</t>
        </is>
      </c>
      <c r="C1115" s="24" t="inlineStr">
        <is>
          <t>한미반도체</t>
        </is>
      </c>
      <c r="D1115" s="24" t="inlineStr">
        <is>
          <t>hanmi</t>
        </is>
      </c>
      <c r="E1115" s="24" t="inlineStr">
        <is>
          <t>042700</t>
        </is>
      </c>
      <c r="F1115" s="24" t="inlineStr">
        <is>
          <t>2025</t>
        </is>
      </c>
      <c r="G1115" s="24" t="inlineStr">
        <is>
          <t>CFS</t>
        </is>
      </c>
      <c r="H1115" s="24" t="inlineStr">
        <is>
          <t>SCE</t>
        </is>
      </c>
      <c r="I1115" s="24" t="inlineStr">
        <is>
          <t>자본변동표</t>
        </is>
      </c>
      <c r="J1115" s="24" t="inlineStr">
        <is>
          <t>ifrs-full_ShareOfOtherComprehensiveIncomeOfAssociatesAndJointVenturesAccountedForUsingEquityMethod</t>
        </is>
      </c>
      <c r="K1115" s="24" t="inlineStr">
        <is>
          <t>지분법자본변동</t>
        </is>
      </c>
      <c r="L1115" s="24" t="inlineStr">
        <is>
          <t>자본 [구성요소]|지배기업의 소유주에게 귀속되는 지분 [구성요소]|기타포괄손익누계액 [구성요소]</t>
        </is>
      </c>
      <c r="M1115" s="24" t="inlineStr">
        <is>
          <t>제 46 기</t>
        </is>
      </c>
      <c r="N1115" s="24" t="inlineStr">
        <is>
          <t>9237338.0</t>
        </is>
      </c>
      <c r="O1115" s="24" t="inlineStr">
        <is>
          <t>0.0</t>
        </is>
      </c>
      <c r="P1115" s="24" t="inlineStr">
        <is>
          <t>KRW</t>
        </is>
      </c>
      <c r="Q1115" s="24" t="inlineStr">
        <is>
          <t>17</t>
        </is>
      </c>
    </row>
    <row r="1116" ht="24" customHeight="1">
      <c r="A1116" s="29" t="inlineStr">
        <is>
          <t>OpenDART_fnlttSinglAcntAll</t>
        </is>
      </c>
      <c r="B1116" s="29" t="inlineStr">
        <is>
          <t>00161383</t>
        </is>
      </c>
      <c r="C1116" s="29" t="inlineStr">
        <is>
          <t>한미반도체</t>
        </is>
      </c>
      <c r="D1116" s="29" t="inlineStr">
        <is>
          <t>hanmi</t>
        </is>
      </c>
      <c r="E1116" s="29" t="inlineStr">
        <is>
          <t>042700</t>
        </is>
      </c>
      <c r="F1116" s="29" t="inlineStr">
        <is>
          <t>2025</t>
        </is>
      </c>
      <c r="G1116" s="29" t="inlineStr">
        <is>
          <t>CFS</t>
        </is>
      </c>
      <c r="H1116" s="29" t="inlineStr">
        <is>
          <t>SCE</t>
        </is>
      </c>
      <c r="I1116" s="29" t="inlineStr">
        <is>
          <t>자본변동표</t>
        </is>
      </c>
      <c r="J1116" s="29" t="inlineStr">
        <is>
          <t>ifrs-full_ShareOfOtherComprehensiveIncomeOfAssociatesAndJointVenturesAccountedForUsingEquityMethod</t>
        </is>
      </c>
      <c r="K1116" s="29" t="inlineStr">
        <is>
          <t>지분법자본변동</t>
        </is>
      </c>
      <c r="L1116" s="29" t="inlineStr">
        <is>
          <t>자본 [구성요소]|지배기업의 소유주에게 귀속되는 지분 [구성요소]|자본잉여금 [구성요소]</t>
        </is>
      </c>
      <c r="M1116" s="29" t="inlineStr">
        <is>
          <t>제 46 기</t>
        </is>
      </c>
      <c r="N1116" s="29" t="inlineStr">
        <is>
          <t>0.0</t>
        </is>
      </c>
      <c r="O1116" s="29" t="inlineStr">
        <is>
          <t>0.0</t>
        </is>
      </c>
      <c r="P1116" s="29" t="inlineStr">
        <is>
          <t>KRW</t>
        </is>
      </c>
      <c r="Q1116" s="29" t="inlineStr">
        <is>
          <t>17</t>
        </is>
      </c>
    </row>
  </sheetData>
  <autoFilter ref="A2:Q1116"/>
  <mergeCells count="1">
    <mergeCell ref="A1:F1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E7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3" customWidth="1" min="31" max="31"/>
  </cols>
  <sheetData>
    <row r="1" ht="30" customHeight="1">
      <c r="A1" s="16" t="inlineStr">
        <is>
          <t>주가 데이터·기술적 지표</t>
        </is>
      </c>
    </row>
    <row r="2" ht="28" customHeight="1">
      <c r="A2" s="17" t="inlineStr">
        <is>
          <t>Valuation Agent 전용 주가 intake: 종가·이동평균·수익률·MDD·롤링 변동성</t>
        </is>
      </c>
    </row>
    <row r="3" ht="24" customHeight="1"/>
    <row r="4" ht="24" customHeight="1">
      <c r="A4" s="22" t="inlineStr">
        <is>
          <t>주가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  <c r="C5" s="25" t="inlineStr">
        <is>
          <t>비고</t>
        </is>
      </c>
    </row>
    <row r="6" ht="24" customHeight="1">
      <c r="A6" s="24" t="inlineStr">
        <is>
          <t>데이터 행 수</t>
        </is>
      </c>
      <c r="B6" s="30" t="n">
        <v>1222</v>
      </c>
      <c r="C6" s="24" t="inlineStr">
        <is>
          <t>valuation_price_history.csv 기준</t>
        </is>
      </c>
    </row>
    <row r="7" ht="24" customHeight="1">
      <c r="A7" s="29" t="inlineStr">
        <is>
          <t>수집 시작일</t>
        </is>
      </c>
      <c r="B7" s="29" t="inlineStr">
        <is>
          <t>2021-05-20</t>
        </is>
      </c>
      <c r="C7" s="29" t="inlineStr">
        <is>
          <t>가격 데이터 시작</t>
        </is>
      </c>
    </row>
    <row r="8" ht="24" customHeight="1">
      <c r="A8" s="24" t="inlineStr">
        <is>
          <t>수집 종료일</t>
        </is>
      </c>
      <c r="B8" s="24" t="inlineStr">
        <is>
          <t>2026-05-20</t>
        </is>
      </c>
      <c r="C8" s="24" t="inlineStr">
        <is>
          <t>가격 데이터 종료</t>
        </is>
      </c>
    </row>
    <row r="9" ht="24" customHeight="1">
      <c r="A9" s="29" t="inlineStr">
        <is>
          <t>현재가</t>
        </is>
      </c>
      <c r="B9" s="31" t="n">
        <v>291000</v>
      </c>
      <c r="C9" s="29" t="inlineStr">
        <is>
          <t>최근 종가</t>
        </is>
      </c>
    </row>
    <row r="10" ht="24" customHeight="1">
      <c r="A10" s="24" t="inlineStr">
        <is>
          <t>1년 수익률</t>
        </is>
      </c>
      <c r="B10" s="30" t="n">
        <v>2.553113553113553</v>
      </c>
      <c r="C10" s="24" t="inlineStr">
        <is>
          <t>최근 약 1년</t>
        </is>
      </c>
    </row>
    <row r="11" ht="24" customHeight="1">
      <c r="A11" s="29" t="inlineStr">
        <is>
          <t>연환산 변동성</t>
        </is>
      </c>
      <c r="B11" s="31" t="n">
        <v>0.662250533231738</v>
      </c>
      <c r="C11" s="29" t="inlineStr">
        <is>
          <t>일수익률 × √252</t>
        </is>
      </c>
    </row>
    <row r="12" ht="24" customHeight="1">
      <c r="A12" s="24" t="inlineStr">
        <is>
          <t>MDD</t>
        </is>
      </c>
      <c r="B12" s="30" t="n">
        <v>-0.6814814814814815</v>
      </c>
      <c r="C12" s="24" t="inlineStr">
        <is>
          <t>기간 중 최대 낙폭</t>
        </is>
      </c>
    </row>
    <row r="13" ht="24" customHeight="1">
      <c r="A13" s="29" t="inlineStr">
        <is>
          <t>52주 고가</t>
        </is>
      </c>
      <c r="B13" s="31" t="n">
        <v>409500</v>
      </c>
      <c r="C13" s="29" t="inlineStr">
        <is>
          <t>최근 252거래일</t>
        </is>
      </c>
    </row>
    <row r="14" ht="24" customHeight="1">
      <c r="A14" s="24" t="inlineStr">
        <is>
          <t>52주 저가</t>
        </is>
      </c>
      <c r="B14" s="30" t="n">
        <v>77400</v>
      </c>
      <c r="C14" s="24" t="inlineStr">
        <is>
          <t>최근 252거래일</t>
        </is>
      </c>
    </row>
    <row r="15" ht="24" customHeight="1">
      <c r="A15" s="29" t="inlineStr">
        <is>
          <t>발행주식 수</t>
        </is>
      </c>
      <c r="B15" s="31" t="n">
        <v>95312200</v>
      </c>
      <c r="C15" s="29" t="inlineStr">
        <is>
          <t>DART stockTotqySttus</t>
        </is>
      </c>
    </row>
    <row r="16" ht="24" customHeight="1">
      <c r="A16" s="24" t="inlineStr">
        <is>
          <t>시가총액</t>
        </is>
      </c>
      <c r="B16" s="30" t="n">
        <v>27735850200000</v>
      </c>
      <c r="C16" s="24" t="inlineStr">
        <is>
          <t>현재가 × 발행주식 수</t>
        </is>
      </c>
    </row>
    <row r="17" ht="24" customHeight="1">
      <c r="A17" s="22" t="inlineStr">
        <is>
          <t>최근 주가 원천 데이터</t>
        </is>
      </c>
      <c r="B17" s="32" t="n"/>
      <c r="C17" s="32" t="n"/>
      <c r="D17" s="32" t="n"/>
      <c r="E17" s="32" t="n"/>
      <c r="F17" s="33" t="n"/>
    </row>
    <row r="18" ht="24" customHeight="1">
      <c r="A18" s="25" t="inlineStr">
        <is>
          <t>일자</t>
        </is>
      </c>
      <c r="B18" s="34" t="inlineStr">
        <is>
          <t>시가</t>
        </is>
      </c>
      <c r="C18" s="25" t="inlineStr">
        <is>
          <t>고가</t>
        </is>
      </c>
      <c r="D18" s="25" t="inlineStr">
        <is>
          <t>저가</t>
        </is>
      </c>
      <c r="E18" s="25" t="inlineStr">
        <is>
          <t>종가</t>
        </is>
      </c>
      <c r="F18" s="25" t="inlineStr">
        <is>
          <t>수정종가</t>
        </is>
      </c>
      <c r="G18" s="25" t="inlineStr">
        <is>
          <t>거래량</t>
        </is>
      </c>
      <c r="H18" s="25" t="inlineStr">
        <is>
          <t>일수익률</t>
        </is>
      </c>
      <c r="I18" s="25" t="inlineStr">
        <is>
          <t>드로다운</t>
        </is>
      </c>
      <c r="J18" s="25" t="inlineStr">
        <is>
          <t>20일선</t>
        </is>
      </c>
      <c r="K18" s="25" t="inlineStr">
        <is>
          <t>60일선</t>
        </is>
      </c>
      <c r="L18" s="25" t="inlineStr">
        <is>
          <t>120일선</t>
        </is>
      </c>
      <c r="M18" s="25" t="inlineStr">
        <is>
          <t>20일 변동성</t>
        </is>
      </c>
      <c r="N18" s="25" t="inlineStr">
        <is>
          <t>60일 변동성</t>
        </is>
      </c>
      <c r="O18" s="25" t="inlineStr">
        <is>
          <t>20일 수익률</t>
        </is>
      </c>
      <c r="P18" s="25" t="inlineStr">
        <is>
          <t>60일 수익률</t>
        </is>
      </c>
      <c r="Q18" s="25" t="inlineStr">
        <is>
          <t>120일 수익률</t>
        </is>
      </c>
      <c r="R18" s="25" t="inlineStr">
        <is>
          <t>20일선 괴리</t>
        </is>
      </c>
      <c r="S18" s="25" t="inlineStr">
        <is>
          <t>60일선 괴리</t>
        </is>
      </c>
      <c r="T18" s="25" t="inlineStr">
        <is>
          <t>120일선 괴리</t>
        </is>
      </c>
      <c r="U18" s="25" t="inlineStr">
        <is>
          <t>52주 고가</t>
        </is>
      </c>
      <c r="V18" s="25" t="inlineStr">
        <is>
          <t>52주 저가</t>
        </is>
      </c>
      <c r="W18" s="25" t="inlineStr">
        <is>
          <t>52주 고가 대비</t>
        </is>
      </c>
      <c r="X18" s="25" t="inlineStr">
        <is>
          <t>52주 저가 대비</t>
        </is>
      </c>
      <c r="Y18" s="25" t="inlineStr">
        <is>
          <t>발행주식 수</t>
        </is>
      </c>
      <c r="Z18" s="25" t="inlineStr">
        <is>
          <t>시가총액</t>
        </is>
      </c>
      <c r="AA18" s="25" t="inlineStr">
        <is>
          <t>거래대금</t>
        </is>
      </c>
      <c r="AB18" s="25" t="inlineStr">
        <is>
          <t>20일 평균 거래대금</t>
        </is>
      </c>
      <c r="AC18" s="25" t="inlineStr">
        <is>
          <t>거래회전율</t>
        </is>
      </c>
      <c r="AD18" s="25" t="inlineStr">
        <is>
          <t>출처</t>
        </is>
      </c>
      <c r="AE18" s="25" t="inlineStr">
        <is>
          <t>티커</t>
        </is>
      </c>
    </row>
    <row r="19" ht="24" customHeight="1">
      <c r="A19" s="24" t="inlineStr">
        <is>
          <t>2023-07-03</t>
        </is>
      </c>
      <c r="B19" s="30" t="n">
        <v>30400</v>
      </c>
      <c r="C19" s="30" t="n">
        <v>32150</v>
      </c>
      <c r="D19" s="30" t="n">
        <v>30400</v>
      </c>
      <c r="E19" s="30" t="n">
        <v>31200</v>
      </c>
      <c r="F19" s="30" t="n">
        <v>30720.82421875</v>
      </c>
      <c r="G19" s="30" t="n">
        <v>4390899</v>
      </c>
      <c r="H19" s="35" t="n">
        <v>0.03482587064676612</v>
      </c>
      <c r="I19" s="35" t="n">
        <v>0</v>
      </c>
      <c r="J19" s="30" t="n">
        <v>28550</v>
      </c>
      <c r="K19" s="30" t="n">
        <v>24289.83333333333</v>
      </c>
      <c r="L19" s="30" t="n">
        <v>19931.25</v>
      </c>
      <c r="M19" s="35" t="n">
        <v>0.5382230641199942</v>
      </c>
      <c r="N19" s="35" t="n">
        <v>0.6765183041823669</v>
      </c>
      <c r="O19" s="35" t="n">
        <v>0.2140077821011672</v>
      </c>
      <c r="P19" s="35" t="n">
        <v>0.6352201257861636</v>
      </c>
      <c r="Q19" s="35" t="n">
        <v>1.526315789473684</v>
      </c>
      <c r="R19" s="35" t="n">
        <v>0.09281961471103317</v>
      </c>
      <c r="S19" s="35" t="n">
        <v>0.2844880231098059</v>
      </c>
      <c r="T19" s="35" t="n">
        <v>0.5653809971777988</v>
      </c>
      <c r="U19" s="30" t="n">
        <v>31200</v>
      </c>
      <c r="V19" s="30" t="n">
        <v>10800</v>
      </c>
      <c r="W19" s="35" t="n">
        <v>0</v>
      </c>
      <c r="X19" s="35" t="n">
        <v>1.888888888888889</v>
      </c>
      <c r="Y19" s="30" t="n">
        <v>95312200</v>
      </c>
      <c r="Z19" s="30" t="n">
        <v>2973740640000</v>
      </c>
      <c r="AA19" s="30" t="n">
        <v>136996048800</v>
      </c>
      <c r="AB19" s="30" t="n">
        <v>117195128910</v>
      </c>
      <c r="AC19" s="35" t="n">
        <v>0.04606859352737635</v>
      </c>
      <c r="AD19" s="24" t="inlineStr">
        <is>
          <t>yfinance_download</t>
        </is>
      </c>
      <c r="AE19" s="24" t="inlineStr">
        <is>
          <t>042700.KS</t>
        </is>
      </c>
    </row>
    <row r="20" ht="24" customHeight="1">
      <c r="A20" s="29" t="inlineStr">
        <is>
          <t>2023-07-04</t>
        </is>
      </c>
      <c r="B20" s="31" t="n">
        <v>31400</v>
      </c>
      <c r="C20" s="31" t="n">
        <v>31850</v>
      </c>
      <c r="D20" s="31" t="n">
        <v>30850</v>
      </c>
      <c r="E20" s="31" t="n">
        <v>31500</v>
      </c>
      <c r="F20" s="31" t="n">
        <v>31016.21484375</v>
      </c>
      <c r="G20" s="31" t="n">
        <v>2257152</v>
      </c>
      <c r="H20" s="36" t="n">
        <v>0.009615384615384581</v>
      </c>
      <c r="I20" s="36" t="n">
        <v>0</v>
      </c>
      <c r="J20" s="31" t="n">
        <v>28867.5</v>
      </c>
      <c r="K20" s="31" t="n">
        <v>24490.16666666667</v>
      </c>
      <c r="L20" s="31" t="n">
        <v>20088.33333333333</v>
      </c>
      <c r="M20" s="36" t="n">
        <v>0.5251143805504647</v>
      </c>
      <c r="N20" s="36" t="n">
        <v>0.6760658637635716</v>
      </c>
      <c r="O20" s="36" t="n">
        <v>0.2524850894632207</v>
      </c>
      <c r="P20" s="36" t="n">
        <v>0.6170431211498972</v>
      </c>
      <c r="Q20" s="36" t="n">
        <v>1.490118577075099</v>
      </c>
      <c r="R20" s="36" t="n">
        <v>0.09119251753702251</v>
      </c>
      <c r="S20" s="36" t="n">
        <v>0.2862305278989525</v>
      </c>
      <c r="T20" s="36" t="n">
        <v>0.5680743383390028</v>
      </c>
      <c r="U20" s="31" t="n">
        <v>31500</v>
      </c>
      <c r="V20" s="31" t="n">
        <v>10800</v>
      </c>
      <c r="W20" s="36" t="n">
        <v>0</v>
      </c>
      <c r="X20" s="36" t="n">
        <v>1.916666666666667</v>
      </c>
      <c r="Y20" s="31" t="n">
        <v>95312200</v>
      </c>
      <c r="Z20" s="31" t="n">
        <v>3002334300000</v>
      </c>
      <c r="AA20" s="31" t="n">
        <v>71100288000</v>
      </c>
      <c r="AB20" s="31" t="n">
        <v>117882186952.5</v>
      </c>
      <c r="AC20" s="36" t="n">
        <v>0.02368166929312302</v>
      </c>
      <c r="AD20" s="29" t="inlineStr">
        <is>
          <t>yfinance_download</t>
        </is>
      </c>
      <c r="AE20" s="29" t="inlineStr">
        <is>
          <t>042700.KS</t>
        </is>
      </c>
    </row>
    <row r="21" ht="24" customHeight="1">
      <c r="A21" s="24" t="inlineStr">
        <is>
          <t>2023-07-05</t>
        </is>
      </c>
      <c r="B21" s="30" t="n">
        <v>31550</v>
      </c>
      <c r="C21" s="30" t="n">
        <v>31650</v>
      </c>
      <c r="D21" s="30" t="n">
        <v>30400</v>
      </c>
      <c r="E21" s="30" t="n">
        <v>30750</v>
      </c>
      <c r="F21" s="30" t="n">
        <v>30277.736328125</v>
      </c>
      <c r="G21" s="30" t="n">
        <v>2050724</v>
      </c>
      <c r="H21" s="35" t="n">
        <v>-0.02380952380952384</v>
      </c>
      <c r="I21" s="35" t="n">
        <v>-0.02380952380952384</v>
      </c>
      <c r="J21" s="30" t="n">
        <v>29155</v>
      </c>
      <c r="K21" s="30" t="n">
        <v>24675.5</v>
      </c>
      <c r="L21" s="30" t="n">
        <v>20238.33333333333</v>
      </c>
      <c r="M21" s="35" t="n">
        <v>0.5368225061907254</v>
      </c>
      <c r="N21" s="35" t="n">
        <v>0.6793772408513418</v>
      </c>
      <c r="O21" s="35" t="n">
        <v>0.23</v>
      </c>
      <c r="P21" s="35" t="n">
        <v>0.5664798777381559</v>
      </c>
      <c r="Q21" s="35" t="n">
        <v>1.411764705882353</v>
      </c>
      <c r="R21" s="35" t="n">
        <v>0.05470759732464425</v>
      </c>
      <c r="S21" s="35" t="n">
        <v>0.2461753561224695</v>
      </c>
      <c r="T21" s="35" t="n">
        <v>0.5193938894836532</v>
      </c>
      <c r="U21" s="30" t="n">
        <v>31500</v>
      </c>
      <c r="V21" s="30" t="n">
        <v>10800</v>
      </c>
      <c r="W21" s="35" t="n">
        <v>-0.02380952380952384</v>
      </c>
      <c r="X21" s="35" t="n">
        <v>1.847222222222222</v>
      </c>
      <c r="Y21" s="30" t="n">
        <v>95312200</v>
      </c>
      <c r="Z21" s="30" t="n">
        <v>2930850150000</v>
      </c>
      <c r="AA21" s="30" t="n">
        <v>63059763000</v>
      </c>
      <c r="AB21" s="30" t="n">
        <v>118846081352.5</v>
      </c>
      <c r="AC21" s="35" t="n">
        <v>0.02151586050893799</v>
      </c>
      <c r="AD21" s="24" t="inlineStr">
        <is>
          <t>yfinance_download</t>
        </is>
      </c>
      <c r="AE21" s="24" t="inlineStr">
        <is>
          <t>042700.KS</t>
        </is>
      </c>
    </row>
    <row r="22" ht="24" customHeight="1">
      <c r="A22" s="29" t="inlineStr">
        <is>
          <t>2023-07-06</t>
        </is>
      </c>
      <c r="B22" s="31" t="n">
        <v>30700</v>
      </c>
      <c r="C22" s="31" t="n">
        <v>31050</v>
      </c>
      <c r="D22" s="31" t="n">
        <v>29200</v>
      </c>
      <c r="E22" s="31" t="n">
        <v>29250</v>
      </c>
      <c r="F22" s="31" t="n">
        <v>28800.771484375</v>
      </c>
      <c r="G22" s="31" t="n">
        <v>2426992</v>
      </c>
      <c r="H22" s="36" t="n">
        <v>-0.04878048780487809</v>
      </c>
      <c r="I22" s="36" t="n">
        <v>-0.0714285714285714</v>
      </c>
      <c r="J22" s="31" t="n">
        <v>29335</v>
      </c>
      <c r="K22" s="31" t="n">
        <v>24822.16666666667</v>
      </c>
      <c r="L22" s="31" t="n">
        <v>20372.91666666667</v>
      </c>
      <c r="M22" s="36" t="n">
        <v>0.5733675933512622</v>
      </c>
      <c r="N22" s="36" t="n">
        <v>0.6856713247835946</v>
      </c>
      <c r="O22" s="36" t="n">
        <v>0.1403508771929824</v>
      </c>
      <c r="P22" s="36" t="n">
        <v>0.4303178484107579</v>
      </c>
      <c r="Q22" s="36" t="n">
        <v>1.232824427480916</v>
      </c>
      <c r="R22" s="36" t="n">
        <v>-0.002897562638486395</v>
      </c>
      <c r="S22" s="36" t="n">
        <v>0.1783822255645156</v>
      </c>
      <c r="T22" s="36" t="n">
        <v>0.4357296247060025</v>
      </c>
      <c r="U22" s="31" t="n">
        <v>31500</v>
      </c>
      <c r="V22" s="31" t="n">
        <v>10800</v>
      </c>
      <c r="W22" s="36" t="n">
        <v>-0.0714285714285714</v>
      </c>
      <c r="X22" s="36" t="n">
        <v>1.708333333333333</v>
      </c>
      <c r="Y22" s="31" t="n">
        <v>95312200</v>
      </c>
      <c r="Z22" s="31" t="n">
        <v>2787881850000</v>
      </c>
      <c r="AA22" s="31" t="n">
        <v>70989516000</v>
      </c>
      <c r="AB22" s="31" t="n">
        <v>118832273260</v>
      </c>
      <c r="AC22" s="36" t="n">
        <v>0.02546360277068413</v>
      </c>
      <c r="AD22" s="29" t="inlineStr">
        <is>
          <t>yfinance_download</t>
        </is>
      </c>
      <c r="AE22" s="29" t="inlineStr">
        <is>
          <t>042700.KS</t>
        </is>
      </c>
    </row>
    <row r="23" ht="24" customHeight="1">
      <c r="A23" s="24" t="inlineStr">
        <is>
          <t>2023-07-07</t>
        </is>
      </c>
      <c r="B23" s="30" t="n">
        <v>29250</v>
      </c>
      <c r="C23" s="30" t="n">
        <v>30700</v>
      </c>
      <c r="D23" s="30" t="n">
        <v>29050</v>
      </c>
      <c r="E23" s="30" t="n">
        <v>29350</v>
      </c>
      <c r="F23" s="30" t="n">
        <v>28899.236328125</v>
      </c>
      <c r="G23" s="30" t="n">
        <v>3032930</v>
      </c>
      <c r="H23" s="35" t="n">
        <v>0.003418803418803407</v>
      </c>
      <c r="I23" s="35" t="n">
        <v>-0.06825396825396823</v>
      </c>
      <c r="J23" s="30" t="n">
        <v>29472.5</v>
      </c>
      <c r="K23" s="30" t="n">
        <v>24978.16666666667</v>
      </c>
      <c r="L23" s="30" t="n">
        <v>20508.33333333333</v>
      </c>
      <c r="M23" s="35" t="n">
        <v>0.5624741525342614</v>
      </c>
      <c r="N23" s="35" t="n">
        <v>0.6829862396851362</v>
      </c>
      <c r="O23" s="35" t="n">
        <v>0.1033834586466165</v>
      </c>
      <c r="P23" s="35" t="n">
        <v>0.4682341170585294</v>
      </c>
      <c r="Q23" s="35" t="n">
        <v>1.240458015267175</v>
      </c>
      <c r="R23" s="35" t="n">
        <v>-0.004156416998897239</v>
      </c>
      <c r="S23" s="35" t="n">
        <v>0.1750261895388638</v>
      </c>
      <c r="T23" s="35" t="n">
        <v>0.4311255587159692</v>
      </c>
      <c r="U23" s="30" t="n">
        <v>31500</v>
      </c>
      <c r="V23" s="30" t="n">
        <v>10800</v>
      </c>
      <c r="W23" s="35" t="n">
        <v>-0.06825396825396823</v>
      </c>
      <c r="X23" s="35" t="n">
        <v>1.717592592592593</v>
      </c>
      <c r="Y23" s="30" t="n">
        <v>95312200</v>
      </c>
      <c r="Z23" s="30" t="n">
        <v>2797413070000</v>
      </c>
      <c r="AA23" s="30" t="n">
        <v>89016495500</v>
      </c>
      <c r="AB23" s="30" t="n">
        <v>117326517475</v>
      </c>
      <c r="AC23" s="35" t="n">
        <v>0.03182100507595041</v>
      </c>
      <c r="AD23" s="24" t="inlineStr">
        <is>
          <t>yfinance_download</t>
        </is>
      </c>
      <c r="AE23" s="24" t="inlineStr">
        <is>
          <t>042700.KS</t>
        </is>
      </c>
    </row>
    <row r="24" ht="24" customHeight="1">
      <c r="A24" s="29" t="inlineStr">
        <is>
          <t>2023-07-10</t>
        </is>
      </c>
      <c r="B24" s="31" t="n">
        <v>29350</v>
      </c>
      <c r="C24" s="31" t="n">
        <v>29850</v>
      </c>
      <c r="D24" s="31" t="n">
        <v>28500</v>
      </c>
      <c r="E24" s="31" t="n">
        <v>28900</v>
      </c>
      <c r="F24" s="31" t="n">
        <v>28456.1484375</v>
      </c>
      <c r="G24" s="31" t="n">
        <v>2332723</v>
      </c>
      <c r="H24" s="36" t="n">
        <v>-0.01533219761499149</v>
      </c>
      <c r="I24" s="36" t="n">
        <v>-0.08253968253968258</v>
      </c>
      <c r="J24" s="31" t="n">
        <v>29592.5</v>
      </c>
      <c r="K24" s="31" t="n">
        <v>25105.66666666667</v>
      </c>
      <c r="L24" s="31" t="n">
        <v>20640.41666666667</v>
      </c>
      <c r="M24" s="36" t="n">
        <v>0.5664900846379962</v>
      </c>
      <c r="N24" s="36" t="n">
        <v>0.6744934610314637</v>
      </c>
      <c r="O24" s="36" t="n">
        <v>0.09056603773584904</v>
      </c>
      <c r="P24" s="36" t="n">
        <v>0.3600000000000001</v>
      </c>
      <c r="Q24" s="36" t="n">
        <v>1.21455938697318</v>
      </c>
      <c r="R24" s="36" t="n">
        <v>-0.02340119962828424</v>
      </c>
      <c r="S24" s="36" t="n">
        <v>0.151134538019305</v>
      </c>
      <c r="T24" s="36" t="n">
        <v>0.4001655328340432</v>
      </c>
      <c r="U24" s="31" t="n">
        <v>31500</v>
      </c>
      <c r="V24" s="31" t="n">
        <v>10800</v>
      </c>
      <c r="W24" s="36" t="n">
        <v>-0.08253968253968258</v>
      </c>
      <c r="X24" s="36" t="n">
        <v>1.675925925925926</v>
      </c>
      <c r="Y24" s="31" t="n">
        <v>95312200</v>
      </c>
      <c r="Z24" s="31" t="n">
        <v>2754522580000</v>
      </c>
      <c r="AA24" s="31" t="n">
        <v>67415694700</v>
      </c>
      <c r="AB24" s="31" t="n">
        <v>118492669160</v>
      </c>
      <c r="AC24" s="36" t="n">
        <v>0.02447454785431456</v>
      </c>
      <c r="AD24" s="29" t="inlineStr">
        <is>
          <t>yfinance_download</t>
        </is>
      </c>
      <c r="AE24" s="29" t="inlineStr">
        <is>
          <t>042700.KS</t>
        </is>
      </c>
    </row>
    <row r="25" ht="24" customHeight="1">
      <c r="A25" s="24" t="inlineStr">
        <is>
          <t>2023-07-11</t>
        </is>
      </c>
      <c r="B25" s="30" t="n">
        <v>29050</v>
      </c>
      <c r="C25" s="30" t="n">
        <v>30500</v>
      </c>
      <c r="D25" s="30" t="n">
        <v>29050</v>
      </c>
      <c r="E25" s="30" t="n">
        <v>30500</v>
      </c>
      <c r="F25" s="30" t="n">
        <v>30031.57421875</v>
      </c>
      <c r="G25" s="30" t="n">
        <v>1980704</v>
      </c>
      <c r="H25" s="35" t="n">
        <v>0.05536332179930792</v>
      </c>
      <c r="I25" s="35" t="n">
        <v>-0.03174603174603174</v>
      </c>
      <c r="J25" s="30" t="n">
        <v>29787.5</v>
      </c>
      <c r="K25" s="30" t="n">
        <v>25274.83333333333</v>
      </c>
      <c r="L25" s="30" t="n">
        <v>20785.41666666667</v>
      </c>
      <c r="M25" s="35" t="n">
        <v>0.594018579839555</v>
      </c>
      <c r="N25" s="35" t="n">
        <v>0.6743180130355805</v>
      </c>
      <c r="O25" s="35" t="n">
        <v>0.1466165413533835</v>
      </c>
      <c r="P25" s="35" t="n">
        <v>0.4987714987714988</v>
      </c>
      <c r="Q25" s="35" t="n">
        <v>1.328244274809161</v>
      </c>
      <c r="R25" s="35" t="n">
        <v>0.02391942929080981</v>
      </c>
      <c r="S25" s="35" t="n">
        <v>0.2067339712098333</v>
      </c>
      <c r="T25" s="35" t="n">
        <v>0.467374962413551</v>
      </c>
      <c r="U25" s="30" t="n">
        <v>31500</v>
      </c>
      <c r="V25" s="30" t="n">
        <v>10800</v>
      </c>
      <c r="W25" s="35" t="n">
        <v>-0.03174603174603174</v>
      </c>
      <c r="X25" s="35" t="n">
        <v>1.824074074074074</v>
      </c>
      <c r="Y25" s="30" t="n">
        <v>95312200</v>
      </c>
      <c r="Z25" s="30" t="n">
        <v>2907022100000</v>
      </c>
      <c r="AA25" s="30" t="n">
        <v>60411472000</v>
      </c>
      <c r="AB25" s="30" t="n">
        <v>116253253690</v>
      </c>
      <c r="AC25" s="35" t="n">
        <v>0.02078122213105982</v>
      </c>
      <c r="AD25" s="24" t="inlineStr">
        <is>
          <t>yfinance_download</t>
        </is>
      </c>
      <c r="AE25" s="24" t="inlineStr">
        <is>
          <t>042700.KS</t>
        </is>
      </c>
    </row>
    <row r="26" ht="24" customHeight="1">
      <c r="A26" s="29" t="inlineStr">
        <is>
          <t>2023-07-12</t>
        </is>
      </c>
      <c r="B26" s="31" t="n">
        <v>30500</v>
      </c>
      <c r="C26" s="31" t="n">
        <v>31800</v>
      </c>
      <c r="D26" s="31" t="n">
        <v>30300</v>
      </c>
      <c r="E26" s="31" t="n">
        <v>31700</v>
      </c>
      <c r="F26" s="31" t="n">
        <v>31213.14453125</v>
      </c>
      <c r="G26" s="31" t="n">
        <v>2730361</v>
      </c>
      <c r="H26" s="36" t="n">
        <v>0.03934426229508192</v>
      </c>
      <c r="I26" s="36" t="n">
        <v>0</v>
      </c>
      <c r="J26" s="31" t="n">
        <v>30055</v>
      </c>
      <c r="K26" s="31" t="n">
        <v>25464.83333333333</v>
      </c>
      <c r="L26" s="31" t="n">
        <v>20939.58333333333</v>
      </c>
      <c r="M26" s="36" t="n">
        <v>0.6007723340401688</v>
      </c>
      <c r="N26" s="36" t="n">
        <v>0.6770903864928645</v>
      </c>
      <c r="O26" s="36" t="n">
        <v>0.2030360531309299</v>
      </c>
      <c r="P26" s="36" t="n">
        <v>0.5615763546798029</v>
      </c>
      <c r="Q26" s="36" t="n">
        <v>1.401515151515151</v>
      </c>
      <c r="R26" s="36" t="n">
        <v>0.05473298951921479</v>
      </c>
      <c r="S26" s="36" t="n">
        <v>0.2448540143596725</v>
      </c>
      <c r="T26" s="36" t="n">
        <v>0.5138792159984082</v>
      </c>
      <c r="U26" s="31" t="n">
        <v>31700</v>
      </c>
      <c r="V26" s="31" t="n">
        <v>10800</v>
      </c>
      <c r="W26" s="36" t="n">
        <v>0</v>
      </c>
      <c r="X26" s="36" t="n">
        <v>1.935185185185185</v>
      </c>
      <c r="Y26" s="31" t="n">
        <v>95312200</v>
      </c>
      <c r="Z26" s="31" t="n">
        <v>3021396740000</v>
      </c>
      <c r="AA26" s="31" t="n">
        <v>86552443700</v>
      </c>
      <c r="AB26" s="31" t="n">
        <v>115958135957.5</v>
      </c>
      <c r="AC26" s="36" t="n">
        <v>0.02864650065783814</v>
      </c>
      <c r="AD26" s="29" t="inlineStr">
        <is>
          <t>yfinance_download</t>
        </is>
      </c>
      <c r="AE26" s="29" t="inlineStr">
        <is>
          <t>042700.KS</t>
        </is>
      </c>
    </row>
    <row r="27" ht="24" customHeight="1">
      <c r="A27" s="24" t="inlineStr">
        <is>
          <t>2023-07-13</t>
        </is>
      </c>
      <c r="B27" s="30" t="n">
        <v>32650</v>
      </c>
      <c r="C27" s="30" t="n">
        <v>41200</v>
      </c>
      <c r="D27" s="30" t="n">
        <v>32300</v>
      </c>
      <c r="E27" s="30" t="n">
        <v>41200</v>
      </c>
      <c r="F27" s="30" t="n">
        <v>40567.23828125</v>
      </c>
      <c r="G27" s="30" t="n">
        <v>20838329</v>
      </c>
      <c r="H27" s="35" t="n">
        <v>0.2996845425867507</v>
      </c>
      <c r="I27" s="35" t="n">
        <v>0</v>
      </c>
      <c r="J27" s="30" t="n">
        <v>30657.5</v>
      </c>
      <c r="K27" s="30" t="n">
        <v>25820.16666666667</v>
      </c>
      <c r="L27" s="30" t="n">
        <v>21172.91666666667</v>
      </c>
      <c r="M27" s="35" t="n">
        <v>1.151727498084384</v>
      </c>
      <c r="N27" s="35" t="n">
        <v>0.9001117082957829</v>
      </c>
      <c r="O27" s="35" t="n">
        <v>0.4133790737564322</v>
      </c>
      <c r="P27" s="35" t="n">
        <v>1.072434607645875</v>
      </c>
      <c r="Q27" s="35" t="n">
        <v>2.121212121212121</v>
      </c>
      <c r="R27" s="35" t="n">
        <v>0.3438799641197097</v>
      </c>
      <c r="S27" s="35" t="n">
        <v>0.5956519774594793</v>
      </c>
      <c r="T27" s="35" t="n">
        <v>0.9458821214208402</v>
      </c>
      <c r="U27" s="30" t="n">
        <v>41200</v>
      </c>
      <c r="V27" s="30" t="n">
        <v>10800</v>
      </c>
      <c r="W27" s="35" t="n">
        <v>0</v>
      </c>
      <c r="X27" s="35" t="n">
        <v>2.814814814814815</v>
      </c>
      <c r="Y27" s="30" t="n">
        <v>95312200</v>
      </c>
      <c r="Z27" s="30" t="n">
        <v>3926862640000</v>
      </c>
      <c r="AA27" s="30" t="n">
        <v>858539154800</v>
      </c>
      <c r="AB27" s="30" t="n">
        <v>137706878287.5</v>
      </c>
      <c r="AC27" s="35" t="n">
        <v>0.2186323366788302</v>
      </c>
      <c r="AD27" s="24" t="inlineStr">
        <is>
          <t>yfinance_download</t>
        </is>
      </c>
      <c r="AE27" s="24" t="inlineStr">
        <is>
          <t>042700.KS</t>
        </is>
      </c>
    </row>
    <row r="28" ht="24" customHeight="1">
      <c r="A28" s="29" t="inlineStr">
        <is>
          <t>2023-07-14</t>
        </is>
      </c>
      <c r="B28" s="31" t="n">
        <v>43250</v>
      </c>
      <c r="C28" s="31" t="n">
        <v>50100</v>
      </c>
      <c r="D28" s="31" t="n">
        <v>42200</v>
      </c>
      <c r="E28" s="31" t="n">
        <v>46800</v>
      </c>
      <c r="F28" s="31" t="n">
        <v>46081.23828125</v>
      </c>
      <c r="G28" s="31" t="n">
        <v>21767501</v>
      </c>
      <c r="H28" s="36" t="n">
        <v>0.1359223300970873</v>
      </c>
      <c r="I28" s="36" t="n">
        <v>0</v>
      </c>
      <c r="J28" s="31" t="n">
        <v>31542.5</v>
      </c>
      <c r="K28" s="31" t="n">
        <v>26265.16666666667</v>
      </c>
      <c r="L28" s="31" t="n">
        <v>21452.08333333333</v>
      </c>
      <c r="M28" s="36" t="n">
        <v>1.219537017683554</v>
      </c>
      <c r="N28" s="36" t="n">
        <v>0.9343076505846311</v>
      </c>
      <c r="O28" s="36" t="n">
        <v>0.6082474226804124</v>
      </c>
      <c r="P28" s="36" t="n">
        <v>1.328358208955224</v>
      </c>
      <c r="Q28" s="36" t="n">
        <v>2.518796992481203</v>
      </c>
      <c r="R28" s="36" t="n">
        <v>0.4837124514543869</v>
      </c>
      <c r="S28" s="36" t="n">
        <v>0.7818276424415098</v>
      </c>
      <c r="T28" s="36" t="n">
        <v>1.181606293095076</v>
      </c>
      <c r="U28" s="31" t="n">
        <v>46800</v>
      </c>
      <c r="V28" s="31" t="n">
        <v>10800</v>
      </c>
      <c r="W28" s="36" t="n">
        <v>0</v>
      </c>
      <c r="X28" s="36" t="n">
        <v>3.333333333333333</v>
      </c>
      <c r="Y28" s="31" t="n">
        <v>95312200</v>
      </c>
      <c r="Z28" s="31" t="n">
        <v>4460610960000</v>
      </c>
      <c r="AA28" s="31" t="n">
        <v>1018719046800</v>
      </c>
      <c r="AB28" s="31" t="n">
        <v>179686319137.5</v>
      </c>
      <c r="AC28" s="36" t="n">
        <v>0.2283810571993931</v>
      </c>
      <c r="AD28" s="29" t="inlineStr">
        <is>
          <t>yfinance_download</t>
        </is>
      </c>
      <c r="AE28" s="29" t="inlineStr">
        <is>
          <t>042700.KS</t>
        </is>
      </c>
    </row>
    <row r="29" ht="24" customHeight="1">
      <c r="A29" s="24" t="inlineStr">
        <is>
          <t>2023-07-17</t>
        </is>
      </c>
      <c r="B29" s="30" t="n">
        <v>45000</v>
      </c>
      <c r="C29" s="30" t="n">
        <v>50000</v>
      </c>
      <c r="D29" s="30" t="n">
        <v>44850</v>
      </c>
      <c r="E29" s="30" t="n">
        <v>49500</v>
      </c>
      <c r="F29" s="30" t="n">
        <v>48739.76953125</v>
      </c>
      <c r="G29" s="30" t="n">
        <v>7552831</v>
      </c>
      <c r="H29" s="35" t="n">
        <v>0.05769230769230771</v>
      </c>
      <c r="I29" s="35" t="n">
        <v>0</v>
      </c>
      <c r="J29" s="30" t="n">
        <v>32552.5</v>
      </c>
      <c r="K29" s="30" t="n">
        <v>26756.83333333333</v>
      </c>
      <c r="L29" s="30" t="n">
        <v>21753.75</v>
      </c>
      <c r="M29" s="35" t="n">
        <v>1.222026320304705</v>
      </c>
      <c r="N29" s="35" t="n">
        <v>0.9372012943102068</v>
      </c>
      <c r="O29" s="35" t="n">
        <v>0.689419795221843</v>
      </c>
      <c r="P29" s="35" t="n">
        <v>1.475</v>
      </c>
      <c r="Q29" s="35" t="n">
        <v>2.721804511278195</v>
      </c>
      <c r="R29" s="35" t="n">
        <v>0.5206205360571385</v>
      </c>
      <c r="S29" s="35" t="n">
        <v>0.8499947054023584</v>
      </c>
      <c r="T29" s="35" t="n">
        <v>1.275469746595415</v>
      </c>
      <c r="U29" s="30" t="n">
        <v>49500</v>
      </c>
      <c r="V29" s="30" t="n">
        <v>10800</v>
      </c>
      <c r="W29" s="35" t="n">
        <v>0</v>
      </c>
      <c r="X29" s="35" t="n">
        <v>3.583333333333333</v>
      </c>
      <c r="Y29" s="30" t="n">
        <v>95312200</v>
      </c>
      <c r="Z29" s="30" t="n">
        <v>4717953900000</v>
      </c>
      <c r="AA29" s="30" t="n">
        <v>373865134500</v>
      </c>
      <c r="AB29" s="30" t="n">
        <v>192399013687.5</v>
      </c>
      <c r="AC29" s="35" t="n">
        <v>0.07924306646997971</v>
      </c>
      <c r="AD29" s="24" t="inlineStr">
        <is>
          <t>yfinance_download</t>
        </is>
      </c>
      <c r="AE29" s="24" t="inlineStr">
        <is>
          <t>042700.KS</t>
        </is>
      </c>
    </row>
    <row r="30" ht="24" customHeight="1">
      <c r="A30" s="29" t="inlineStr">
        <is>
          <t>2023-07-18</t>
        </is>
      </c>
      <c r="B30" s="31" t="n">
        <v>48750</v>
      </c>
      <c r="C30" s="31" t="n">
        <v>51000</v>
      </c>
      <c r="D30" s="31" t="n">
        <v>47300</v>
      </c>
      <c r="E30" s="31" t="n">
        <v>49550</v>
      </c>
      <c r="F30" s="31" t="n">
        <v>48789</v>
      </c>
      <c r="G30" s="31" t="n">
        <v>5066011</v>
      </c>
      <c r="H30" s="36" t="n">
        <v>0.001010101010100906</v>
      </c>
      <c r="I30" s="36" t="n">
        <v>0</v>
      </c>
      <c r="J30" s="31" t="n">
        <v>33485</v>
      </c>
      <c r="K30" s="31" t="n">
        <v>27243.5</v>
      </c>
      <c r="L30" s="31" t="n">
        <v>22057.5</v>
      </c>
      <c r="M30" s="36" t="n">
        <v>1.221965679153853</v>
      </c>
      <c r="N30" s="36" t="n">
        <v>0.9377551554780197</v>
      </c>
      <c r="O30" s="36" t="n">
        <v>0.6035598705501619</v>
      </c>
      <c r="P30" s="36" t="n">
        <v>1.434889434889435</v>
      </c>
      <c r="Q30" s="36" t="n">
        <v>2.782442748091603</v>
      </c>
      <c r="R30" s="36" t="n">
        <v>0.4797670598775572</v>
      </c>
      <c r="S30" s="36" t="n">
        <v>0.8187824618716391</v>
      </c>
      <c r="T30" s="36" t="n">
        <v>1.246401450753712</v>
      </c>
      <c r="U30" s="31" t="n">
        <v>49550</v>
      </c>
      <c r="V30" s="31" t="n">
        <v>10800</v>
      </c>
      <c r="W30" s="36" t="n">
        <v>0</v>
      </c>
      <c r="X30" s="36" t="n">
        <v>3.587962962962963</v>
      </c>
      <c r="Y30" s="31" t="n">
        <v>95312200</v>
      </c>
      <c r="Z30" s="31" t="n">
        <v>4722719510000</v>
      </c>
      <c r="AA30" s="31" t="n">
        <v>251020845050</v>
      </c>
      <c r="AB30" s="31" t="n">
        <v>197245100770</v>
      </c>
      <c r="AC30" s="36" t="n">
        <v>0.05315175811700915</v>
      </c>
      <c r="AD30" s="29" t="inlineStr">
        <is>
          <t>yfinance_download</t>
        </is>
      </c>
      <c r="AE30" s="29" t="inlineStr">
        <is>
          <t>042700.KS</t>
        </is>
      </c>
    </row>
    <row r="31" ht="24" customHeight="1">
      <c r="A31" s="24" t="inlineStr">
        <is>
          <t>2023-07-19</t>
        </is>
      </c>
      <c r="B31" s="30" t="n">
        <v>48700</v>
      </c>
      <c r="C31" s="30" t="n">
        <v>48750</v>
      </c>
      <c r="D31" s="30" t="n">
        <v>41650</v>
      </c>
      <c r="E31" s="30" t="n">
        <v>43500</v>
      </c>
      <c r="F31" s="30" t="n">
        <v>42831.91796875</v>
      </c>
      <c r="G31" s="30" t="n">
        <v>7899022</v>
      </c>
      <c r="H31" s="35" t="n">
        <v>-0.1220988900100908</v>
      </c>
      <c r="I31" s="35" t="n">
        <v>-0.1220988900100908</v>
      </c>
      <c r="J31" s="30" t="n">
        <v>34200</v>
      </c>
      <c r="K31" s="30" t="n">
        <v>27616</v>
      </c>
      <c r="L31" s="30" t="n">
        <v>22305.66666666667</v>
      </c>
      <c r="M31" s="35" t="n">
        <v>1.301812164085551</v>
      </c>
      <c r="N31" s="35" t="n">
        <v>0.9784382208310993</v>
      </c>
      <c r="O31" s="35" t="n">
        <v>0.4897260273972603</v>
      </c>
      <c r="P31" s="35" t="n">
        <v>1.056737588652482</v>
      </c>
      <c r="Q31" s="35" t="n">
        <v>2.170553935860058</v>
      </c>
      <c r="R31" s="35" t="n">
        <v>0.2719298245614035</v>
      </c>
      <c r="S31" s="35" t="n">
        <v>0.5751738122827346</v>
      </c>
      <c r="T31" s="35" t="n">
        <v>0.9501770850456535</v>
      </c>
      <c r="U31" s="30" t="n">
        <v>49550</v>
      </c>
      <c r="V31" s="30" t="n">
        <v>10800</v>
      </c>
      <c r="W31" s="35" t="n">
        <v>-0.1220988900100908</v>
      </c>
      <c r="X31" s="35" t="n">
        <v>3.027777777777778</v>
      </c>
      <c r="Y31" s="30" t="n">
        <v>95312200</v>
      </c>
      <c r="Z31" s="30" t="n">
        <v>4146080700000</v>
      </c>
      <c r="AA31" s="30" t="n">
        <v>343607457000</v>
      </c>
      <c r="AB31" s="30" t="n">
        <v>207408513600</v>
      </c>
      <c r="AC31" s="35" t="n">
        <v>0.08287524577126539</v>
      </c>
      <c r="AD31" s="24" t="inlineStr">
        <is>
          <t>yfinance_download</t>
        </is>
      </c>
      <c r="AE31" s="24" t="inlineStr">
        <is>
          <t>042700.KS</t>
        </is>
      </c>
    </row>
    <row r="32" ht="24" customHeight="1">
      <c r="A32" s="29" t="inlineStr">
        <is>
          <t>2023-07-20</t>
        </is>
      </c>
      <c r="B32" s="31" t="n">
        <v>43800</v>
      </c>
      <c r="C32" s="31" t="n">
        <v>46850</v>
      </c>
      <c r="D32" s="31" t="n">
        <v>42550</v>
      </c>
      <c r="E32" s="31" t="n">
        <v>45950</v>
      </c>
      <c r="F32" s="31" t="n">
        <v>45244.29296875</v>
      </c>
      <c r="G32" s="31" t="n">
        <v>4565421</v>
      </c>
      <c r="H32" s="36" t="n">
        <v>0.05632183908045985</v>
      </c>
      <c r="I32" s="36" t="n">
        <v>-0.07265388496468217</v>
      </c>
      <c r="J32" s="31" t="n">
        <v>35045</v>
      </c>
      <c r="K32" s="31" t="n">
        <v>28021.83333333333</v>
      </c>
      <c r="L32" s="31" t="n">
        <v>22574.25</v>
      </c>
      <c r="M32" s="36" t="n">
        <v>1.302466623943134</v>
      </c>
      <c r="N32" s="36" t="n">
        <v>0.9822107914831676</v>
      </c>
      <c r="O32" s="36" t="n">
        <v>0.5817555938037866</v>
      </c>
      <c r="P32" s="36" t="n">
        <v>1.127314814814815</v>
      </c>
      <c r="Q32" s="36" t="n">
        <v>2.349125364431487</v>
      </c>
      <c r="R32" s="36" t="n">
        <v>0.3111713511199885</v>
      </c>
      <c r="S32" s="36" t="n">
        <v>0.6397927806293902</v>
      </c>
      <c r="T32" s="36" t="n">
        <v>1.035505055538944</v>
      </c>
      <c r="U32" s="31" t="n">
        <v>49550</v>
      </c>
      <c r="V32" s="31" t="n">
        <v>10800</v>
      </c>
      <c r="W32" s="36" t="n">
        <v>-0.07265388496468217</v>
      </c>
      <c r="X32" s="36" t="n">
        <v>3.25462962962963</v>
      </c>
      <c r="Y32" s="31" t="n">
        <v>95312200</v>
      </c>
      <c r="Z32" s="31" t="n">
        <v>4379595590000</v>
      </c>
      <c r="AA32" s="31" t="n">
        <v>209781094950</v>
      </c>
      <c r="AB32" s="31" t="n">
        <v>214548556527.5</v>
      </c>
      <c r="AC32" s="36" t="n">
        <v>0.04789964978250423</v>
      </c>
      <c r="AD32" s="29" t="inlineStr">
        <is>
          <t>yfinance_download</t>
        </is>
      </c>
      <c r="AE32" s="29" t="inlineStr">
        <is>
          <t>042700.KS</t>
        </is>
      </c>
    </row>
    <row r="33" ht="24" customHeight="1">
      <c r="A33" s="24" t="inlineStr">
        <is>
          <t>2023-07-21</t>
        </is>
      </c>
      <c r="B33" s="30" t="n">
        <v>43700</v>
      </c>
      <c r="C33" s="30" t="n">
        <v>45300</v>
      </c>
      <c r="D33" s="30" t="n">
        <v>43250</v>
      </c>
      <c r="E33" s="30" t="n">
        <v>45000</v>
      </c>
      <c r="F33" s="30" t="n">
        <v>44308.87890625</v>
      </c>
      <c r="G33" s="30" t="n">
        <v>1791822</v>
      </c>
      <c r="H33" s="35" t="n">
        <v>-0.02067464635473337</v>
      </c>
      <c r="I33" s="35" t="n">
        <v>-0.09182643794147327</v>
      </c>
      <c r="J33" s="30" t="n">
        <v>35777.5</v>
      </c>
      <c r="K33" s="30" t="n">
        <v>28433.5</v>
      </c>
      <c r="L33" s="30" t="n">
        <v>22834.16666666667</v>
      </c>
      <c r="M33" s="35" t="n">
        <v>1.310708411840138</v>
      </c>
      <c r="N33" s="35" t="n">
        <v>0.9726903705479734</v>
      </c>
      <c r="O33" s="35" t="n">
        <v>0.4827018121911038</v>
      </c>
      <c r="P33" s="35" t="n">
        <v>1.216748768472907</v>
      </c>
      <c r="Q33" s="35" t="n">
        <v>2.258508327299058</v>
      </c>
      <c r="R33" s="35" t="n">
        <v>0.2577737404793516</v>
      </c>
      <c r="S33" s="35" t="n">
        <v>0.5826401955439886</v>
      </c>
      <c r="T33" s="35" t="n">
        <v>0.9707309952191525</v>
      </c>
      <c r="U33" s="30" t="n">
        <v>49550</v>
      </c>
      <c r="V33" s="30" t="n">
        <v>10800</v>
      </c>
      <c r="W33" s="35" t="n">
        <v>-0.09182643794147327</v>
      </c>
      <c r="X33" s="35" t="n">
        <v>3.166666666666667</v>
      </c>
      <c r="Y33" s="30" t="n">
        <v>95312200</v>
      </c>
      <c r="Z33" s="30" t="n">
        <v>4289049000000</v>
      </c>
      <c r="AA33" s="30" t="n">
        <v>80631990000</v>
      </c>
      <c r="AB33" s="30" t="n">
        <v>208963887515</v>
      </c>
      <c r="AC33" s="35" t="n">
        <v>0.01879950310663273</v>
      </c>
      <c r="AD33" s="24" t="inlineStr">
        <is>
          <t>yfinance_download</t>
        </is>
      </c>
      <c r="AE33" s="24" t="inlineStr">
        <is>
          <t>042700.KS</t>
        </is>
      </c>
    </row>
    <row r="34" ht="24" customHeight="1">
      <c r="A34" s="29" t="inlineStr">
        <is>
          <t>2023-07-24</t>
        </is>
      </c>
      <c r="B34" s="31" t="n">
        <v>43250</v>
      </c>
      <c r="C34" s="31" t="n">
        <v>47500</v>
      </c>
      <c r="D34" s="31" t="n">
        <v>40550</v>
      </c>
      <c r="E34" s="31" t="n">
        <v>47200</v>
      </c>
      <c r="F34" s="31" t="n">
        <v>46475.08984375</v>
      </c>
      <c r="G34" s="31" t="n">
        <v>6560531</v>
      </c>
      <c r="H34" s="36" t="n">
        <v>0.04888888888888898</v>
      </c>
      <c r="I34" s="36" t="n">
        <v>-0.04742684157416754</v>
      </c>
      <c r="J34" s="31" t="n">
        <v>36605</v>
      </c>
      <c r="K34" s="31" t="n">
        <v>28879.33333333333</v>
      </c>
      <c r="L34" s="31" t="n">
        <v>23112</v>
      </c>
      <c r="M34" s="36" t="n">
        <v>1.312916599105179</v>
      </c>
      <c r="N34" s="36" t="n">
        <v>0.9750112074608299</v>
      </c>
      <c r="O34" s="36" t="n">
        <v>0.5399673735725938</v>
      </c>
      <c r="P34" s="36" t="n">
        <v>1.308068459657702</v>
      </c>
      <c r="Q34" s="36" t="n">
        <v>2.405483405483405</v>
      </c>
      <c r="R34" s="36" t="n">
        <v>0.2894413331512089</v>
      </c>
      <c r="S34" s="36" t="n">
        <v>0.6343867586971075</v>
      </c>
      <c r="T34" s="36" t="n">
        <v>1.042229145032883</v>
      </c>
      <c r="U34" s="31" t="n">
        <v>49550</v>
      </c>
      <c r="V34" s="31" t="n">
        <v>10800</v>
      </c>
      <c r="W34" s="36" t="n">
        <v>-0.04742684157416754</v>
      </c>
      <c r="X34" s="36" t="n">
        <v>3.37037037037037</v>
      </c>
      <c r="Y34" s="31" t="n">
        <v>95312200</v>
      </c>
      <c r="Z34" s="31" t="n">
        <v>4498735840000</v>
      </c>
      <c r="AA34" s="31" t="n">
        <v>309657063200</v>
      </c>
      <c r="AB34" s="31" t="n">
        <v>220782436627.5</v>
      </c>
      <c r="AC34" s="36" t="n">
        <v>0.06883201730733317</v>
      </c>
      <c r="AD34" s="29" t="inlineStr">
        <is>
          <t>yfinance_download</t>
        </is>
      </c>
      <c r="AE34" s="29" t="inlineStr">
        <is>
          <t>042700.KS</t>
        </is>
      </c>
    </row>
    <row r="35" ht="24" customHeight="1">
      <c r="A35" s="24" t="inlineStr">
        <is>
          <t>2023-07-25</t>
        </is>
      </c>
      <c r="B35" s="30" t="n">
        <v>46950</v>
      </c>
      <c r="C35" s="30" t="n">
        <v>51500</v>
      </c>
      <c r="D35" s="30" t="n">
        <v>45100</v>
      </c>
      <c r="E35" s="30" t="n">
        <v>46300</v>
      </c>
      <c r="F35" s="30" t="n">
        <v>45588.9140625</v>
      </c>
      <c r="G35" s="30" t="n">
        <v>3878548</v>
      </c>
      <c r="H35" s="35" t="n">
        <v>-0.01906779661016944</v>
      </c>
      <c r="I35" s="35" t="n">
        <v>-0.065590312815338</v>
      </c>
      <c r="J35" s="30" t="n">
        <v>37415</v>
      </c>
      <c r="K35" s="30" t="n">
        <v>29291.83333333333</v>
      </c>
      <c r="L35" s="30" t="n">
        <v>23379.41666666667</v>
      </c>
      <c r="M35" s="35" t="n">
        <v>1.313407167991663</v>
      </c>
      <c r="N35" s="35" t="n">
        <v>0.97429786219784</v>
      </c>
      <c r="O35" s="35" t="n">
        <v>0.5382059800664452</v>
      </c>
      <c r="P35" s="35" t="n">
        <v>1.148491879350348</v>
      </c>
      <c r="Q35" s="35" t="n">
        <v>2.258268824771288</v>
      </c>
      <c r="R35" s="35" t="n">
        <v>0.2374716022985435</v>
      </c>
      <c r="S35" s="35" t="n">
        <v>0.5806453448344533</v>
      </c>
      <c r="T35" s="35" t="n">
        <v>0.9803744746981853</v>
      </c>
      <c r="U35" s="30" t="n">
        <v>49550</v>
      </c>
      <c r="V35" s="30" t="n">
        <v>10800</v>
      </c>
      <c r="W35" s="35" t="n">
        <v>-0.065590312815338</v>
      </c>
      <c r="X35" s="35" t="n">
        <v>3.287037037037037</v>
      </c>
      <c r="Y35" s="30" t="n">
        <v>95312200</v>
      </c>
      <c r="Z35" s="30" t="n">
        <v>4412954860000</v>
      </c>
      <c r="AA35" s="30" t="n">
        <v>179576772400</v>
      </c>
      <c r="AB35" s="30" t="n">
        <v>226765407197.5</v>
      </c>
      <c r="AC35" s="35" t="n">
        <v>0.04069309070612157</v>
      </c>
      <c r="AD35" s="24" t="inlineStr">
        <is>
          <t>yfinance_download</t>
        </is>
      </c>
      <c r="AE35" s="24" t="inlineStr">
        <is>
          <t>042700.KS</t>
        </is>
      </c>
    </row>
    <row r="36" ht="24" customHeight="1">
      <c r="A36" s="29" t="inlineStr">
        <is>
          <t>2023-07-26</t>
        </is>
      </c>
      <c r="B36" s="31" t="n">
        <v>47600</v>
      </c>
      <c r="C36" s="31" t="n">
        <v>49000</v>
      </c>
      <c r="D36" s="31" t="n">
        <v>42000</v>
      </c>
      <c r="E36" s="31" t="n">
        <v>43800</v>
      </c>
      <c r="F36" s="31" t="n">
        <v>43127.30859375</v>
      </c>
      <c r="G36" s="31" t="n">
        <v>4815985</v>
      </c>
      <c r="H36" s="36" t="n">
        <v>-0.05399568034557234</v>
      </c>
      <c r="I36" s="36" t="n">
        <v>-0.1160443995963673</v>
      </c>
      <c r="J36" s="31" t="n">
        <v>38115</v>
      </c>
      <c r="K36" s="31" t="n">
        <v>29663.5</v>
      </c>
      <c r="L36" s="31" t="n">
        <v>23626.08333333333</v>
      </c>
      <c r="M36" s="36" t="n">
        <v>1.33789368045976</v>
      </c>
      <c r="N36" s="36" t="n">
        <v>0.9838218480778628</v>
      </c>
      <c r="O36" s="36" t="n">
        <v>0.4697986577181208</v>
      </c>
      <c r="P36" s="36" t="n">
        <v>1.037209302325581</v>
      </c>
      <c r="Q36" s="36" t="n">
        <v>2.084507042253521</v>
      </c>
      <c r="R36" s="36" t="n">
        <v>0.1491538764266036</v>
      </c>
      <c r="S36" s="36" t="n">
        <v>0.476562104943786</v>
      </c>
      <c r="T36" s="36" t="n">
        <v>0.8538832434491541</v>
      </c>
      <c r="U36" s="31" t="n">
        <v>49550</v>
      </c>
      <c r="V36" s="31" t="n">
        <v>10800</v>
      </c>
      <c r="W36" s="36" t="n">
        <v>-0.1160443995963673</v>
      </c>
      <c r="X36" s="36" t="n">
        <v>3.055555555555555</v>
      </c>
      <c r="Y36" s="31" t="n">
        <v>95312200</v>
      </c>
      <c r="Z36" s="31" t="n">
        <v>4174674360000</v>
      </c>
      <c r="AA36" s="31" t="n">
        <v>210940143000</v>
      </c>
      <c r="AB36" s="31" t="n">
        <v>233541671347.5</v>
      </c>
      <c r="AC36" s="36" t="n">
        <v>0.05052852625372198</v>
      </c>
      <c r="AD36" s="29" t="inlineStr">
        <is>
          <t>yfinance_download</t>
        </is>
      </c>
      <c r="AE36" s="29" t="inlineStr">
        <is>
          <t>042700.KS</t>
        </is>
      </c>
    </row>
    <row r="37" ht="24" customHeight="1">
      <c r="A37" s="24" t="inlineStr">
        <is>
          <t>2023-07-27</t>
        </is>
      </c>
      <c r="B37" s="30" t="n">
        <v>43500</v>
      </c>
      <c r="C37" s="30" t="n">
        <v>46950</v>
      </c>
      <c r="D37" s="30" t="n">
        <v>42350</v>
      </c>
      <c r="E37" s="30" t="n">
        <v>45900</v>
      </c>
      <c r="F37" s="30" t="n">
        <v>45195.0625</v>
      </c>
      <c r="G37" s="30" t="n">
        <v>3908705</v>
      </c>
      <c r="H37" s="35" t="n">
        <v>0.04794520547945202</v>
      </c>
      <c r="I37" s="35" t="n">
        <v>-0.0736629667003027</v>
      </c>
      <c r="J37" s="30" t="n">
        <v>38900</v>
      </c>
      <c r="K37" s="30" t="n">
        <v>30086</v>
      </c>
      <c r="L37" s="30" t="n">
        <v>23887.66666666667</v>
      </c>
      <c r="M37" s="35" t="n">
        <v>1.34039520177312</v>
      </c>
      <c r="N37" s="35" t="n">
        <v>0.9787906191682415</v>
      </c>
      <c r="O37" s="35" t="n">
        <v>0.5198675496688743</v>
      </c>
      <c r="P37" s="35" t="n">
        <v>1.233576642335767</v>
      </c>
      <c r="Q37" s="35" t="n">
        <v>2.163335630599586</v>
      </c>
      <c r="R37" s="35" t="n">
        <v>0.1799485861182519</v>
      </c>
      <c r="S37" s="35" t="n">
        <v>0.525626537259855</v>
      </c>
      <c r="T37" s="35" t="n">
        <v>0.921493657815051</v>
      </c>
      <c r="U37" s="30" t="n">
        <v>49550</v>
      </c>
      <c r="V37" s="30" t="n">
        <v>10800</v>
      </c>
      <c r="W37" s="35" t="n">
        <v>-0.0736629667003027</v>
      </c>
      <c r="X37" s="35" t="n">
        <v>3.25</v>
      </c>
      <c r="Y37" s="30" t="n">
        <v>95312200</v>
      </c>
      <c r="Z37" s="30" t="n">
        <v>4374829980000</v>
      </c>
      <c r="AA37" s="30" t="n">
        <v>179409559500</v>
      </c>
      <c r="AB37" s="30" t="n">
        <v>236397975102.5</v>
      </c>
      <c r="AC37" s="35" t="n">
        <v>0.04100949301348621</v>
      </c>
      <c r="AD37" s="24" t="inlineStr">
        <is>
          <t>yfinance_download</t>
        </is>
      </c>
      <c r="AE37" s="24" t="inlineStr">
        <is>
          <t>042700.KS</t>
        </is>
      </c>
    </row>
    <row r="38" ht="24" customHeight="1">
      <c r="A38" s="29" t="inlineStr">
        <is>
          <t>2023-07-28</t>
        </is>
      </c>
      <c r="B38" s="31" t="n">
        <v>46400</v>
      </c>
      <c r="C38" s="31" t="n">
        <v>47350</v>
      </c>
      <c r="D38" s="31" t="n">
        <v>44550</v>
      </c>
      <c r="E38" s="31" t="n">
        <v>47150</v>
      </c>
      <c r="F38" s="31" t="n">
        <v>46425.859375</v>
      </c>
      <c r="G38" s="31" t="n">
        <v>2410245</v>
      </c>
      <c r="H38" s="36" t="n">
        <v>0.02723311546840956</v>
      </c>
      <c r="I38" s="36" t="n">
        <v>-0.04843592330978808</v>
      </c>
      <c r="J38" s="31" t="n">
        <v>39750</v>
      </c>
      <c r="K38" s="31" t="n">
        <v>30516</v>
      </c>
      <c r="L38" s="31" t="n">
        <v>24159.41666666667</v>
      </c>
      <c r="M38" s="36" t="n">
        <v>1.336913456544162</v>
      </c>
      <c r="N38" s="36" t="n">
        <v>0.9778722447570013</v>
      </c>
      <c r="O38" s="36" t="n">
        <v>0.5638474295190714</v>
      </c>
      <c r="P38" s="36" t="n">
        <v>1.208430913348946</v>
      </c>
      <c r="Q38" s="36" t="n">
        <v>2.242778541953232</v>
      </c>
      <c r="R38" s="36" t="n">
        <v>0.1861635220125786</v>
      </c>
      <c r="S38" s="36" t="n">
        <v>0.5450910997509504</v>
      </c>
      <c r="T38" s="36" t="n">
        <v>0.9516199687492453</v>
      </c>
      <c r="U38" s="31" t="n">
        <v>49550</v>
      </c>
      <c r="V38" s="31" t="n">
        <v>10800</v>
      </c>
      <c r="W38" s="36" t="n">
        <v>-0.04843592330978808</v>
      </c>
      <c r="X38" s="36" t="n">
        <v>3.36574074074074</v>
      </c>
      <c r="Y38" s="31" t="n">
        <v>95312200</v>
      </c>
      <c r="Z38" s="31" t="n">
        <v>4493970230000</v>
      </c>
      <c r="AA38" s="31" t="n">
        <v>113643051750</v>
      </c>
      <c r="AB38" s="31" t="n">
        <v>238746651732.5</v>
      </c>
      <c r="AC38" s="36" t="n">
        <v>0.02528789598813163</v>
      </c>
      <c r="AD38" s="29" t="inlineStr">
        <is>
          <t>yfinance_download</t>
        </is>
      </c>
      <c r="AE38" s="29" t="inlineStr">
        <is>
          <t>042700.KS</t>
        </is>
      </c>
    </row>
    <row r="39" ht="24" customHeight="1">
      <c r="A39" s="24" t="inlineStr">
        <is>
          <t>2023-07-31</t>
        </is>
      </c>
      <c r="B39" s="30" t="n">
        <v>47900</v>
      </c>
      <c r="C39" s="30" t="n">
        <v>50500</v>
      </c>
      <c r="D39" s="30" t="n">
        <v>47550</v>
      </c>
      <c r="E39" s="30" t="n">
        <v>48500</v>
      </c>
      <c r="F39" s="30" t="n">
        <v>47755.12890625</v>
      </c>
      <c r="G39" s="30" t="n">
        <v>3685091</v>
      </c>
      <c r="H39" s="35" t="n">
        <v>0.02863202545068932</v>
      </c>
      <c r="I39" s="35" t="n">
        <v>-0.02119071644803228</v>
      </c>
      <c r="J39" s="30" t="n">
        <v>40615</v>
      </c>
      <c r="K39" s="30" t="n">
        <v>30937.66666666667</v>
      </c>
      <c r="L39" s="30" t="n">
        <v>24442.41666666667</v>
      </c>
      <c r="M39" s="35" t="n">
        <v>1.336531908156834</v>
      </c>
      <c r="N39" s="35" t="n">
        <v>0.9668815617931745</v>
      </c>
      <c r="O39" s="35" t="n">
        <v>0.5544871794871795</v>
      </c>
      <c r="P39" s="35" t="n">
        <v>1.09051724137931</v>
      </c>
      <c r="Q39" s="35" t="n">
        <v>2.335625859697386</v>
      </c>
      <c r="R39" s="35" t="n">
        <v>0.1941400960236366</v>
      </c>
      <c r="S39" s="35" t="n">
        <v>0.5676683223255363</v>
      </c>
      <c r="T39" s="35" t="n">
        <v>0.9842555121049814</v>
      </c>
      <c r="U39" s="30" t="n">
        <v>49550</v>
      </c>
      <c r="V39" s="30" t="n">
        <v>10800</v>
      </c>
      <c r="W39" s="35" t="n">
        <v>-0.02119071644803228</v>
      </c>
      <c r="X39" s="35" t="n">
        <v>3.49074074074074</v>
      </c>
      <c r="Y39" s="30" t="n">
        <v>95312200</v>
      </c>
      <c r="Z39" s="30" t="n">
        <v>4622641700000</v>
      </c>
      <c r="AA39" s="30" t="n">
        <v>178726913500</v>
      </c>
      <c r="AB39" s="30" t="n">
        <v>240833194967.5</v>
      </c>
      <c r="AC39" s="35" t="n">
        <v>0.03866337153061203</v>
      </c>
      <c r="AD39" s="24" t="inlineStr">
        <is>
          <t>yfinance_download</t>
        </is>
      </c>
      <c r="AE39" s="24" t="inlineStr">
        <is>
          <t>042700.KS</t>
        </is>
      </c>
    </row>
    <row r="40" ht="24" customHeight="1">
      <c r="A40" s="29" t="inlineStr">
        <is>
          <t>2023-08-01</t>
        </is>
      </c>
      <c r="B40" s="31" t="n">
        <v>49150</v>
      </c>
      <c r="C40" s="31" t="n">
        <v>53800</v>
      </c>
      <c r="D40" s="31" t="n">
        <v>46800</v>
      </c>
      <c r="E40" s="31" t="n">
        <v>53400</v>
      </c>
      <c r="F40" s="31" t="n">
        <v>52579.87109375</v>
      </c>
      <c r="G40" s="31" t="n">
        <v>4672173</v>
      </c>
      <c r="H40" s="36" t="n">
        <v>0.1010309278350516</v>
      </c>
      <c r="I40" s="36" t="n">
        <v>0</v>
      </c>
      <c r="J40" s="31" t="n">
        <v>41710</v>
      </c>
      <c r="K40" s="31" t="n">
        <v>31466</v>
      </c>
      <c r="L40" s="31" t="n">
        <v>24761.16666666667</v>
      </c>
      <c r="M40" s="36" t="n">
        <v>1.361403745112482</v>
      </c>
      <c r="N40" s="36" t="n">
        <v>0.9689106662338535</v>
      </c>
      <c r="O40" s="36" t="n">
        <v>0.6952380952380952</v>
      </c>
      <c r="P40" s="36" t="n">
        <v>1.460829493087557</v>
      </c>
      <c r="Q40" s="36" t="n">
        <v>2.524752475247525</v>
      </c>
      <c r="R40" s="36" t="n">
        <v>0.2802685207384321</v>
      </c>
      <c r="S40" s="36" t="n">
        <v>0.6970698531748554</v>
      </c>
      <c r="T40" s="36" t="n">
        <v>1.156602744889511</v>
      </c>
      <c r="U40" s="31" t="n">
        <v>53400</v>
      </c>
      <c r="V40" s="31" t="n">
        <v>10800</v>
      </c>
      <c r="W40" s="36" t="n">
        <v>0</v>
      </c>
      <c r="X40" s="36" t="n">
        <v>3.944444444444445</v>
      </c>
      <c r="Y40" s="31" t="n">
        <v>95312200</v>
      </c>
      <c r="Z40" s="31" t="n">
        <v>5089671480000</v>
      </c>
      <c r="AA40" s="31" t="n">
        <v>249494038200</v>
      </c>
      <c r="AB40" s="31" t="n">
        <v>249752882477.5</v>
      </c>
      <c r="AC40" s="36" t="n">
        <v>0.04901967429143383</v>
      </c>
      <c r="AD40" s="29" t="inlineStr">
        <is>
          <t>yfinance_download</t>
        </is>
      </c>
      <c r="AE40" s="29" t="inlineStr">
        <is>
          <t>042700.KS</t>
        </is>
      </c>
    </row>
    <row r="41" ht="24" customHeight="1">
      <c r="A41" s="24" t="inlineStr">
        <is>
          <t>2023-08-02</t>
        </is>
      </c>
      <c r="B41" s="30" t="n">
        <v>51500</v>
      </c>
      <c r="C41" s="30" t="n">
        <v>53300</v>
      </c>
      <c r="D41" s="30" t="n">
        <v>48000</v>
      </c>
      <c r="E41" s="30" t="n">
        <v>49250</v>
      </c>
      <c r="F41" s="30" t="n">
        <v>48493.60546875</v>
      </c>
      <c r="G41" s="30" t="n">
        <v>3730887</v>
      </c>
      <c r="H41" s="35" t="n">
        <v>-0.07771535580524347</v>
      </c>
      <c r="I41" s="35" t="n">
        <v>-0.07771535580524347</v>
      </c>
      <c r="J41" s="30" t="n">
        <v>42635</v>
      </c>
      <c r="K41" s="30" t="n">
        <v>31928.5</v>
      </c>
      <c r="L41" s="30" t="n">
        <v>25043.33333333333</v>
      </c>
      <c r="M41" s="35" t="n">
        <v>1.402457235133549</v>
      </c>
      <c r="N41" s="35" t="n">
        <v>0.986769546480936</v>
      </c>
      <c r="O41" s="35" t="n">
        <v>0.6016260162601625</v>
      </c>
      <c r="P41" s="35" t="n">
        <v>1.290697674418605</v>
      </c>
      <c r="Q41" s="35" t="n">
        <v>2.20012995451592</v>
      </c>
      <c r="R41" s="35" t="n">
        <v>0.1551542160197021</v>
      </c>
      <c r="S41" s="35" t="n">
        <v>0.5425090436443929</v>
      </c>
      <c r="T41" s="35" t="n">
        <v>0.9665912418474645</v>
      </c>
      <c r="U41" s="30" t="n">
        <v>53400</v>
      </c>
      <c r="V41" s="30" t="n">
        <v>10800</v>
      </c>
      <c r="W41" s="35" t="n">
        <v>-0.07771535580524347</v>
      </c>
      <c r="X41" s="35" t="n">
        <v>3.560185185185185</v>
      </c>
      <c r="Y41" s="30" t="n">
        <v>95312200</v>
      </c>
      <c r="Z41" s="30" t="n">
        <v>4694125850000</v>
      </c>
      <c r="AA41" s="30" t="n">
        <v>183746184750</v>
      </c>
      <c r="AB41" s="30" t="n">
        <v>255787203565</v>
      </c>
      <c r="AC41" s="35" t="n">
        <v>0.03914385566590636</v>
      </c>
      <c r="AD41" s="24" t="inlineStr">
        <is>
          <t>yfinance_download</t>
        </is>
      </c>
      <c r="AE41" s="24" t="inlineStr">
        <is>
          <t>042700.KS</t>
        </is>
      </c>
    </row>
    <row r="42" ht="24" customHeight="1">
      <c r="A42" s="29" t="inlineStr">
        <is>
          <t>2023-08-03</t>
        </is>
      </c>
      <c r="B42" s="31" t="n">
        <v>48850</v>
      </c>
      <c r="C42" s="31" t="n">
        <v>49850</v>
      </c>
      <c r="D42" s="31" t="n">
        <v>45000</v>
      </c>
      <c r="E42" s="31" t="n">
        <v>49300</v>
      </c>
      <c r="F42" s="31" t="n">
        <v>48542.8359375</v>
      </c>
      <c r="G42" s="31" t="n">
        <v>5200061</v>
      </c>
      <c r="H42" s="36" t="n">
        <v>0.001015228426396009</v>
      </c>
      <c r="I42" s="36" t="n">
        <v>-0.07677902621722843</v>
      </c>
      <c r="J42" s="31" t="n">
        <v>43637.5</v>
      </c>
      <c r="K42" s="31" t="n">
        <v>32392.66666666667</v>
      </c>
      <c r="L42" s="31" t="n">
        <v>25326.25</v>
      </c>
      <c r="M42" s="36" t="n">
        <v>1.377574936162898</v>
      </c>
      <c r="N42" s="36" t="n">
        <v>0.9865333090450245</v>
      </c>
      <c r="O42" s="36" t="n">
        <v>0.6854700854700855</v>
      </c>
      <c r="P42" s="36" t="n">
        <v>1.298368298368298</v>
      </c>
      <c r="Q42" s="36" t="n">
        <v>2.211726384364821</v>
      </c>
      <c r="R42" s="36" t="n">
        <v>0.1297622457748495</v>
      </c>
      <c r="S42" s="36" t="n">
        <v>0.5219494124184485</v>
      </c>
      <c r="T42" s="36" t="n">
        <v>0.9465969103203198</v>
      </c>
      <c r="U42" s="31" t="n">
        <v>53400</v>
      </c>
      <c r="V42" s="31" t="n">
        <v>10800</v>
      </c>
      <c r="W42" s="36" t="n">
        <v>-0.07677902621722843</v>
      </c>
      <c r="X42" s="36" t="n">
        <v>3.564814814814815</v>
      </c>
      <c r="Y42" s="31" t="n">
        <v>95312200</v>
      </c>
      <c r="Z42" s="31" t="n">
        <v>4698891460000</v>
      </c>
      <c r="AA42" s="31" t="n">
        <v>256363007300</v>
      </c>
      <c r="AB42" s="31" t="n">
        <v>265055878130</v>
      </c>
      <c r="AC42" s="36" t="n">
        <v>0.05455818877331548</v>
      </c>
      <c r="AD42" s="29" t="inlineStr">
        <is>
          <t>yfinance_download</t>
        </is>
      </c>
      <c r="AE42" s="29" t="inlineStr">
        <is>
          <t>042700.KS</t>
        </is>
      </c>
    </row>
    <row r="43" ht="24" customHeight="1">
      <c r="A43" s="24" t="inlineStr">
        <is>
          <t>2023-08-04</t>
        </is>
      </c>
      <c r="B43" s="30" t="n">
        <v>49000</v>
      </c>
      <c r="C43" s="30" t="n">
        <v>51100</v>
      </c>
      <c r="D43" s="30" t="n">
        <v>46100</v>
      </c>
      <c r="E43" s="30" t="n">
        <v>46950</v>
      </c>
      <c r="F43" s="30" t="n">
        <v>46228.93359375</v>
      </c>
      <c r="G43" s="30" t="n">
        <v>3865648</v>
      </c>
      <c r="H43" s="35" t="n">
        <v>-0.04766734279918861</v>
      </c>
      <c r="I43" s="35" t="n">
        <v>-0.1207865168539326</v>
      </c>
      <c r="J43" s="30" t="n">
        <v>44517.5</v>
      </c>
      <c r="K43" s="30" t="n">
        <v>32825.16666666666</v>
      </c>
      <c r="L43" s="30" t="n">
        <v>25588.16666666667</v>
      </c>
      <c r="M43" s="35" t="n">
        <v>1.4022312130754</v>
      </c>
      <c r="N43" s="35" t="n">
        <v>0.9922717967110388</v>
      </c>
      <c r="O43" s="35" t="n">
        <v>0.5996592844974447</v>
      </c>
      <c r="P43" s="35" t="n">
        <v>1.235714285714286</v>
      </c>
      <c r="Q43" s="35" t="n">
        <v>2.025128865979382</v>
      </c>
      <c r="R43" s="35" t="n">
        <v>0.05464143314426906</v>
      </c>
      <c r="S43" s="35" t="n">
        <v>0.4303049997207429</v>
      </c>
      <c r="T43" s="35" t="n">
        <v>0.8348325072136209</v>
      </c>
      <c r="U43" s="30" t="n">
        <v>53400</v>
      </c>
      <c r="V43" s="30" t="n">
        <v>10800</v>
      </c>
      <c r="W43" s="35" t="n">
        <v>-0.1207865168539326</v>
      </c>
      <c r="X43" s="35" t="n">
        <v>3.347222222222222</v>
      </c>
      <c r="Y43" s="30" t="n">
        <v>95312200</v>
      </c>
      <c r="Z43" s="30" t="n">
        <v>4474907790000</v>
      </c>
      <c r="AA43" s="30" t="n">
        <v>181492173600</v>
      </c>
      <c r="AB43" s="30" t="n">
        <v>269679662035</v>
      </c>
      <c r="AC43" s="35" t="n">
        <v>0.04055774601782353</v>
      </c>
      <c r="AD43" s="24" t="inlineStr">
        <is>
          <t>yfinance_download</t>
        </is>
      </c>
      <c r="AE43" s="24" t="inlineStr">
        <is>
          <t>042700.KS</t>
        </is>
      </c>
    </row>
    <row r="44" ht="24" customHeight="1">
      <c r="A44" s="29" t="inlineStr">
        <is>
          <t>2023-08-07</t>
        </is>
      </c>
      <c r="B44" s="31" t="n">
        <v>46600</v>
      </c>
      <c r="C44" s="31" t="n">
        <v>49450</v>
      </c>
      <c r="D44" s="31" t="n">
        <v>45800</v>
      </c>
      <c r="E44" s="31" t="n">
        <v>47200</v>
      </c>
      <c r="F44" s="31" t="n">
        <v>46475.08984375</v>
      </c>
      <c r="G44" s="31" t="n">
        <v>3651574</v>
      </c>
      <c r="H44" s="36" t="n">
        <v>0.005324813631522929</v>
      </c>
      <c r="I44" s="36" t="n">
        <v>-0.1161048689138576</v>
      </c>
      <c r="J44" s="31" t="n">
        <v>45432.5</v>
      </c>
      <c r="K44" s="31" t="n">
        <v>33271</v>
      </c>
      <c r="L44" s="31" t="n">
        <v>25850</v>
      </c>
      <c r="M44" s="36" t="n">
        <v>1.395828090990662</v>
      </c>
      <c r="N44" s="36" t="n">
        <v>0.9887441587131379</v>
      </c>
      <c r="O44" s="36" t="n">
        <v>0.6332179930795847</v>
      </c>
      <c r="P44" s="36" t="n">
        <v>1.308068459657702</v>
      </c>
      <c r="Q44" s="36" t="n">
        <v>1.991128010139417</v>
      </c>
      <c r="R44" s="36" t="n">
        <v>0.03890386837616244</v>
      </c>
      <c r="S44" s="36" t="n">
        <v>0.4186528808872592</v>
      </c>
      <c r="T44" s="36" t="n">
        <v>0.8259187620889747</v>
      </c>
      <c r="U44" s="31" t="n">
        <v>53400</v>
      </c>
      <c r="V44" s="31" t="n">
        <v>10800</v>
      </c>
      <c r="W44" s="36" t="n">
        <v>-0.1161048689138576</v>
      </c>
      <c r="X44" s="36" t="n">
        <v>3.37037037037037</v>
      </c>
      <c r="Y44" s="31" t="n">
        <v>95312200</v>
      </c>
      <c r="Z44" s="31" t="n">
        <v>4498735840000</v>
      </c>
      <c r="AA44" s="31" t="n">
        <v>172354292800</v>
      </c>
      <c r="AB44" s="31" t="n">
        <v>274926591940</v>
      </c>
      <c r="AC44" s="36" t="n">
        <v>0.03831171665327209</v>
      </c>
      <c r="AD44" s="29" t="inlineStr">
        <is>
          <t>yfinance_download</t>
        </is>
      </c>
      <c r="AE44" s="29" t="inlineStr">
        <is>
          <t>042700.KS</t>
        </is>
      </c>
    </row>
    <row r="45" ht="24" customHeight="1">
      <c r="A45" s="24" t="inlineStr">
        <is>
          <t>2023-08-08</t>
        </is>
      </c>
      <c r="B45" s="30" t="n">
        <v>49350</v>
      </c>
      <c r="C45" s="30" t="n">
        <v>51300</v>
      </c>
      <c r="D45" s="30" t="n">
        <v>47050</v>
      </c>
      <c r="E45" s="30" t="n">
        <v>47700</v>
      </c>
      <c r="F45" s="30" t="n">
        <v>46967.4140625</v>
      </c>
      <c r="G45" s="30" t="n">
        <v>6310078</v>
      </c>
      <c r="H45" s="35" t="n">
        <v>0.01059322033898313</v>
      </c>
      <c r="I45" s="35" t="n">
        <v>-0.1067415730337079</v>
      </c>
      <c r="J45" s="30" t="n">
        <v>46292.5</v>
      </c>
      <c r="K45" s="30" t="n">
        <v>33726.83333333334</v>
      </c>
      <c r="L45" s="30" t="n">
        <v>26117.5</v>
      </c>
      <c r="M45" s="35" t="n">
        <v>1.393321024908239</v>
      </c>
      <c r="N45" s="35" t="n">
        <v>0.9878699096657112</v>
      </c>
      <c r="O45" s="35" t="n">
        <v>0.5639344262295083</v>
      </c>
      <c r="P45" s="35" t="n">
        <v>1.343980343980344</v>
      </c>
      <c r="Q45" s="35" t="n">
        <v>2.057692307692307</v>
      </c>
      <c r="R45" s="35" t="n">
        <v>0.03040449316843974</v>
      </c>
      <c r="S45" s="35" t="n">
        <v>0.4143041396316482</v>
      </c>
      <c r="T45" s="35" t="n">
        <v>0.8263616349191156</v>
      </c>
      <c r="U45" s="30" t="n">
        <v>53400</v>
      </c>
      <c r="V45" s="30" t="n">
        <v>10800</v>
      </c>
      <c r="W45" s="35" t="n">
        <v>-0.1067415730337079</v>
      </c>
      <c r="X45" s="35" t="n">
        <v>3.416666666666667</v>
      </c>
      <c r="Y45" s="30" t="n">
        <v>95312200</v>
      </c>
      <c r="Z45" s="30" t="n">
        <v>4546391940000</v>
      </c>
      <c r="AA45" s="30" t="n">
        <v>300990720600</v>
      </c>
      <c r="AB45" s="30" t="n">
        <v>286955554370</v>
      </c>
      <c r="AC45" s="35" t="n">
        <v>0.06620430542994496</v>
      </c>
      <c r="AD45" s="24" t="inlineStr">
        <is>
          <t>yfinance_download</t>
        </is>
      </c>
      <c r="AE45" s="24" t="inlineStr">
        <is>
          <t>042700.KS</t>
        </is>
      </c>
    </row>
    <row r="46" ht="24" customHeight="1">
      <c r="A46" s="29" t="inlineStr">
        <is>
          <t>2023-08-09</t>
        </is>
      </c>
      <c r="B46" s="31" t="n">
        <v>47100</v>
      </c>
      <c r="C46" s="31" t="n">
        <v>47550</v>
      </c>
      <c r="D46" s="31" t="n">
        <v>45500</v>
      </c>
      <c r="E46" s="31" t="n">
        <v>46750</v>
      </c>
      <c r="F46" s="31" t="n">
        <v>46032.0078125</v>
      </c>
      <c r="G46" s="31" t="n">
        <v>2011243</v>
      </c>
      <c r="H46" s="36" t="n">
        <v>-0.01991614255765195</v>
      </c>
      <c r="I46" s="36" t="n">
        <v>-0.1245318352059925</v>
      </c>
      <c r="J46" s="31" t="n">
        <v>47045</v>
      </c>
      <c r="K46" s="31" t="n">
        <v>34179.33333333334</v>
      </c>
      <c r="L46" s="31" t="n">
        <v>26373.83333333333</v>
      </c>
      <c r="M46" s="36" t="n">
        <v>1.40163111963577</v>
      </c>
      <c r="N46" s="36" t="n">
        <v>0.9846001062206882</v>
      </c>
      <c r="O46" s="36" t="n">
        <v>0.474763406940063</v>
      </c>
      <c r="P46" s="36" t="n">
        <v>1.385204081632653</v>
      </c>
      <c r="Q46" s="36" t="n">
        <v>1.923702313946217</v>
      </c>
      <c r="R46" s="36" t="n">
        <v>-0.006270591986396012</v>
      </c>
      <c r="S46" s="36" t="n">
        <v>0.3677856014355652</v>
      </c>
      <c r="T46" s="36" t="n">
        <v>0.7725902567570131</v>
      </c>
      <c r="U46" s="31" t="n">
        <v>53400</v>
      </c>
      <c r="V46" s="31" t="n">
        <v>10800</v>
      </c>
      <c r="W46" s="36" t="n">
        <v>-0.1245318352059925</v>
      </c>
      <c r="X46" s="36" t="n">
        <v>3.328703703703703</v>
      </c>
      <c r="Y46" s="31" t="n">
        <v>95312200</v>
      </c>
      <c r="Z46" s="31" t="n">
        <v>4455845350000</v>
      </c>
      <c r="AA46" s="31" t="n">
        <v>94025610250</v>
      </c>
      <c r="AB46" s="31" t="n">
        <v>287329212697.5</v>
      </c>
      <c r="AC46" s="36" t="n">
        <v>0.02110163231989189</v>
      </c>
      <c r="AD46" s="29" t="inlineStr">
        <is>
          <t>yfinance_download</t>
        </is>
      </c>
      <c r="AE46" s="29" t="inlineStr">
        <is>
          <t>042700.KS</t>
        </is>
      </c>
    </row>
    <row r="47" ht="24" customHeight="1">
      <c r="A47" s="24" t="inlineStr">
        <is>
          <t>2023-08-10</t>
        </is>
      </c>
      <c r="B47" s="30" t="n">
        <v>45100</v>
      </c>
      <c r="C47" s="30" t="n">
        <v>47150</v>
      </c>
      <c r="D47" s="30" t="n">
        <v>44450</v>
      </c>
      <c r="E47" s="30" t="n">
        <v>46800</v>
      </c>
      <c r="F47" s="30" t="n">
        <v>46081.23828125</v>
      </c>
      <c r="G47" s="30" t="n">
        <v>2466683</v>
      </c>
      <c r="H47" s="35" t="n">
        <v>0.001069518716577456</v>
      </c>
      <c r="I47" s="35" t="n">
        <v>-0.1235955056179775</v>
      </c>
      <c r="J47" s="30" t="n">
        <v>47325</v>
      </c>
      <c r="K47" s="30" t="n">
        <v>34629.16666666666</v>
      </c>
      <c r="L47" s="30" t="n">
        <v>26631.83333333333</v>
      </c>
      <c r="M47" s="35" t="n">
        <v>0.9468499639545483</v>
      </c>
      <c r="N47" s="35" t="n">
        <v>0.9850332923851273</v>
      </c>
      <c r="O47" s="35" t="n">
        <v>0.1359223300970873</v>
      </c>
      <c r="P47" s="35" t="n">
        <v>1.362443210499748</v>
      </c>
      <c r="Q47" s="35" t="n">
        <v>1.954545454545455</v>
      </c>
      <c r="R47" s="35" t="n">
        <v>-0.0110935023771791</v>
      </c>
      <c r="S47" s="35" t="n">
        <v>0.3514619179400795</v>
      </c>
      <c r="T47" s="35" t="n">
        <v>0.7572954672040353</v>
      </c>
      <c r="U47" s="30" t="n">
        <v>53400</v>
      </c>
      <c r="V47" s="30" t="n">
        <v>10800</v>
      </c>
      <c r="W47" s="35" t="n">
        <v>-0.1235955056179775</v>
      </c>
      <c r="X47" s="35" t="n">
        <v>3.333333333333333</v>
      </c>
      <c r="Y47" s="30" t="n">
        <v>95312200</v>
      </c>
      <c r="Z47" s="30" t="n">
        <v>4460610960000</v>
      </c>
      <c r="AA47" s="30" t="n">
        <v>115440764400</v>
      </c>
      <c r="AB47" s="30" t="n">
        <v>250174293177.5</v>
      </c>
      <c r="AC47" s="35" t="n">
        <v>0.02588003424535369</v>
      </c>
      <c r="AD47" s="24" t="inlineStr">
        <is>
          <t>yfinance_download</t>
        </is>
      </c>
      <c r="AE47" s="24" t="inlineStr">
        <is>
          <t>042700.KS</t>
        </is>
      </c>
    </row>
    <row r="48" ht="24" customHeight="1">
      <c r="A48" s="29" t="inlineStr">
        <is>
          <t>2023-08-11</t>
        </is>
      </c>
      <c r="B48" s="31" t="n">
        <v>48200</v>
      </c>
      <c r="C48" s="31" t="n">
        <v>49500</v>
      </c>
      <c r="D48" s="31" t="n">
        <v>47150</v>
      </c>
      <c r="E48" s="31" t="n">
        <v>47850</v>
      </c>
      <c r="F48" s="31" t="n">
        <v>47115.109375</v>
      </c>
      <c r="G48" s="31" t="n">
        <v>4007611</v>
      </c>
      <c r="H48" s="36" t="n">
        <v>0.02243589743589736</v>
      </c>
      <c r="I48" s="36" t="n">
        <v>-0.1039325842696629</v>
      </c>
      <c r="J48" s="31" t="n">
        <v>47377.5</v>
      </c>
      <c r="K48" s="31" t="n">
        <v>35089.16666666666</v>
      </c>
      <c r="L48" s="31" t="n">
        <v>26903.75</v>
      </c>
      <c r="M48" s="36" t="n">
        <v>0.8209386812305004</v>
      </c>
      <c r="N48" s="36" t="n">
        <v>0.9850392935672667</v>
      </c>
      <c r="O48" s="36" t="n">
        <v>0.02243589743589736</v>
      </c>
      <c r="P48" s="36" t="n">
        <v>1.362962962962963</v>
      </c>
      <c r="Q48" s="36" t="n">
        <v>2.14388961892247</v>
      </c>
      <c r="R48" s="36" t="n">
        <v>0.009973088491372462</v>
      </c>
      <c r="S48" s="36" t="n">
        <v>0.3636687486641177</v>
      </c>
      <c r="T48" s="36" t="n">
        <v>0.778562468057427</v>
      </c>
      <c r="U48" s="31" t="n">
        <v>53400</v>
      </c>
      <c r="V48" s="31" t="n">
        <v>10800</v>
      </c>
      <c r="W48" s="36" t="n">
        <v>-0.1039325842696629</v>
      </c>
      <c r="X48" s="36" t="n">
        <v>3.430555555555555</v>
      </c>
      <c r="Y48" s="31" t="n">
        <v>95312200</v>
      </c>
      <c r="Z48" s="31" t="n">
        <v>4560688770000</v>
      </c>
      <c r="AA48" s="31" t="n">
        <v>191764186350</v>
      </c>
      <c r="AB48" s="31" t="n">
        <v>208826550155</v>
      </c>
      <c r="AC48" s="36" t="n">
        <v>0.04204719857478895</v>
      </c>
      <c r="AD48" s="29" t="inlineStr">
        <is>
          <t>yfinance_download</t>
        </is>
      </c>
      <c r="AE48" s="29" t="inlineStr">
        <is>
          <t>042700.KS</t>
        </is>
      </c>
    </row>
    <row r="49" ht="24" customHeight="1">
      <c r="A49" s="24" t="inlineStr">
        <is>
          <t>2023-08-14</t>
        </is>
      </c>
      <c r="B49" s="30" t="n">
        <v>46500</v>
      </c>
      <c r="C49" s="30" t="n">
        <v>46950</v>
      </c>
      <c r="D49" s="30" t="n">
        <v>45600</v>
      </c>
      <c r="E49" s="30" t="n">
        <v>45600</v>
      </c>
      <c r="F49" s="30" t="n">
        <v>44899.66796875</v>
      </c>
      <c r="G49" s="30" t="n">
        <v>1640285</v>
      </c>
      <c r="H49" s="35" t="n">
        <v>-0.04702194357366773</v>
      </c>
      <c r="I49" s="35" t="n">
        <v>-0.1460674157303371</v>
      </c>
      <c r="J49" s="30" t="n">
        <v>47182.5</v>
      </c>
      <c r="K49" s="30" t="n">
        <v>35493.33333333334</v>
      </c>
      <c r="L49" s="30" t="n">
        <v>27156.33333333333</v>
      </c>
      <c r="M49" s="35" t="n">
        <v>0.8114947230425507</v>
      </c>
      <c r="N49" s="35" t="n">
        <v>0.9901572839314613</v>
      </c>
      <c r="O49" s="35" t="n">
        <v>-0.07878787878787874</v>
      </c>
      <c r="P49" s="35" t="n">
        <v>1.135831381733021</v>
      </c>
      <c r="Q49" s="35" t="n">
        <v>1.982341399607586</v>
      </c>
      <c r="R49" s="35" t="n">
        <v>-0.03353997774598638</v>
      </c>
      <c r="S49" s="35" t="n">
        <v>0.2847483095416978</v>
      </c>
      <c r="T49" s="35" t="n">
        <v>0.6791663086572808</v>
      </c>
      <c r="U49" s="30" t="n">
        <v>53400</v>
      </c>
      <c r="V49" s="30" t="n">
        <v>10800</v>
      </c>
      <c r="W49" s="35" t="n">
        <v>-0.1460674157303371</v>
      </c>
      <c r="X49" s="35" t="n">
        <v>3.222222222222222</v>
      </c>
      <c r="Y49" s="30" t="n">
        <v>95312200</v>
      </c>
      <c r="Z49" s="30" t="n">
        <v>4346236320000</v>
      </c>
      <c r="AA49" s="30" t="n">
        <v>74796996000</v>
      </c>
      <c r="AB49" s="30" t="n">
        <v>193873143230</v>
      </c>
      <c r="AC49" s="35" t="n">
        <v>0.0172096017089103</v>
      </c>
      <c r="AD49" s="24" t="inlineStr">
        <is>
          <t>yfinance_download</t>
        </is>
      </c>
      <c r="AE49" s="24" t="inlineStr">
        <is>
          <t>042700.KS</t>
        </is>
      </c>
    </row>
    <row r="50" ht="24" customHeight="1">
      <c r="A50" s="29" t="inlineStr">
        <is>
          <t>2023-08-16</t>
        </is>
      </c>
      <c r="B50" s="31" t="n">
        <v>46600</v>
      </c>
      <c r="C50" s="31" t="n">
        <v>49500</v>
      </c>
      <c r="D50" s="31" t="n">
        <v>46550</v>
      </c>
      <c r="E50" s="31" t="n">
        <v>48150</v>
      </c>
      <c r="F50" s="31" t="n">
        <v>47410.5</v>
      </c>
      <c r="G50" s="31" t="n">
        <v>5017582</v>
      </c>
      <c r="H50" s="36" t="n">
        <v>0.05592105263157898</v>
      </c>
      <c r="I50" s="36" t="n">
        <v>-0.098314606741573</v>
      </c>
      <c r="J50" s="31" t="n">
        <v>47112.5</v>
      </c>
      <c r="K50" s="31" t="n">
        <v>35863.33333333334</v>
      </c>
      <c r="L50" s="31" t="n">
        <v>27429.25</v>
      </c>
      <c r="M50" s="36" t="n">
        <v>0.8379218050056996</v>
      </c>
      <c r="N50" s="36" t="n">
        <v>0.9018966744423654</v>
      </c>
      <c r="O50" s="36" t="n">
        <v>-0.02825428859737644</v>
      </c>
      <c r="P50" s="36" t="n">
        <v>0.8554913294797688</v>
      </c>
      <c r="Q50" s="36" t="n">
        <v>2.126623376623376</v>
      </c>
      <c r="R50" s="36" t="n">
        <v>0.02202175643406745</v>
      </c>
      <c r="S50" s="36" t="n">
        <v>0.3425968956222696</v>
      </c>
      <c r="T50" s="36" t="n">
        <v>0.755425321508973</v>
      </c>
      <c r="U50" s="31" t="n">
        <v>53400</v>
      </c>
      <c r="V50" s="31" t="n">
        <v>10800</v>
      </c>
      <c r="W50" s="36" t="n">
        <v>-0.098314606741573</v>
      </c>
      <c r="X50" s="36" t="n">
        <v>3.458333333333333</v>
      </c>
      <c r="Y50" s="31" t="n">
        <v>95312200</v>
      </c>
      <c r="Z50" s="31" t="n">
        <v>4589282430000</v>
      </c>
      <c r="AA50" s="31" t="n">
        <v>241596573300</v>
      </c>
      <c r="AB50" s="31" t="n">
        <v>193401929642.5</v>
      </c>
      <c r="AC50" s="36" t="n">
        <v>0.0526436489767312</v>
      </c>
      <c r="AD50" s="29" t="inlineStr">
        <is>
          <t>yfinance_download</t>
        </is>
      </c>
      <c r="AE50" s="29" t="inlineStr">
        <is>
          <t>042700.KS</t>
        </is>
      </c>
    </row>
    <row r="51" ht="24" customHeight="1">
      <c r="A51" s="24" t="inlineStr">
        <is>
          <t>2023-08-17</t>
        </is>
      </c>
      <c r="B51" s="30" t="n">
        <v>47200</v>
      </c>
      <c r="C51" s="30" t="n">
        <v>49900</v>
      </c>
      <c r="D51" s="30" t="n">
        <v>46500</v>
      </c>
      <c r="E51" s="30" t="n">
        <v>48750</v>
      </c>
      <c r="F51" s="30" t="n">
        <v>48001.28515625</v>
      </c>
      <c r="G51" s="30" t="n">
        <v>3676231</v>
      </c>
      <c r="H51" s="35" t="n">
        <v>0.01246105919003115</v>
      </c>
      <c r="I51" s="35" t="n">
        <v>-0.0870786516853933</v>
      </c>
      <c r="J51" s="30" t="n">
        <v>47375</v>
      </c>
      <c r="K51" s="30" t="n">
        <v>36240</v>
      </c>
      <c r="L51" s="30" t="n">
        <v>27706.58333333333</v>
      </c>
      <c r="M51" s="35" t="n">
        <v>0.7033830085944591</v>
      </c>
      <c r="N51" s="35" t="n">
        <v>0.9018566271226656</v>
      </c>
      <c r="O51" s="35" t="n">
        <v>0.1206896551724137</v>
      </c>
      <c r="P51" s="35" t="n">
        <v>0.8642447418738051</v>
      </c>
      <c r="Q51" s="35" t="n">
        <v>2.151260504201681</v>
      </c>
      <c r="R51" s="35" t="n">
        <v>0.02902374670184704</v>
      </c>
      <c r="S51" s="35" t="n">
        <v>0.3451986754966887</v>
      </c>
      <c r="T51" s="35" t="n">
        <v>0.7595096231641698</v>
      </c>
      <c r="U51" s="30" t="n">
        <v>53400</v>
      </c>
      <c r="V51" s="30" t="n">
        <v>10800</v>
      </c>
      <c r="W51" s="35" t="n">
        <v>-0.0870786516853933</v>
      </c>
      <c r="X51" s="35" t="n">
        <v>3.513888888888889</v>
      </c>
      <c r="Y51" s="30" t="n">
        <v>95312200</v>
      </c>
      <c r="Z51" s="30" t="n">
        <v>4646469750000</v>
      </c>
      <c r="AA51" s="30" t="n">
        <v>179216261250</v>
      </c>
      <c r="AB51" s="30" t="n">
        <v>185182369855</v>
      </c>
      <c r="AC51" s="35" t="n">
        <v>0.03857041386097478</v>
      </c>
      <c r="AD51" s="24" t="inlineStr">
        <is>
          <t>yfinance_download</t>
        </is>
      </c>
      <c r="AE51" s="24" t="inlineStr">
        <is>
          <t>042700.KS</t>
        </is>
      </c>
    </row>
    <row r="52" ht="24" customHeight="1">
      <c r="A52" s="29" t="inlineStr">
        <is>
          <t>2023-08-18</t>
        </is>
      </c>
      <c r="B52" s="31" t="n">
        <v>47900</v>
      </c>
      <c r="C52" s="31" t="n">
        <v>60700</v>
      </c>
      <c r="D52" s="31" t="n">
        <v>47750</v>
      </c>
      <c r="E52" s="31" t="n">
        <v>57800</v>
      </c>
      <c r="F52" s="31" t="n">
        <v>56912.296875</v>
      </c>
      <c r="G52" s="31" t="n">
        <v>17063369</v>
      </c>
      <c r="H52" s="36" t="n">
        <v>0.1856410256410257</v>
      </c>
      <c r="I52" s="36" t="n">
        <v>0</v>
      </c>
      <c r="J52" s="31" t="n">
        <v>47967.5</v>
      </c>
      <c r="K52" s="31" t="n">
        <v>36760</v>
      </c>
      <c r="L52" s="31" t="n">
        <v>28057.08333333333</v>
      </c>
      <c r="M52" s="36" t="n">
        <v>0.9358885845623588</v>
      </c>
      <c r="N52" s="36" t="n">
        <v>0.9696038981314622</v>
      </c>
      <c r="O52" s="36" t="n">
        <v>0.2578890097932536</v>
      </c>
      <c r="P52" s="36" t="n">
        <v>1.172932330827068</v>
      </c>
      <c r="Q52" s="36" t="n">
        <v>2.672172808132147</v>
      </c>
      <c r="R52" s="36" t="n">
        <v>0.2049825402616354</v>
      </c>
      <c r="S52" s="36" t="n">
        <v>0.572361262241567</v>
      </c>
      <c r="T52" s="36" t="n">
        <v>1.060085836909871</v>
      </c>
      <c r="U52" s="31" t="n">
        <v>57800</v>
      </c>
      <c r="V52" s="31" t="n">
        <v>10800</v>
      </c>
      <c r="W52" s="36" t="n">
        <v>0</v>
      </c>
      <c r="X52" s="36" t="n">
        <v>4.351851851851852</v>
      </c>
      <c r="Y52" s="31" t="n">
        <v>95312200</v>
      </c>
      <c r="Z52" s="31" t="n">
        <v>5509045160000</v>
      </c>
      <c r="AA52" s="31" t="n">
        <v>986262728200</v>
      </c>
      <c r="AB52" s="31" t="n">
        <v>224006451517.5</v>
      </c>
      <c r="AC52" s="36" t="n">
        <v>0.1790260743115782</v>
      </c>
      <c r="AD52" s="29" t="inlineStr">
        <is>
          <t>yfinance_download</t>
        </is>
      </c>
      <c r="AE52" s="29" t="inlineStr">
        <is>
          <t>042700.KS</t>
        </is>
      </c>
    </row>
    <row r="53" ht="24" customHeight="1">
      <c r="A53" s="24" t="inlineStr">
        <is>
          <t>2023-08-21</t>
        </is>
      </c>
      <c r="B53" s="30" t="n">
        <v>58800</v>
      </c>
      <c r="C53" s="30" t="n">
        <v>60900</v>
      </c>
      <c r="D53" s="30" t="n">
        <v>57500</v>
      </c>
      <c r="E53" s="30" t="n">
        <v>59700</v>
      </c>
      <c r="F53" s="30" t="n">
        <v>58783.1171875</v>
      </c>
      <c r="G53" s="30" t="n">
        <v>7634521</v>
      </c>
      <c r="H53" s="35" t="n">
        <v>0.03287197231833905</v>
      </c>
      <c r="I53" s="35" t="n">
        <v>0</v>
      </c>
      <c r="J53" s="30" t="n">
        <v>48702.5</v>
      </c>
      <c r="K53" s="30" t="n">
        <v>37312.5</v>
      </c>
      <c r="L53" s="30" t="n">
        <v>28422.5</v>
      </c>
      <c r="M53" s="35" t="n">
        <v>0.9295331614555793</v>
      </c>
      <c r="N53" s="35" t="n">
        <v>0.9696799550935764</v>
      </c>
      <c r="O53" s="35" t="n">
        <v>0.3266666666666667</v>
      </c>
      <c r="P53" s="35" t="n">
        <v>1.248587570621469</v>
      </c>
      <c r="Q53" s="35" t="n">
        <v>2.766561514195584</v>
      </c>
      <c r="R53" s="35" t="n">
        <v>0.2258097633591705</v>
      </c>
      <c r="S53" s="35" t="n">
        <v>0.6000000000000001</v>
      </c>
      <c r="T53" s="35" t="n">
        <v>1.100448588266338</v>
      </c>
      <c r="U53" s="30" t="n">
        <v>59700</v>
      </c>
      <c r="V53" s="30" t="n">
        <v>10800</v>
      </c>
      <c r="W53" s="35" t="n">
        <v>0</v>
      </c>
      <c r="X53" s="35" t="n">
        <v>4.527777777777778</v>
      </c>
      <c r="Y53" s="30" t="n">
        <v>95312200</v>
      </c>
      <c r="Z53" s="30" t="n">
        <v>5690138340000</v>
      </c>
      <c r="AA53" s="30" t="n">
        <v>455780903700</v>
      </c>
      <c r="AB53" s="30" t="n">
        <v>242763897202.5</v>
      </c>
      <c r="AC53" s="35" t="n">
        <v>0.08010014457750425</v>
      </c>
      <c r="AD53" s="24" t="inlineStr">
        <is>
          <t>yfinance_download</t>
        </is>
      </c>
      <c r="AE53" s="24" t="inlineStr">
        <is>
          <t>042700.KS</t>
        </is>
      </c>
    </row>
    <row r="54" ht="24" customHeight="1">
      <c r="A54" s="29" t="inlineStr">
        <is>
          <t>2023-08-22</t>
        </is>
      </c>
      <c r="B54" s="31" t="n">
        <v>62200</v>
      </c>
      <c r="C54" s="31" t="n">
        <v>63300</v>
      </c>
      <c r="D54" s="31" t="n">
        <v>55300</v>
      </c>
      <c r="E54" s="31" t="n">
        <v>55800</v>
      </c>
      <c r="F54" s="31" t="n">
        <v>54943.01171875</v>
      </c>
      <c r="G54" s="31" t="n">
        <v>7321810</v>
      </c>
      <c r="H54" s="36" t="n">
        <v>-0.0653266331658291</v>
      </c>
      <c r="I54" s="36" t="n">
        <v>-0.0653266331658291</v>
      </c>
      <c r="J54" s="31" t="n">
        <v>49132.5</v>
      </c>
      <c r="K54" s="31" t="n">
        <v>37787.5</v>
      </c>
      <c r="L54" s="31" t="n">
        <v>28753.75</v>
      </c>
      <c r="M54" s="36" t="n">
        <v>0.9633808921830462</v>
      </c>
      <c r="N54" s="36" t="n">
        <v>0.9832071857338184</v>
      </c>
      <c r="O54" s="36" t="n">
        <v>0.1822033898305084</v>
      </c>
      <c r="P54" s="36" t="n">
        <v>1.043956043956044</v>
      </c>
      <c r="Q54" s="36" t="n">
        <v>2.476635514018692</v>
      </c>
      <c r="R54" s="36" t="n">
        <v>0.1357044725996031</v>
      </c>
      <c r="S54" s="36" t="n">
        <v>0.4766787958981145</v>
      </c>
      <c r="T54" s="36" t="n">
        <v>0.940616441333739</v>
      </c>
      <c r="U54" s="31" t="n">
        <v>59700</v>
      </c>
      <c r="V54" s="31" t="n">
        <v>10800</v>
      </c>
      <c r="W54" s="36" t="n">
        <v>-0.0653266331658291</v>
      </c>
      <c r="X54" s="36" t="n">
        <v>4.166666666666667</v>
      </c>
      <c r="Y54" s="31" t="n">
        <v>95312200</v>
      </c>
      <c r="Z54" s="31" t="n">
        <v>5318420760000</v>
      </c>
      <c r="AA54" s="31" t="n">
        <v>408556998000</v>
      </c>
      <c r="AB54" s="31" t="n">
        <v>247708893942.5</v>
      </c>
      <c r="AC54" s="36" t="n">
        <v>0.07681923195561534</v>
      </c>
      <c r="AD54" s="29" t="inlineStr">
        <is>
          <t>yfinance_download</t>
        </is>
      </c>
      <c r="AE54" s="29" t="inlineStr">
        <is>
          <t>042700.KS</t>
        </is>
      </c>
    </row>
    <row r="55" ht="24" customHeight="1">
      <c r="A55" s="24" t="inlineStr">
        <is>
          <t>2023-08-23</t>
        </is>
      </c>
      <c r="B55" s="30" t="n">
        <v>54800</v>
      </c>
      <c r="C55" s="30" t="n">
        <v>59400</v>
      </c>
      <c r="D55" s="30" t="n">
        <v>54800</v>
      </c>
      <c r="E55" s="30" t="n">
        <v>57000</v>
      </c>
      <c r="F55" s="30" t="n">
        <v>56124.578125</v>
      </c>
      <c r="G55" s="30" t="n">
        <v>6208892</v>
      </c>
      <c r="H55" s="35" t="n">
        <v>0.021505376344086</v>
      </c>
      <c r="I55" s="35" t="n">
        <v>-0.04522613065326631</v>
      </c>
      <c r="J55" s="30" t="n">
        <v>49667.5</v>
      </c>
      <c r="K55" s="30" t="n">
        <v>38285</v>
      </c>
      <c r="L55" s="30" t="n">
        <v>29095.75</v>
      </c>
      <c r="M55" s="35" t="n">
        <v>0.9578525128989575</v>
      </c>
      <c r="N55" s="35" t="n">
        <v>0.9825091892437666</v>
      </c>
      <c r="O55" s="35" t="n">
        <v>0.2311015118790496</v>
      </c>
      <c r="P55" s="35" t="n">
        <v>1.099447513812155</v>
      </c>
      <c r="Q55" s="35" t="n">
        <v>2.571428571428572</v>
      </c>
      <c r="R55" s="35" t="n">
        <v>0.1476317511451151</v>
      </c>
      <c r="S55" s="35" t="n">
        <v>0.4888337468982631</v>
      </c>
      <c r="T55" s="35" t="n">
        <v>0.9590490020020106</v>
      </c>
      <c r="U55" s="30" t="n">
        <v>59700</v>
      </c>
      <c r="V55" s="30" t="n">
        <v>10800</v>
      </c>
      <c r="W55" s="35" t="n">
        <v>-0.04522613065326631</v>
      </c>
      <c r="X55" s="35" t="n">
        <v>4.277777777777778</v>
      </c>
      <c r="Y55" s="30" t="n">
        <v>95312200</v>
      </c>
      <c r="Z55" s="30" t="n">
        <v>5432795400000</v>
      </c>
      <c r="AA55" s="30" t="n">
        <v>353906844000</v>
      </c>
      <c r="AB55" s="30" t="n">
        <v>256425397522.5</v>
      </c>
      <c r="AC55" s="35" t="n">
        <v>0.06514267848187326</v>
      </c>
      <c r="AD55" s="24" t="inlineStr">
        <is>
          <t>yfinance_download</t>
        </is>
      </c>
      <c r="AE55" s="24" t="inlineStr">
        <is>
          <t>042700.KS</t>
        </is>
      </c>
    </row>
    <row r="56" ht="24" customHeight="1">
      <c r="A56" s="29" t="inlineStr">
        <is>
          <t>2023-08-24</t>
        </is>
      </c>
      <c r="B56" s="31" t="n">
        <v>60600</v>
      </c>
      <c r="C56" s="31" t="n">
        <v>60900</v>
      </c>
      <c r="D56" s="31" t="n">
        <v>55200</v>
      </c>
      <c r="E56" s="31" t="n">
        <v>55500</v>
      </c>
      <c r="F56" s="31" t="n">
        <v>54647.62109375</v>
      </c>
      <c r="G56" s="31" t="n">
        <v>6139264</v>
      </c>
      <c r="H56" s="36" t="n">
        <v>-0.02631578947368418</v>
      </c>
      <c r="I56" s="36" t="n">
        <v>-0.07035175879396982</v>
      </c>
      <c r="J56" s="31" t="n">
        <v>50252.5</v>
      </c>
      <c r="K56" s="31" t="n">
        <v>38756.66666666666</v>
      </c>
      <c r="L56" s="31" t="n">
        <v>29427.5</v>
      </c>
      <c r="M56" s="36" t="n">
        <v>0.937338482153055</v>
      </c>
      <c r="N56" s="36" t="n">
        <v>0.9857087946961059</v>
      </c>
      <c r="O56" s="36" t="n">
        <v>0.2671232876712328</v>
      </c>
      <c r="P56" s="36" t="n">
        <v>1.040441176470588</v>
      </c>
      <c r="Q56" s="36" t="n">
        <v>2.537284894837476</v>
      </c>
      <c r="R56" s="36" t="n">
        <v>0.1044226655390279</v>
      </c>
      <c r="S56" s="36" t="n">
        <v>0.4320116969123593</v>
      </c>
      <c r="T56" s="36" t="n">
        <v>0.8859909948177724</v>
      </c>
      <c r="U56" s="31" t="n">
        <v>59700</v>
      </c>
      <c r="V56" s="31" t="n">
        <v>10800</v>
      </c>
      <c r="W56" s="36" t="n">
        <v>-0.07035175879396982</v>
      </c>
      <c r="X56" s="36" t="n">
        <v>4.138888888888889</v>
      </c>
      <c r="Y56" s="31" t="n">
        <v>95312200</v>
      </c>
      <c r="Z56" s="31" t="n">
        <v>5289827100000</v>
      </c>
      <c r="AA56" s="31" t="n">
        <v>340729152000</v>
      </c>
      <c r="AB56" s="31" t="n">
        <v>262914847972.5</v>
      </c>
      <c r="AC56" s="36" t="n">
        <v>0.06441215290382553</v>
      </c>
      <c r="AD56" s="29" t="inlineStr">
        <is>
          <t>yfinance_download</t>
        </is>
      </c>
      <c r="AE56" s="29" t="inlineStr">
        <is>
          <t>042700.KS</t>
        </is>
      </c>
    </row>
    <row r="57" ht="24" customHeight="1">
      <c r="A57" s="24" t="inlineStr">
        <is>
          <t>2023-08-25</t>
        </is>
      </c>
      <c r="B57" s="30" t="n">
        <v>54400</v>
      </c>
      <c r="C57" s="30" t="n">
        <v>56400</v>
      </c>
      <c r="D57" s="30" t="n">
        <v>54100</v>
      </c>
      <c r="E57" s="30" t="n">
        <v>54400</v>
      </c>
      <c r="F57" s="30" t="n">
        <v>53564.51171875</v>
      </c>
      <c r="G57" s="30" t="n">
        <v>2579662</v>
      </c>
      <c r="H57" s="35" t="n">
        <v>-0.01981981981981984</v>
      </c>
      <c r="I57" s="35" t="n">
        <v>-0.08877721943048578</v>
      </c>
      <c r="J57" s="30" t="n">
        <v>50677.5</v>
      </c>
      <c r="K57" s="30" t="n">
        <v>39220.83333333334</v>
      </c>
      <c r="L57" s="30" t="n">
        <v>29751.08333333333</v>
      </c>
      <c r="M57" s="35" t="n">
        <v>0.9351584127320355</v>
      </c>
      <c r="N57" s="35" t="n">
        <v>0.9850796012101546</v>
      </c>
      <c r="O57" s="35" t="n">
        <v>0.1851851851851851</v>
      </c>
      <c r="P57" s="35" t="n">
        <v>1.048964218455744</v>
      </c>
      <c r="Q57" s="35" t="n">
        <v>2.493898522800257</v>
      </c>
      <c r="R57" s="35" t="n">
        <v>0.07345468896453067</v>
      </c>
      <c r="S57" s="35" t="n">
        <v>0.3870179538935514</v>
      </c>
      <c r="T57" s="35" t="n">
        <v>0.8285048443614098</v>
      </c>
      <c r="U57" s="30" t="n">
        <v>59700</v>
      </c>
      <c r="V57" s="30" t="n">
        <v>10800</v>
      </c>
      <c r="W57" s="35" t="n">
        <v>-0.08877721943048578</v>
      </c>
      <c r="X57" s="35" t="n">
        <v>4.037037037037037</v>
      </c>
      <c r="Y57" s="30" t="n">
        <v>95312200</v>
      </c>
      <c r="Z57" s="30" t="n">
        <v>5184983680000</v>
      </c>
      <c r="AA57" s="30" t="n">
        <v>140333612800</v>
      </c>
      <c r="AB57" s="30" t="n">
        <v>260961050637.5</v>
      </c>
      <c r="AC57" s="35" t="n">
        <v>0.02706539141893692</v>
      </c>
      <c r="AD57" s="24" t="inlineStr">
        <is>
          <t>yfinance_download</t>
        </is>
      </c>
      <c r="AE57" s="24" t="inlineStr">
        <is>
          <t>042700.KS</t>
        </is>
      </c>
    </row>
    <row r="58" ht="24" customHeight="1">
      <c r="A58" s="29" t="inlineStr">
        <is>
          <t>2023-08-28</t>
        </is>
      </c>
      <c r="B58" s="31" t="n">
        <v>54600</v>
      </c>
      <c r="C58" s="31" t="n">
        <v>55300</v>
      </c>
      <c r="D58" s="31" t="n">
        <v>53400</v>
      </c>
      <c r="E58" s="31" t="n">
        <v>55000</v>
      </c>
      <c r="F58" s="31" t="n">
        <v>54155.30078125</v>
      </c>
      <c r="G58" s="31" t="n">
        <v>1679670</v>
      </c>
      <c r="H58" s="36" t="n">
        <v>0.01102941176470584</v>
      </c>
      <c r="I58" s="36" t="n">
        <v>-0.07872696817420433</v>
      </c>
      <c r="J58" s="31" t="n">
        <v>51070</v>
      </c>
      <c r="K58" s="31" t="n">
        <v>39698.33333333334</v>
      </c>
      <c r="L58" s="31" t="n">
        <v>30077.25</v>
      </c>
      <c r="M58" s="36" t="n">
        <v>0.9329867373590681</v>
      </c>
      <c r="N58" s="36" t="n">
        <v>0.9840984596722646</v>
      </c>
      <c r="O58" s="36" t="n">
        <v>0.1664899257688228</v>
      </c>
      <c r="P58" s="36" t="n">
        <v>1.087286527514232</v>
      </c>
      <c r="Q58" s="36" t="n">
        <v>2.467843631778058</v>
      </c>
      <c r="R58" s="36" t="n">
        <v>0.07695320148815354</v>
      </c>
      <c r="S58" s="36" t="n">
        <v>0.3854485914605985</v>
      </c>
      <c r="T58" s="36" t="n">
        <v>0.8286246249241536</v>
      </c>
      <c r="U58" s="31" t="n">
        <v>59700</v>
      </c>
      <c r="V58" s="31" t="n">
        <v>10800</v>
      </c>
      <c r="W58" s="36" t="n">
        <v>-0.07872696817420433</v>
      </c>
      <c r="X58" s="36" t="n">
        <v>4.092592592592593</v>
      </c>
      <c r="Y58" s="31" t="n">
        <v>95312200</v>
      </c>
      <c r="Z58" s="31" t="n">
        <v>5242171000000</v>
      </c>
      <c r="AA58" s="31" t="n">
        <v>92381850000</v>
      </c>
      <c r="AB58" s="31" t="n">
        <v>259897990550</v>
      </c>
      <c r="AC58" s="36" t="n">
        <v>0.01762282268167139</v>
      </c>
      <c r="AD58" s="29" t="inlineStr">
        <is>
          <t>yfinance_download</t>
        </is>
      </c>
      <c r="AE58" s="29" t="inlineStr">
        <is>
          <t>042700.KS</t>
        </is>
      </c>
    </row>
    <row r="59" ht="24" customHeight="1">
      <c r="A59" s="24" t="inlineStr">
        <is>
          <t>2023-08-29</t>
        </is>
      </c>
      <c r="B59" s="30" t="n">
        <v>55400</v>
      </c>
      <c r="C59" s="30" t="n">
        <v>57600</v>
      </c>
      <c r="D59" s="30" t="n">
        <v>54700</v>
      </c>
      <c r="E59" s="30" t="n">
        <v>55300</v>
      </c>
      <c r="F59" s="30" t="n">
        <v>54450.6875</v>
      </c>
      <c r="G59" s="30" t="n">
        <v>2487739</v>
      </c>
      <c r="H59" s="35" t="n">
        <v>0.005454545454545379</v>
      </c>
      <c r="I59" s="35" t="n">
        <v>-0.0737018425460636</v>
      </c>
      <c r="J59" s="30" t="n">
        <v>51410</v>
      </c>
      <c r="K59" s="30" t="n">
        <v>40191.66666666666</v>
      </c>
      <c r="L59" s="30" t="n">
        <v>30402.83333333333</v>
      </c>
      <c r="M59" s="35" t="n">
        <v>0.9302363149505928</v>
      </c>
      <c r="N59" s="35" t="n">
        <v>0.9809629458034785</v>
      </c>
      <c r="O59" s="35" t="n">
        <v>0.1402061855670103</v>
      </c>
      <c r="P59" s="35" t="n">
        <v>1.151750972762646</v>
      </c>
      <c r="Q59" s="35" t="n">
        <v>2.407270486752927</v>
      </c>
      <c r="R59" s="35" t="n">
        <v>0.07566621279906638</v>
      </c>
      <c r="S59" s="35" t="n">
        <v>0.3759071117561685</v>
      </c>
      <c r="T59" s="35" t="n">
        <v>0.8189094218192383</v>
      </c>
      <c r="U59" s="30" t="n">
        <v>59700</v>
      </c>
      <c r="V59" s="30" t="n">
        <v>10800</v>
      </c>
      <c r="W59" s="35" t="n">
        <v>-0.0737018425460636</v>
      </c>
      <c r="X59" s="35" t="n">
        <v>4.12037037037037</v>
      </c>
      <c r="Y59" s="30" t="n">
        <v>95312200</v>
      </c>
      <c r="Z59" s="30" t="n">
        <v>5270764660000</v>
      </c>
      <c r="AA59" s="30" t="n">
        <v>137571966700</v>
      </c>
      <c r="AB59" s="30" t="n">
        <v>257840243210</v>
      </c>
      <c r="AC59" s="35" t="n">
        <v>0.02610095035053225</v>
      </c>
      <c r="AD59" s="24" t="inlineStr">
        <is>
          <t>yfinance_download</t>
        </is>
      </c>
      <c r="AE59" s="24" t="inlineStr">
        <is>
          <t>042700.KS</t>
        </is>
      </c>
    </row>
    <row r="60" ht="24" customHeight="1">
      <c r="A60" s="29" t="inlineStr">
        <is>
          <t>2023-08-30</t>
        </is>
      </c>
      <c r="B60" s="31" t="n">
        <v>57200</v>
      </c>
      <c r="C60" s="31" t="n">
        <v>58300</v>
      </c>
      <c r="D60" s="31" t="n">
        <v>55900</v>
      </c>
      <c r="E60" s="31" t="n">
        <v>57100</v>
      </c>
      <c r="F60" s="31" t="n">
        <v>56223.04296875</v>
      </c>
      <c r="G60" s="31" t="n">
        <v>3388659</v>
      </c>
      <c r="H60" s="36" t="n">
        <v>0.03254972875226048</v>
      </c>
      <c r="I60" s="36" t="n">
        <v>-0.04355108877721947</v>
      </c>
      <c r="J60" s="31" t="n">
        <v>51595</v>
      </c>
      <c r="K60" s="31" t="n">
        <v>40724.16666666666</v>
      </c>
      <c r="L60" s="31" t="n">
        <v>30743.91666666667</v>
      </c>
      <c r="M60" s="36" t="n">
        <v>0.8692912780375207</v>
      </c>
      <c r="N60" s="36" t="n">
        <v>0.9787371701873903</v>
      </c>
      <c r="O60" s="36" t="n">
        <v>0.06928838951310867</v>
      </c>
      <c r="P60" s="36" t="n">
        <v>1.270377733598409</v>
      </c>
      <c r="Q60" s="36" t="n">
        <v>2.531230674087817</v>
      </c>
      <c r="R60" s="36" t="n">
        <v>0.106696385308654</v>
      </c>
      <c r="S60" s="36" t="n">
        <v>0.4021158607706319</v>
      </c>
      <c r="T60" s="36" t="n">
        <v>0.8572779980863423</v>
      </c>
      <c r="U60" s="31" t="n">
        <v>59700</v>
      </c>
      <c r="V60" s="31" t="n">
        <v>10800</v>
      </c>
      <c r="W60" s="36" t="n">
        <v>-0.04355108877721947</v>
      </c>
      <c r="X60" s="36" t="n">
        <v>4.287037037037037</v>
      </c>
      <c r="Y60" s="31" t="n">
        <v>95312200</v>
      </c>
      <c r="Z60" s="31" t="n">
        <v>5442326620000</v>
      </c>
      <c r="AA60" s="31" t="n">
        <v>193492428900</v>
      </c>
      <c r="AB60" s="31" t="n">
        <v>255040162745</v>
      </c>
      <c r="AC60" s="36" t="n">
        <v>0.0355532555118862</v>
      </c>
      <c r="AD60" s="29" t="inlineStr">
        <is>
          <t>yfinance_download</t>
        </is>
      </c>
      <c r="AE60" s="29" t="inlineStr">
        <is>
          <t>042700.KS</t>
        </is>
      </c>
    </row>
    <row r="61" ht="24" customHeight="1">
      <c r="A61" s="24" t="inlineStr">
        <is>
          <t>2023-08-31</t>
        </is>
      </c>
      <c r="B61" s="30" t="n">
        <v>57100</v>
      </c>
      <c r="C61" s="30" t="n">
        <v>59800</v>
      </c>
      <c r="D61" s="30" t="n">
        <v>55700</v>
      </c>
      <c r="E61" s="30" t="n">
        <v>59800</v>
      </c>
      <c r="F61" s="30" t="n">
        <v>58881.58203125</v>
      </c>
      <c r="G61" s="30" t="n">
        <v>7087487</v>
      </c>
      <c r="H61" s="35" t="n">
        <v>0.04728546409807355</v>
      </c>
      <c r="I61" s="35" t="n">
        <v>0</v>
      </c>
      <c r="J61" s="30" t="n">
        <v>52122.5</v>
      </c>
      <c r="K61" s="30" t="n">
        <v>41304.16666666666</v>
      </c>
      <c r="L61" s="30" t="n">
        <v>31110.58333333333</v>
      </c>
      <c r="M61" s="35" t="n">
        <v>0.8241700402186345</v>
      </c>
      <c r="N61" s="35" t="n">
        <v>0.9798353253055969</v>
      </c>
      <c r="O61" s="35" t="n">
        <v>0.2142131979695432</v>
      </c>
      <c r="P61" s="35" t="n">
        <v>1.392</v>
      </c>
      <c r="Q61" s="35" t="n">
        <v>2.784810126582279</v>
      </c>
      <c r="R61" s="35" t="n">
        <v>0.1472972324811741</v>
      </c>
      <c r="S61" s="35" t="n">
        <v>0.4477958236658934</v>
      </c>
      <c r="T61" s="35" t="n">
        <v>0.9221754654766465</v>
      </c>
      <c r="U61" s="30" t="n">
        <v>59800</v>
      </c>
      <c r="V61" s="30" t="n">
        <v>10800</v>
      </c>
      <c r="W61" s="35" t="n">
        <v>0</v>
      </c>
      <c r="X61" s="35" t="n">
        <v>4.537037037037037</v>
      </c>
      <c r="Y61" s="30" t="n">
        <v>95312200</v>
      </c>
      <c r="Z61" s="30" t="n">
        <v>5699669560000</v>
      </c>
      <c r="AA61" s="30" t="n">
        <v>423831722600</v>
      </c>
      <c r="AB61" s="30" t="n">
        <v>267044439637.5</v>
      </c>
      <c r="AC61" s="35" t="n">
        <v>0.07436075339778118</v>
      </c>
      <c r="AD61" s="24" t="inlineStr">
        <is>
          <t>yfinance_download</t>
        </is>
      </c>
      <c r="AE61" s="24" t="inlineStr">
        <is>
          <t>042700.KS</t>
        </is>
      </c>
    </row>
    <row r="62" ht="24" customHeight="1">
      <c r="A62" s="29" t="inlineStr">
        <is>
          <t>2023-09-01</t>
        </is>
      </c>
      <c r="B62" s="31" t="n">
        <v>58500</v>
      </c>
      <c r="C62" s="31" t="n">
        <v>60400</v>
      </c>
      <c r="D62" s="31" t="n">
        <v>57600</v>
      </c>
      <c r="E62" s="31" t="n">
        <v>58500</v>
      </c>
      <c r="F62" s="31" t="n">
        <v>57601.54296875</v>
      </c>
      <c r="G62" s="31" t="n">
        <v>3404907</v>
      </c>
      <c r="H62" s="36" t="n">
        <v>-0.02173913043478259</v>
      </c>
      <c r="I62" s="36" t="n">
        <v>-0.02173913043478259</v>
      </c>
      <c r="J62" s="31" t="n">
        <v>52582.5</v>
      </c>
      <c r="K62" s="31" t="n">
        <v>41851.66666666666</v>
      </c>
      <c r="L62" s="31" t="n">
        <v>31471.66666666667</v>
      </c>
      <c r="M62" s="36" t="n">
        <v>0.831732709073689</v>
      </c>
      <c r="N62" s="36" t="n">
        <v>0.9827128091077184</v>
      </c>
      <c r="O62" s="36" t="n">
        <v>0.1866125760649087</v>
      </c>
      <c r="P62" s="36" t="n">
        <v>1.280701754385965</v>
      </c>
      <c r="Q62" s="36" t="n">
        <v>2.856295319709954</v>
      </c>
      <c r="R62" s="36" t="n">
        <v>0.1125374411638853</v>
      </c>
      <c r="S62" s="36" t="n">
        <v>0.3977937955477679</v>
      </c>
      <c r="T62" s="36" t="n">
        <v>0.8588148069692314</v>
      </c>
      <c r="U62" s="31" t="n">
        <v>59800</v>
      </c>
      <c r="V62" s="31" t="n">
        <v>10800</v>
      </c>
      <c r="W62" s="36" t="n">
        <v>-0.02173913043478259</v>
      </c>
      <c r="X62" s="36" t="n">
        <v>4.416666666666667</v>
      </c>
      <c r="Y62" s="31" t="n">
        <v>95312200</v>
      </c>
      <c r="Z62" s="31" t="n">
        <v>5575763700000</v>
      </c>
      <c r="AA62" s="31" t="n">
        <v>199187059500</v>
      </c>
      <c r="AB62" s="31" t="n">
        <v>264185642247.5</v>
      </c>
      <c r="AC62" s="36" t="n">
        <v>0.03572372686812391</v>
      </c>
      <c r="AD62" s="29" t="inlineStr">
        <is>
          <t>yfinance_download</t>
        </is>
      </c>
      <c r="AE62" s="29" t="inlineStr">
        <is>
          <t>042700.KS</t>
        </is>
      </c>
    </row>
    <row r="63" ht="24" customHeight="1">
      <c r="A63" s="24" t="inlineStr">
        <is>
          <t>2023-09-04</t>
        </is>
      </c>
      <c r="B63" s="30" t="n">
        <v>60000</v>
      </c>
      <c r="C63" s="30" t="n">
        <v>60300</v>
      </c>
      <c r="D63" s="30" t="n">
        <v>57600</v>
      </c>
      <c r="E63" s="30" t="n">
        <v>58200</v>
      </c>
      <c r="F63" s="30" t="n">
        <v>57306.1484375</v>
      </c>
      <c r="G63" s="30" t="n">
        <v>1925458</v>
      </c>
      <c r="H63" s="35" t="n">
        <v>-0.00512820512820511</v>
      </c>
      <c r="I63" s="35" t="n">
        <v>-0.02675585284280935</v>
      </c>
      <c r="J63" s="30" t="n">
        <v>53145</v>
      </c>
      <c r="K63" s="30" t="n">
        <v>42378.33333333334</v>
      </c>
      <c r="L63" s="30" t="n">
        <v>31830.83333333333</v>
      </c>
      <c r="M63" s="35" t="n">
        <v>0.8060486852228668</v>
      </c>
      <c r="N63" s="35" t="n">
        <v>0.9825798599449945</v>
      </c>
      <c r="O63" s="35" t="n">
        <v>0.2396166134185302</v>
      </c>
      <c r="P63" s="35" t="n">
        <v>1.18796992481203</v>
      </c>
      <c r="Q63" s="35" t="n">
        <v>2.85430463576159</v>
      </c>
      <c r="R63" s="35" t="n">
        <v>0.09511713237369457</v>
      </c>
      <c r="S63" s="35" t="n">
        <v>0.3733432964958507</v>
      </c>
      <c r="T63" s="35" t="n">
        <v>0.8284158441762444</v>
      </c>
      <c r="U63" s="30" t="n">
        <v>59800</v>
      </c>
      <c r="V63" s="30" t="n">
        <v>10800</v>
      </c>
      <c r="W63" s="35" t="n">
        <v>-0.02675585284280935</v>
      </c>
      <c r="X63" s="35" t="n">
        <v>4.388888888888889</v>
      </c>
      <c r="Y63" s="30" t="n">
        <v>95312200</v>
      </c>
      <c r="Z63" s="30" t="n">
        <v>5547170040000</v>
      </c>
      <c r="AA63" s="30" t="n">
        <v>112061655600</v>
      </c>
      <c r="AB63" s="30" t="n">
        <v>260714116347.5</v>
      </c>
      <c r="AC63" s="35" t="n">
        <v>0.02020159014270996</v>
      </c>
      <c r="AD63" s="24" t="inlineStr">
        <is>
          <t>yfinance_download</t>
        </is>
      </c>
      <c r="AE63" s="24" t="inlineStr">
        <is>
          <t>042700.KS</t>
        </is>
      </c>
    </row>
    <row r="64" ht="24" customHeight="1">
      <c r="A64" s="29" t="inlineStr">
        <is>
          <t>2023-09-05</t>
        </is>
      </c>
      <c r="B64" s="31" t="n">
        <v>58000</v>
      </c>
      <c r="C64" s="31" t="n">
        <v>60400</v>
      </c>
      <c r="D64" s="31" t="n">
        <v>58000</v>
      </c>
      <c r="E64" s="31" t="n">
        <v>58800</v>
      </c>
      <c r="F64" s="31" t="n">
        <v>57896.9375</v>
      </c>
      <c r="G64" s="31" t="n">
        <v>2094606</v>
      </c>
      <c r="H64" s="36" t="n">
        <v>0.01030927835051543</v>
      </c>
      <c r="I64" s="36" t="n">
        <v>-0.01672240802675584</v>
      </c>
      <c r="J64" s="31" t="n">
        <v>53725</v>
      </c>
      <c r="K64" s="31" t="n">
        <v>42916.66666666666</v>
      </c>
      <c r="L64" s="31" t="n">
        <v>32201.5</v>
      </c>
      <c r="M64" s="36" t="n">
        <v>0.8056999276375006</v>
      </c>
      <c r="N64" s="36" t="n">
        <v>0.9818628625332614</v>
      </c>
      <c r="O64" s="36" t="n">
        <v>0.2457627118644068</v>
      </c>
      <c r="P64" s="36" t="n">
        <v>1.218867924528302</v>
      </c>
      <c r="Q64" s="36" t="n">
        <v>3.106145251396648</v>
      </c>
      <c r="R64" s="36" t="n">
        <v>0.09446254071661242</v>
      </c>
      <c r="S64" s="36" t="n">
        <v>0.3700970873786409</v>
      </c>
      <c r="T64" s="36" t="n">
        <v>0.8260018943216931</v>
      </c>
      <c r="U64" s="31" t="n">
        <v>59800</v>
      </c>
      <c r="V64" s="31" t="n">
        <v>10800</v>
      </c>
      <c r="W64" s="36" t="n">
        <v>-0.01672240802675584</v>
      </c>
      <c r="X64" s="36" t="n">
        <v>4.444444444444445</v>
      </c>
      <c r="Y64" s="31" t="n">
        <v>95312200</v>
      </c>
      <c r="Z64" s="31" t="n">
        <v>5604357360000</v>
      </c>
      <c r="AA64" s="31" t="n">
        <v>123162832800</v>
      </c>
      <c r="AB64" s="31" t="n">
        <v>258254543347.5</v>
      </c>
      <c r="AC64" s="36" t="n">
        <v>0.02197626326954996</v>
      </c>
      <c r="AD64" s="29" t="inlineStr">
        <is>
          <t>yfinance_download</t>
        </is>
      </c>
      <c r="AE64" s="29" t="inlineStr">
        <is>
          <t>042700.KS</t>
        </is>
      </c>
    </row>
    <row r="65" ht="24" customHeight="1">
      <c r="A65" s="24" t="inlineStr">
        <is>
          <t>2023-09-06</t>
        </is>
      </c>
      <c r="B65" s="30" t="n">
        <v>58800</v>
      </c>
      <c r="C65" s="30" t="n">
        <v>59500</v>
      </c>
      <c r="D65" s="30" t="n">
        <v>56700</v>
      </c>
      <c r="E65" s="30" t="n">
        <v>57500</v>
      </c>
      <c r="F65" s="30" t="n">
        <v>56616.90234375</v>
      </c>
      <c r="G65" s="30" t="n">
        <v>1350634</v>
      </c>
      <c r="H65" s="35" t="n">
        <v>-0.02210884353741494</v>
      </c>
      <c r="I65" s="35" t="n">
        <v>-0.03846153846153844</v>
      </c>
      <c r="J65" s="30" t="n">
        <v>54215</v>
      </c>
      <c r="K65" s="30" t="n">
        <v>43431.66666666666</v>
      </c>
      <c r="L65" s="30" t="n">
        <v>32562.08333333333</v>
      </c>
      <c r="M65" s="35" t="n">
        <v>0.8148710797176113</v>
      </c>
      <c r="N65" s="35" t="n">
        <v>0.9845685247249917</v>
      </c>
      <c r="O65" s="35" t="n">
        <v>0.2054507337526206</v>
      </c>
      <c r="P65" s="35" t="n">
        <v>1.161654135338346</v>
      </c>
      <c r="Q65" s="35" t="n">
        <v>3.040758959943781</v>
      </c>
      <c r="R65" s="35" t="n">
        <v>0.06059208706077657</v>
      </c>
      <c r="S65" s="35" t="n">
        <v>0.323918799646955</v>
      </c>
      <c r="T65" s="35" t="n">
        <v>0.7658575285672242</v>
      </c>
      <c r="U65" s="30" t="n">
        <v>59800</v>
      </c>
      <c r="V65" s="30" t="n">
        <v>10800</v>
      </c>
      <c r="W65" s="35" t="n">
        <v>-0.03846153846153844</v>
      </c>
      <c r="X65" s="35" t="n">
        <v>4.324074074074074</v>
      </c>
      <c r="Y65" s="30" t="n">
        <v>95312200</v>
      </c>
      <c r="Z65" s="30" t="n">
        <v>5480451500000</v>
      </c>
      <c r="AA65" s="30" t="n">
        <v>77661455000</v>
      </c>
      <c r="AB65" s="30" t="n">
        <v>247088080067.5</v>
      </c>
      <c r="AC65" s="35" t="n">
        <v>0.0141706308321495</v>
      </c>
      <c r="AD65" s="24" t="inlineStr">
        <is>
          <t>yfinance_download</t>
        </is>
      </c>
      <c r="AE65" s="24" t="inlineStr">
        <is>
          <t>042700.KS</t>
        </is>
      </c>
    </row>
    <row r="66" ht="24" customHeight="1">
      <c r="A66" s="29" t="inlineStr">
        <is>
          <t>2023-09-07</t>
        </is>
      </c>
      <c r="B66" s="31" t="n">
        <v>56600</v>
      </c>
      <c r="C66" s="31" t="n">
        <v>58200</v>
      </c>
      <c r="D66" s="31" t="n">
        <v>56500</v>
      </c>
      <c r="E66" s="31" t="n">
        <v>57300</v>
      </c>
      <c r="F66" s="31" t="n">
        <v>56419.97265625</v>
      </c>
      <c r="G66" s="31" t="n">
        <v>1157594</v>
      </c>
      <c r="H66" s="36" t="n">
        <v>-0.003478260869565264</v>
      </c>
      <c r="I66" s="36" t="n">
        <v>-0.0418060200668896</v>
      </c>
      <c r="J66" s="31" t="n">
        <v>54742.5</v>
      </c>
      <c r="K66" s="31" t="n">
        <v>43947.5</v>
      </c>
      <c r="L66" s="31" t="n">
        <v>32916.5</v>
      </c>
      <c r="M66" s="36" t="n">
        <v>0.8087840609196597</v>
      </c>
      <c r="N66" s="36" t="n">
        <v>0.9840247104082741</v>
      </c>
      <c r="O66" s="36" t="n">
        <v>0.2256684491978609</v>
      </c>
      <c r="P66" s="36" t="n">
        <v>1.174573055028463</v>
      </c>
      <c r="Q66" s="36" t="n">
        <v>2.879485443466486</v>
      </c>
      <c r="R66" s="36" t="n">
        <v>0.046718728592958</v>
      </c>
      <c r="S66" s="36" t="n">
        <v>0.3038284316514022</v>
      </c>
      <c r="T66" s="36" t="n">
        <v>0.7407683076876339</v>
      </c>
      <c r="U66" s="31" t="n">
        <v>59800</v>
      </c>
      <c r="V66" s="31" t="n">
        <v>10800</v>
      </c>
      <c r="W66" s="36" t="n">
        <v>-0.0418060200668896</v>
      </c>
      <c r="X66" s="36" t="n">
        <v>4.305555555555555</v>
      </c>
      <c r="Y66" s="31" t="n">
        <v>95312200</v>
      </c>
      <c r="Z66" s="31" t="n">
        <v>5461389060000</v>
      </c>
      <c r="AA66" s="31" t="n">
        <v>66330136200</v>
      </c>
      <c r="AB66" s="31" t="n">
        <v>245703306365</v>
      </c>
      <c r="AC66" s="36" t="n">
        <v>0.01214528675237797</v>
      </c>
      <c r="AD66" s="29" t="inlineStr">
        <is>
          <t>yfinance_download</t>
        </is>
      </c>
      <c r="AE66" s="29" t="inlineStr">
        <is>
          <t>042700.KS</t>
        </is>
      </c>
    </row>
    <row r="67" ht="24" customHeight="1">
      <c r="A67" s="24" t="inlineStr">
        <is>
          <t>2023-09-08</t>
        </is>
      </c>
      <c r="B67" s="30" t="n">
        <v>57000</v>
      </c>
      <c r="C67" s="30" t="n">
        <v>57000</v>
      </c>
      <c r="D67" s="30" t="n">
        <v>52600</v>
      </c>
      <c r="E67" s="30" t="n">
        <v>54200</v>
      </c>
      <c r="F67" s="30" t="n">
        <v>53367.58203125</v>
      </c>
      <c r="G67" s="30" t="n">
        <v>2618078</v>
      </c>
      <c r="H67" s="35" t="n">
        <v>-0.05410122164048869</v>
      </c>
      <c r="I67" s="35" t="n">
        <v>-0.09364548494983282</v>
      </c>
      <c r="J67" s="30" t="n">
        <v>55112.5</v>
      </c>
      <c r="K67" s="30" t="n">
        <v>44365</v>
      </c>
      <c r="L67" s="30" t="n">
        <v>33234.75</v>
      </c>
      <c r="M67" s="35" t="n">
        <v>0.8411732896459981</v>
      </c>
      <c r="N67" s="35" t="n">
        <v>0.9751887378738637</v>
      </c>
      <c r="O67" s="35" t="n">
        <v>0.1581196581196582</v>
      </c>
      <c r="P67" s="35" t="n">
        <v>0.8593481989708405</v>
      </c>
      <c r="Q67" s="35" t="n">
        <v>2.385384134915678</v>
      </c>
      <c r="R67" s="35" t="n">
        <v>-0.01655704241324563</v>
      </c>
      <c r="S67" s="35" t="n">
        <v>0.2216837597205004</v>
      </c>
      <c r="T67" s="35" t="n">
        <v>0.6308231594942042</v>
      </c>
      <c r="U67" s="30" t="n">
        <v>59800</v>
      </c>
      <c r="V67" s="30" t="n">
        <v>10800</v>
      </c>
      <c r="W67" s="35" t="n">
        <v>-0.09364548494983282</v>
      </c>
      <c r="X67" s="35" t="n">
        <v>4.018518518518518</v>
      </c>
      <c r="Y67" s="30" t="n">
        <v>95312200</v>
      </c>
      <c r="Z67" s="30" t="n">
        <v>5165921240000</v>
      </c>
      <c r="AA67" s="30" t="n">
        <v>141899827600</v>
      </c>
      <c r="AB67" s="30" t="n">
        <v>247026259525</v>
      </c>
      <c r="AC67" s="35" t="n">
        <v>0.02746844580232121</v>
      </c>
      <c r="AD67" s="24" t="inlineStr">
        <is>
          <t>yfinance_download</t>
        </is>
      </c>
      <c r="AE67" s="24" t="inlineStr">
        <is>
          <t>042700.KS</t>
        </is>
      </c>
    </row>
    <row r="68" ht="24" customHeight="1">
      <c r="A68" s="29" t="inlineStr">
        <is>
          <t>2023-09-11</t>
        </is>
      </c>
      <c r="B68" s="31" t="n">
        <v>53400</v>
      </c>
      <c r="C68" s="31" t="n">
        <v>54200</v>
      </c>
      <c r="D68" s="31" t="n">
        <v>51600</v>
      </c>
      <c r="E68" s="31" t="n">
        <v>53300</v>
      </c>
      <c r="F68" s="31" t="n">
        <v>52481.40625</v>
      </c>
      <c r="G68" s="31" t="n">
        <v>1755985</v>
      </c>
      <c r="H68" s="36" t="n">
        <v>-0.01660516605166051</v>
      </c>
      <c r="I68" s="36" t="n">
        <v>-0.1086956521739131</v>
      </c>
      <c r="J68" s="31" t="n">
        <v>55385</v>
      </c>
      <c r="K68" s="31" t="n">
        <v>44768.33333333334</v>
      </c>
      <c r="L68" s="31" t="n">
        <v>33545</v>
      </c>
      <c r="M68" s="36" t="n">
        <v>0.8440798633473209</v>
      </c>
      <c r="N68" s="36" t="n">
        <v>0.9765666069682901</v>
      </c>
      <c r="O68" s="36" t="n">
        <v>0.1138975966562172</v>
      </c>
      <c r="P68" s="36" t="n">
        <v>0.831615120274914</v>
      </c>
      <c r="Q68" s="36" t="n">
        <v>2.316739265712508</v>
      </c>
      <c r="R68" s="36" t="n">
        <v>-0.03764557190575069</v>
      </c>
      <c r="S68" s="36" t="n">
        <v>0.1905736942034919</v>
      </c>
      <c r="T68" s="36" t="n">
        <v>0.5889104188403638</v>
      </c>
      <c r="U68" s="31" t="n">
        <v>59800</v>
      </c>
      <c r="V68" s="31" t="n">
        <v>10800</v>
      </c>
      <c r="W68" s="36" t="n">
        <v>-0.1086956521739131</v>
      </c>
      <c r="X68" s="36" t="n">
        <v>3.935185185185185</v>
      </c>
      <c r="Y68" s="31" t="n">
        <v>95312200</v>
      </c>
      <c r="Z68" s="31" t="n">
        <v>5080140260000</v>
      </c>
      <c r="AA68" s="31" t="n">
        <v>93594000500</v>
      </c>
      <c r="AB68" s="31" t="n">
        <v>242117750232.5</v>
      </c>
      <c r="AC68" s="36" t="n">
        <v>0.01842350716907174</v>
      </c>
      <c r="AD68" s="29" t="inlineStr">
        <is>
          <t>yfinance_download</t>
        </is>
      </c>
      <c r="AE68" s="29" t="inlineStr">
        <is>
          <t>042700.KS</t>
        </is>
      </c>
    </row>
    <row r="69" ht="24" customHeight="1">
      <c r="A69" s="24" t="inlineStr">
        <is>
          <t>2023-09-12</t>
        </is>
      </c>
      <c r="B69" s="30" t="n">
        <v>53500</v>
      </c>
      <c r="C69" s="30" t="n">
        <v>54200</v>
      </c>
      <c r="D69" s="30" t="n">
        <v>52400</v>
      </c>
      <c r="E69" s="30" t="n">
        <v>52800</v>
      </c>
      <c r="F69" s="30" t="n">
        <v>51989.08984375</v>
      </c>
      <c r="G69" s="30" t="n">
        <v>1394502</v>
      </c>
      <c r="H69" s="35" t="n">
        <v>-0.009380863039399667</v>
      </c>
      <c r="I69" s="35" t="n">
        <v>-0.117056856187291</v>
      </c>
      <c r="J69" s="30" t="n">
        <v>55745</v>
      </c>
      <c r="K69" s="30" t="n">
        <v>45160</v>
      </c>
      <c r="L69" s="30" t="n">
        <v>33853.66666666666</v>
      </c>
      <c r="M69" s="35" t="n">
        <v>0.8226260712274301</v>
      </c>
      <c r="N69" s="35" t="n">
        <v>0.9774886930462706</v>
      </c>
      <c r="O69" s="35" t="n">
        <v>0.1578947368421053</v>
      </c>
      <c r="P69" s="35" t="n">
        <v>0.8020477815699658</v>
      </c>
      <c r="Q69" s="35" t="n">
        <v>2.350253807106599</v>
      </c>
      <c r="R69" s="35" t="n">
        <v>-0.05282985021078124</v>
      </c>
      <c r="S69" s="35" t="n">
        <v>0.1691762621789195</v>
      </c>
      <c r="T69" s="35" t="n">
        <v>0.5596538041177224</v>
      </c>
      <c r="U69" s="30" t="n">
        <v>59800</v>
      </c>
      <c r="V69" s="30" t="n">
        <v>10800</v>
      </c>
      <c r="W69" s="35" t="n">
        <v>-0.117056856187291</v>
      </c>
      <c r="X69" s="35" t="n">
        <v>3.888888888888889</v>
      </c>
      <c r="Y69" s="30" t="n">
        <v>95312200</v>
      </c>
      <c r="Z69" s="30" t="n">
        <v>5032484160000</v>
      </c>
      <c r="AA69" s="30" t="n">
        <v>73629705600</v>
      </c>
      <c r="AB69" s="30" t="n">
        <v>242059385712.5</v>
      </c>
      <c r="AC69" s="35" t="n">
        <v>0.01463088670705324</v>
      </c>
      <c r="AD69" s="24" t="inlineStr">
        <is>
          <t>yfinance_download</t>
        </is>
      </c>
      <c r="AE69" s="24" t="inlineStr">
        <is>
          <t>042700.KS</t>
        </is>
      </c>
    </row>
    <row r="70" ht="24" customHeight="1">
      <c r="A70" s="29" t="inlineStr">
        <is>
          <t>2023-09-13</t>
        </is>
      </c>
      <c r="B70" s="31" t="n">
        <v>53500</v>
      </c>
      <c r="C70" s="31" t="n">
        <v>56900</v>
      </c>
      <c r="D70" s="31" t="n">
        <v>52700</v>
      </c>
      <c r="E70" s="31" t="n">
        <v>53100</v>
      </c>
      <c r="F70" s="31" t="n">
        <v>52284.48046875</v>
      </c>
      <c r="G70" s="31" t="n">
        <v>3302859</v>
      </c>
      <c r="H70" s="36" t="n">
        <v>0.005681818181818121</v>
      </c>
      <c r="I70" s="36" t="n">
        <v>-0.1120401337792643</v>
      </c>
      <c r="J70" s="31" t="n">
        <v>55992.5</v>
      </c>
      <c r="K70" s="31" t="n">
        <v>45530</v>
      </c>
      <c r="L70" s="31" t="n">
        <v>34161.41666666666</v>
      </c>
      <c r="M70" s="36" t="n">
        <v>0.803360368713252</v>
      </c>
      <c r="N70" s="36" t="n">
        <v>0.9734259041964602</v>
      </c>
      <c r="O70" s="36" t="n">
        <v>0.1028037383177569</v>
      </c>
      <c r="P70" s="36" t="n">
        <v>0.7184466019417475</v>
      </c>
      <c r="Q70" s="36" t="n">
        <v>2.283858998144713</v>
      </c>
      <c r="R70" s="36" t="n">
        <v>-0.05165870429075325</v>
      </c>
      <c r="S70" s="36" t="n">
        <v>0.1662640017570833</v>
      </c>
      <c r="T70" s="36" t="n">
        <v>0.554385186016388</v>
      </c>
      <c r="U70" s="31" t="n">
        <v>59800</v>
      </c>
      <c r="V70" s="31" t="n">
        <v>10800</v>
      </c>
      <c r="W70" s="36" t="n">
        <v>-0.1120401337792643</v>
      </c>
      <c r="X70" s="36" t="n">
        <v>3.916666666666667</v>
      </c>
      <c r="Y70" s="31" t="n">
        <v>95312200</v>
      </c>
      <c r="Z70" s="31" t="n">
        <v>5061077820000</v>
      </c>
      <c r="AA70" s="31" t="n">
        <v>175381812900</v>
      </c>
      <c r="AB70" s="31" t="n">
        <v>238748647692.5</v>
      </c>
      <c r="AC70" s="36" t="n">
        <v>0.03465305595715974</v>
      </c>
      <c r="AD70" s="29" t="inlineStr">
        <is>
          <t>yfinance_download</t>
        </is>
      </c>
      <c r="AE70" s="29" t="inlineStr">
        <is>
          <t>042700.KS</t>
        </is>
      </c>
    </row>
    <row r="71" ht="24" customHeight="1">
      <c r="A71" s="24" t="inlineStr">
        <is>
          <t>2023-09-14</t>
        </is>
      </c>
      <c r="B71" s="30" t="n">
        <v>54900</v>
      </c>
      <c r="C71" s="30" t="n">
        <v>55500</v>
      </c>
      <c r="D71" s="30" t="n">
        <v>53400</v>
      </c>
      <c r="E71" s="30" t="n">
        <v>53800</v>
      </c>
      <c r="F71" s="30" t="n">
        <v>52973.73046875</v>
      </c>
      <c r="G71" s="30" t="n">
        <v>1806206</v>
      </c>
      <c r="H71" s="35" t="n">
        <v>0.01318267419962327</v>
      </c>
      <c r="I71" s="35" t="n">
        <v>-0.1003344481605352</v>
      </c>
      <c r="J71" s="30" t="n">
        <v>56245</v>
      </c>
      <c r="K71" s="30" t="n">
        <v>45940</v>
      </c>
      <c r="L71" s="30" t="n">
        <v>34473.41666666666</v>
      </c>
      <c r="M71" s="35" t="n">
        <v>0.8034409545122013</v>
      </c>
      <c r="N71" s="35" t="n">
        <v>0.9637248271858497</v>
      </c>
      <c r="O71" s="35" t="n">
        <v>0.1035897435897435</v>
      </c>
      <c r="P71" s="35" t="n">
        <v>0.8424657534246576</v>
      </c>
      <c r="Q71" s="35" t="n">
        <v>2.288508557457213</v>
      </c>
      <c r="R71" s="35" t="n">
        <v>-0.04347053071384122</v>
      </c>
      <c r="S71" s="35" t="n">
        <v>0.1710927296473661</v>
      </c>
      <c r="T71" s="35" t="n">
        <v>0.5606227987265551</v>
      </c>
      <c r="U71" s="30" t="n">
        <v>59800</v>
      </c>
      <c r="V71" s="30" t="n">
        <v>10800</v>
      </c>
      <c r="W71" s="35" t="n">
        <v>-0.1003344481605352</v>
      </c>
      <c r="X71" s="35" t="n">
        <v>3.981481481481482</v>
      </c>
      <c r="Y71" s="30" t="n">
        <v>95312200</v>
      </c>
      <c r="Z71" s="30" t="n">
        <v>5127796360000</v>
      </c>
      <c r="AA71" s="30" t="n">
        <v>97173882800</v>
      </c>
      <c r="AB71" s="30" t="n">
        <v>234646528770</v>
      </c>
      <c r="AC71" s="35" t="n">
        <v>0.01895041768000319</v>
      </c>
      <c r="AD71" s="24" t="inlineStr">
        <is>
          <t>yfinance_download</t>
        </is>
      </c>
      <c r="AE71" s="24" t="inlineStr">
        <is>
          <t>042700.KS</t>
        </is>
      </c>
    </row>
    <row r="72" ht="24" customHeight="1">
      <c r="A72" s="29" t="inlineStr">
        <is>
          <t>2023-09-15</t>
        </is>
      </c>
      <c r="B72" s="31" t="n">
        <v>54500</v>
      </c>
      <c r="C72" s="31" t="n">
        <v>55200</v>
      </c>
      <c r="D72" s="31" t="n">
        <v>53400</v>
      </c>
      <c r="E72" s="31" t="n">
        <v>54100</v>
      </c>
      <c r="F72" s="31" t="n">
        <v>53269.1171875</v>
      </c>
      <c r="G72" s="31" t="n">
        <v>1289914</v>
      </c>
      <c r="H72" s="36" t="n">
        <v>0.005576208178438735</v>
      </c>
      <c r="I72" s="36" t="n">
        <v>-0.09531772575250841</v>
      </c>
      <c r="J72" s="31" t="n">
        <v>56060</v>
      </c>
      <c r="K72" s="31" t="n">
        <v>46357.5</v>
      </c>
      <c r="L72" s="31" t="n">
        <v>34758.08333333334</v>
      </c>
      <c r="M72" s="36" t="n">
        <v>0.4431297012737596</v>
      </c>
      <c r="N72" s="36" t="n">
        <v>0.9631654160024118</v>
      </c>
      <c r="O72" s="36" t="n">
        <v>-0.06401384083044981</v>
      </c>
      <c r="P72" s="36" t="n">
        <v>0.8623063683304648</v>
      </c>
      <c r="Q72" s="36" t="n">
        <v>1.713139418254764</v>
      </c>
      <c r="R72" s="36" t="n">
        <v>-0.03496254013556899</v>
      </c>
      <c r="S72" s="36" t="n">
        <v>0.1670172032572939</v>
      </c>
      <c r="T72" s="36" t="n">
        <v>0.5564724752275849</v>
      </c>
      <c r="U72" s="31" t="n">
        <v>59800</v>
      </c>
      <c r="V72" s="31" t="n">
        <v>10800</v>
      </c>
      <c r="W72" s="36" t="n">
        <v>-0.09531772575250841</v>
      </c>
      <c r="X72" s="36" t="n">
        <v>4.00925925925926</v>
      </c>
      <c r="Y72" s="31" t="n">
        <v>95312200</v>
      </c>
      <c r="Z72" s="31" t="n">
        <v>5156390020000</v>
      </c>
      <c r="AA72" s="31" t="n">
        <v>69784347400</v>
      </c>
      <c r="AB72" s="31" t="n">
        <v>188822609730</v>
      </c>
      <c r="AC72" s="36" t="n">
        <v>0.01353356653188154</v>
      </c>
      <c r="AD72" s="29" t="inlineStr">
        <is>
          <t>yfinance_download</t>
        </is>
      </c>
      <c r="AE72" s="29" t="inlineStr">
        <is>
          <t>042700.KS</t>
        </is>
      </c>
    </row>
    <row r="73" ht="24" customHeight="1">
      <c r="A73" s="24" t="inlineStr">
        <is>
          <t>2023-09-18</t>
        </is>
      </c>
      <c r="B73" s="30" t="n">
        <v>52200</v>
      </c>
      <c r="C73" s="30" t="n">
        <v>52900</v>
      </c>
      <c r="D73" s="30" t="n">
        <v>50200</v>
      </c>
      <c r="E73" s="30" t="n">
        <v>50300</v>
      </c>
      <c r="F73" s="30" t="n">
        <v>49527.48046875</v>
      </c>
      <c r="G73" s="30" t="n">
        <v>1904033</v>
      </c>
      <c r="H73" s="35" t="n">
        <v>-0.07024029574861368</v>
      </c>
      <c r="I73" s="35" t="n">
        <v>-0.1588628762541806</v>
      </c>
      <c r="J73" s="30" t="n">
        <v>55590</v>
      </c>
      <c r="K73" s="30" t="n">
        <v>46690</v>
      </c>
      <c r="L73" s="30" t="n">
        <v>35005.16666666666</v>
      </c>
      <c r="M73" s="35" t="n">
        <v>0.4820887535799811</v>
      </c>
      <c r="N73" s="35" t="n">
        <v>0.9752635423756263</v>
      </c>
      <c r="O73" s="35" t="n">
        <v>-0.1574539363484088</v>
      </c>
      <c r="P73" s="35" t="n">
        <v>0.6573311367380561</v>
      </c>
      <c r="Q73" s="35" t="n">
        <v>1.435835351089588</v>
      </c>
      <c r="R73" s="35" t="n">
        <v>-0.09516100017988849</v>
      </c>
      <c r="S73" s="35" t="n">
        <v>0.07731848361533511</v>
      </c>
      <c r="T73" s="35" t="n">
        <v>0.4369307387957018</v>
      </c>
      <c r="U73" s="30" t="n">
        <v>59800</v>
      </c>
      <c r="V73" s="30" t="n">
        <v>10800</v>
      </c>
      <c r="W73" s="35" t="n">
        <v>-0.1588628762541806</v>
      </c>
      <c r="X73" s="35" t="n">
        <v>3.657407407407407</v>
      </c>
      <c r="Y73" s="30" t="n">
        <v>95312200</v>
      </c>
      <c r="Z73" s="30" t="n">
        <v>4794203660000</v>
      </c>
      <c r="AA73" s="30" t="n">
        <v>95772859900</v>
      </c>
      <c r="AB73" s="30" t="n">
        <v>170822207540</v>
      </c>
      <c r="AC73" s="35" t="n">
        <v>0.01997680254993589</v>
      </c>
      <c r="AD73" s="24" t="inlineStr">
        <is>
          <t>yfinance_download</t>
        </is>
      </c>
      <c r="AE73" s="24" t="inlineStr">
        <is>
          <t>042700.KS</t>
        </is>
      </c>
    </row>
    <row r="74" ht="24" customHeight="1">
      <c r="A74" s="29" t="inlineStr">
        <is>
          <t>2023-09-19</t>
        </is>
      </c>
      <c r="B74" s="31" t="n">
        <v>50800</v>
      </c>
      <c r="C74" s="31" t="n">
        <v>51300</v>
      </c>
      <c r="D74" s="31" t="n">
        <v>49300</v>
      </c>
      <c r="E74" s="31" t="n">
        <v>49550</v>
      </c>
      <c r="F74" s="31" t="n">
        <v>48789</v>
      </c>
      <c r="G74" s="31" t="n">
        <v>1082918</v>
      </c>
      <c r="H74" s="36" t="n">
        <v>-0.01491053677932408</v>
      </c>
      <c r="I74" s="36" t="n">
        <v>-0.1714046822742475</v>
      </c>
      <c r="J74" s="31" t="n">
        <v>55277.5</v>
      </c>
      <c r="K74" s="31" t="n">
        <v>47005</v>
      </c>
      <c r="L74" s="31" t="n">
        <v>35242.25</v>
      </c>
      <c r="M74" s="36" t="n">
        <v>0.4334532479192508</v>
      </c>
      <c r="N74" s="36" t="n">
        <v>0.9766175153937104</v>
      </c>
      <c r="O74" s="36" t="n">
        <v>-0.1120071684587813</v>
      </c>
      <c r="P74" s="36" t="n">
        <v>0.6166394779771616</v>
      </c>
      <c r="Q74" s="36" t="n">
        <v>1.348341232227488</v>
      </c>
      <c r="R74" s="36" t="n">
        <v>-0.1036135859979196</v>
      </c>
      <c r="S74" s="36" t="n">
        <v>0.05414317625784482</v>
      </c>
      <c r="T74" s="36" t="n">
        <v>0.4059828756677</v>
      </c>
      <c r="U74" s="31" t="n">
        <v>59800</v>
      </c>
      <c r="V74" s="31" t="n">
        <v>10800</v>
      </c>
      <c r="W74" s="36" t="n">
        <v>-0.1714046822742475</v>
      </c>
      <c r="X74" s="36" t="n">
        <v>3.587962962962963</v>
      </c>
      <c r="Y74" s="31" t="n">
        <v>95312200</v>
      </c>
      <c r="Z74" s="31" t="n">
        <v>4722719510000</v>
      </c>
      <c r="AA74" s="31" t="n">
        <v>53658586900</v>
      </c>
      <c r="AB74" s="31" t="n">
        <v>153077286985</v>
      </c>
      <c r="AC74" s="36" t="n">
        <v>0.01136179838467688</v>
      </c>
      <c r="AD74" s="29" t="inlineStr">
        <is>
          <t>yfinance_download</t>
        </is>
      </c>
      <c r="AE74" s="29" t="inlineStr">
        <is>
          <t>042700.KS</t>
        </is>
      </c>
    </row>
    <row r="75" ht="24" customHeight="1">
      <c r="A75" s="24" t="inlineStr">
        <is>
          <t>2023-09-20</t>
        </is>
      </c>
      <c r="B75" s="30" t="n">
        <v>49300</v>
      </c>
      <c r="C75" s="30" t="n">
        <v>50300</v>
      </c>
      <c r="D75" s="30" t="n">
        <v>48800</v>
      </c>
      <c r="E75" s="30" t="n">
        <v>49700</v>
      </c>
      <c r="F75" s="30" t="n">
        <v>48936.69921875</v>
      </c>
      <c r="G75" s="30" t="n">
        <v>863206</v>
      </c>
      <c r="H75" s="35" t="n">
        <v>0.003027245206861817</v>
      </c>
      <c r="I75" s="35" t="n">
        <v>-0.1688963210702341</v>
      </c>
      <c r="J75" s="30" t="n">
        <v>54912.5</v>
      </c>
      <c r="K75" s="30" t="n">
        <v>47331.66666666666</v>
      </c>
      <c r="L75" s="30" t="n">
        <v>35481</v>
      </c>
      <c r="M75" s="35" t="n">
        <v>0.4229849736388442</v>
      </c>
      <c r="N75" s="35" t="n">
        <v>0.9750211210403023</v>
      </c>
      <c r="O75" s="35" t="n">
        <v>-0.1280701754385964</v>
      </c>
      <c r="P75" s="35" t="n">
        <v>0.6511627906976745</v>
      </c>
      <c r="Q75" s="35" t="n">
        <v>1.36104513064133</v>
      </c>
      <c r="R75" s="35" t="n">
        <v>-0.09492374231732303</v>
      </c>
      <c r="S75" s="35" t="n">
        <v>0.05003697313285693</v>
      </c>
      <c r="T75" s="35" t="n">
        <v>0.4007496970209408</v>
      </c>
      <c r="U75" s="30" t="n">
        <v>59800</v>
      </c>
      <c r="V75" s="30" t="n">
        <v>10800</v>
      </c>
      <c r="W75" s="35" t="n">
        <v>-0.1688963210702341</v>
      </c>
      <c r="X75" s="35" t="n">
        <v>3.601851851851852</v>
      </c>
      <c r="Y75" s="30" t="n">
        <v>95312200</v>
      </c>
      <c r="Z75" s="30" t="n">
        <v>4737016340000</v>
      </c>
      <c r="AA75" s="30" t="n">
        <v>42901338200</v>
      </c>
      <c r="AB75" s="30" t="n">
        <v>137527011695</v>
      </c>
      <c r="AC75" s="35" t="n">
        <v>0.009056616047053788</v>
      </c>
      <c r="AD75" s="24" t="inlineStr">
        <is>
          <t>yfinance_download</t>
        </is>
      </c>
      <c r="AE75" s="24" t="inlineStr">
        <is>
          <t>042700.KS</t>
        </is>
      </c>
    </row>
    <row r="76" ht="24" customHeight="1">
      <c r="A76" s="29" t="inlineStr">
        <is>
          <t>2023-09-21</t>
        </is>
      </c>
      <c r="B76" s="31" t="n">
        <v>48450</v>
      </c>
      <c r="C76" s="31" t="n">
        <v>49200</v>
      </c>
      <c r="D76" s="31" t="n">
        <v>47950</v>
      </c>
      <c r="E76" s="31" t="n">
        <v>48450</v>
      </c>
      <c r="F76" s="31" t="n">
        <v>47705.890625</v>
      </c>
      <c r="G76" s="31" t="n">
        <v>1062342</v>
      </c>
      <c r="H76" s="36" t="n">
        <v>-0.02515090543259557</v>
      </c>
      <c r="I76" s="36" t="n">
        <v>-0.189799331103679</v>
      </c>
      <c r="J76" s="31" t="n">
        <v>54560</v>
      </c>
      <c r="K76" s="31" t="n">
        <v>47642.5</v>
      </c>
      <c r="L76" s="31" t="n">
        <v>35707.25</v>
      </c>
      <c r="M76" s="36" t="n">
        <v>0.422280311644229</v>
      </c>
      <c r="N76" s="36" t="n">
        <v>0.9768512118371941</v>
      </c>
      <c r="O76" s="36" t="n">
        <v>-0.1270270270270271</v>
      </c>
      <c r="P76" s="36" t="n">
        <v>0.6258389261744965</v>
      </c>
      <c r="Q76" s="36" t="n">
        <v>1.274647887323944</v>
      </c>
      <c r="R76" s="36" t="n">
        <v>-0.1119868035190615</v>
      </c>
      <c r="S76" s="36" t="n">
        <v>0.01694915254237284</v>
      </c>
      <c r="T76" s="36" t="n">
        <v>0.3568673028586631</v>
      </c>
      <c r="U76" s="31" t="n">
        <v>59800</v>
      </c>
      <c r="V76" s="31" t="n">
        <v>10800</v>
      </c>
      <c r="W76" s="36" t="n">
        <v>-0.189799331103679</v>
      </c>
      <c r="X76" s="36" t="n">
        <v>3.486111111111111</v>
      </c>
      <c r="Y76" s="31" t="n">
        <v>95312200</v>
      </c>
      <c r="Z76" s="31" t="n">
        <v>4617876090000</v>
      </c>
      <c r="AA76" s="31" t="n">
        <v>51470469900</v>
      </c>
      <c r="AB76" s="31" t="n">
        <v>123064077590</v>
      </c>
      <c r="AC76" s="36" t="n">
        <v>0.01114591836092337</v>
      </c>
      <c r="AD76" s="29" t="inlineStr">
        <is>
          <t>yfinance_download</t>
        </is>
      </c>
      <c r="AE76" s="29" t="inlineStr">
        <is>
          <t>042700.KS</t>
        </is>
      </c>
    </row>
    <row r="77" ht="24" customHeight="1">
      <c r="A77" s="24" t="inlineStr">
        <is>
          <t>2023-09-22</t>
        </is>
      </c>
      <c r="B77" s="30" t="n">
        <v>47500</v>
      </c>
      <c r="C77" s="30" t="n">
        <v>50600</v>
      </c>
      <c r="D77" s="30" t="n">
        <v>47450</v>
      </c>
      <c r="E77" s="30" t="n">
        <v>49800</v>
      </c>
      <c r="F77" s="30" t="n">
        <v>49035.16015625</v>
      </c>
      <c r="G77" s="30" t="n">
        <v>1607929</v>
      </c>
      <c r="H77" s="35" t="n">
        <v>0.02786377708978338</v>
      </c>
      <c r="I77" s="35" t="n">
        <v>-0.1672240802675585</v>
      </c>
      <c r="J77" s="30" t="n">
        <v>54330</v>
      </c>
      <c r="K77" s="30" t="n">
        <v>47969.16666666666</v>
      </c>
      <c r="L77" s="30" t="n">
        <v>35949.75</v>
      </c>
      <c r="M77" s="35" t="n">
        <v>0.4359255939232393</v>
      </c>
      <c r="N77" s="35" t="n">
        <v>0.9775246292591678</v>
      </c>
      <c r="O77" s="35" t="n">
        <v>-0.0845588235294118</v>
      </c>
      <c r="P77" s="35" t="n">
        <v>0.6490066225165563</v>
      </c>
      <c r="Q77" s="35" t="n">
        <v>1.405797101449275</v>
      </c>
      <c r="R77" s="35" t="n">
        <v>-0.08337934842628381</v>
      </c>
      <c r="S77" s="35" t="n">
        <v>0.03816687802928964</v>
      </c>
      <c r="T77" s="35" t="n">
        <v>0.385266935096906</v>
      </c>
      <c r="U77" s="30" t="n">
        <v>59800</v>
      </c>
      <c r="V77" s="30" t="n">
        <v>10800</v>
      </c>
      <c r="W77" s="35" t="n">
        <v>-0.1672240802675585</v>
      </c>
      <c r="X77" s="35" t="n">
        <v>3.611111111111111</v>
      </c>
      <c r="Y77" s="30" t="n">
        <v>95312200</v>
      </c>
      <c r="Z77" s="30" t="n">
        <v>4746547560000</v>
      </c>
      <c r="AA77" s="30" t="n">
        <v>80074864200</v>
      </c>
      <c r="AB77" s="30" t="n">
        <v>120051140160</v>
      </c>
      <c r="AC77" s="35" t="n">
        <v>0.01687012785351718</v>
      </c>
      <c r="AD77" s="24" t="inlineStr">
        <is>
          <t>yfinance_download</t>
        </is>
      </c>
      <c r="AE77" s="24" t="inlineStr">
        <is>
          <t>042700.KS</t>
        </is>
      </c>
    </row>
    <row r="78" ht="24" customHeight="1">
      <c r="A78" s="29" t="inlineStr">
        <is>
          <t>2023-09-25</t>
        </is>
      </c>
      <c r="B78" s="31" t="n">
        <v>50000</v>
      </c>
      <c r="C78" s="31" t="n">
        <v>50900</v>
      </c>
      <c r="D78" s="31" t="n">
        <v>49150</v>
      </c>
      <c r="E78" s="31" t="n">
        <v>49800</v>
      </c>
      <c r="F78" s="31" t="n">
        <v>49035.16015625</v>
      </c>
      <c r="G78" s="31" t="n">
        <v>734101</v>
      </c>
      <c r="H78" s="36" t="n">
        <v>0</v>
      </c>
      <c r="I78" s="36" t="n">
        <v>-0.1672240802675585</v>
      </c>
      <c r="J78" s="31" t="n">
        <v>54070</v>
      </c>
      <c r="K78" s="31" t="n">
        <v>48296.66666666666</v>
      </c>
      <c r="L78" s="31" t="n">
        <v>36192.25</v>
      </c>
      <c r="M78" s="36" t="n">
        <v>0.4326127788084196</v>
      </c>
      <c r="N78" s="36" t="n">
        <v>0.9774455112055401</v>
      </c>
      <c r="O78" s="36" t="n">
        <v>-0.0945454545454546</v>
      </c>
      <c r="P78" s="36" t="n">
        <v>0.6517412935323383</v>
      </c>
      <c r="Q78" s="36" t="n">
        <v>1.405797101449275</v>
      </c>
      <c r="R78" s="36" t="n">
        <v>-0.07897170334751247</v>
      </c>
      <c r="S78" s="36" t="n">
        <v>0.03112706190903447</v>
      </c>
      <c r="T78" s="36" t="n">
        <v>0.3759851901995592</v>
      </c>
      <c r="U78" s="31" t="n">
        <v>59800</v>
      </c>
      <c r="V78" s="31" t="n">
        <v>10800</v>
      </c>
      <c r="W78" s="36" t="n">
        <v>-0.1672240802675585</v>
      </c>
      <c r="X78" s="36" t="n">
        <v>3.611111111111111</v>
      </c>
      <c r="Y78" s="31" t="n">
        <v>95312200</v>
      </c>
      <c r="Z78" s="31" t="n">
        <v>4746547560000</v>
      </c>
      <c r="AA78" s="31" t="n">
        <v>36558229800</v>
      </c>
      <c r="AB78" s="31" t="n">
        <v>117259959150</v>
      </c>
      <c r="AC78" s="36" t="n">
        <v>0.007702067521261706</v>
      </c>
      <c r="AD78" s="29" t="inlineStr">
        <is>
          <t>yfinance_download</t>
        </is>
      </c>
      <c r="AE78" s="29" t="inlineStr">
        <is>
          <t>042700.KS</t>
        </is>
      </c>
    </row>
    <row r="79" ht="24" customHeight="1">
      <c r="A79" s="24" t="inlineStr">
        <is>
          <t>2023-09-26</t>
        </is>
      </c>
      <c r="B79" s="30" t="n">
        <v>50300</v>
      </c>
      <c r="C79" s="30" t="n">
        <v>51600</v>
      </c>
      <c r="D79" s="30" t="n">
        <v>49700</v>
      </c>
      <c r="E79" s="30" t="n">
        <v>50400</v>
      </c>
      <c r="F79" s="30" t="n">
        <v>49625.9453125</v>
      </c>
      <c r="G79" s="30" t="n">
        <v>1036580</v>
      </c>
      <c r="H79" s="35" t="n">
        <v>0.01204819277108427</v>
      </c>
      <c r="I79" s="35" t="n">
        <v>-0.157190635451505</v>
      </c>
      <c r="J79" s="30" t="n">
        <v>53825</v>
      </c>
      <c r="K79" s="30" t="n">
        <v>48616.66666666666</v>
      </c>
      <c r="L79" s="30" t="n">
        <v>36453.25</v>
      </c>
      <c r="M79" s="35" t="n">
        <v>0.4352693933115973</v>
      </c>
      <c r="N79" s="35" t="n">
        <v>0.9761004505461482</v>
      </c>
      <c r="O79" s="35" t="n">
        <v>-0.08860759493670889</v>
      </c>
      <c r="P79" s="35" t="n">
        <v>0.6153846153846154</v>
      </c>
      <c r="Q79" s="35" t="n">
        <v>1.641509433962264</v>
      </c>
      <c r="R79" s="35" t="n">
        <v>-0.06363214119832794</v>
      </c>
      <c r="S79" s="35" t="n">
        <v>0.03668152211175868</v>
      </c>
      <c r="T79" s="35" t="n">
        <v>0.3825927729351979</v>
      </c>
      <c r="U79" s="30" t="n">
        <v>59800</v>
      </c>
      <c r="V79" s="30" t="n">
        <v>10800</v>
      </c>
      <c r="W79" s="35" t="n">
        <v>-0.157190635451505</v>
      </c>
      <c r="X79" s="35" t="n">
        <v>3.666666666666667</v>
      </c>
      <c r="Y79" s="30" t="n">
        <v>95312200</v>
      </c>
      <c r="Z79" s="30" t="n">
        <v>4803734880000</v>
      </c>
      <c r="AA79" s="30" t="n">
        <v>52243632000</v>
      </c>
      <c r="AB79" s="30" t="n">
        <v>112993542415</v>
      </c>
      <c r="AC79" s="35" t="n">
        <v>0.01087562767410678</v>
      </c>
      <c r="AD79" s="24" t="inlineStr">
        <is>
          <t>yfinance_download</t>
        </is>
      </c>
      <c r="AE79" s="24" t="inlineStr">
        <is>
          <t>042700.KS</t>
        </is>
      </c>
    </row>
    <row r="80" ht="24" customHeight="1">
      <c r="A80" s="29" t="inlineStr">
        <is>
          <t>2023-09-27</t>
        </is>
      </c>
      <c r="B80" s="31" t="n">
        <v>50000</v>
      </c>
      <c r="C80" s="31" t="n">
        <v>52900</v>
      </c>
      <c r="D80" s="31" t="n">
        <v>48600</v>
      </c>
      <c r="E80" s="31" t="n">
        <v>52700</v>
      </c>
      <c r="F80" s="31" t="n">
        <v>51890.62109375</v>
      </c>
      <c r="G80" s="31" t="n">
        <v>1445980</v>
      </c>
      <c r="H80" s="36" t="n">
        <v>0.04563492063492069</v>
      </c>
      <c r="I80" s="36" t="n">
        <v>-0.1187290969899666</v>
      </c>
      <c r="J80" s="31" t="n">
        <v>53605</v>
      </c>
      <c r="K80" s="31" t="n">
        <v>48970</v>
      </c>
      <c r="L80" s="31" t="n">
        <v>36730.08333333334</v>
      </c>
      <c r="M80" s="36" t="n">
        <v>0.4521013592233237</v>
      </c>
      <c r="N80" s="36" t="n">
        <v>0.9788677183802679</v>
      </c>
      <c r="O80" s="36" t="n">
        <v>-0.07705779334500873</v>
      </c>
      <c r="P80" s="36" t="n">
        <v>0.6730158730158731</v>
      </c>
      <c r="Q80" s="36" t="n">
        <v>1.705338809034908</v>
      </c>
      <c r="R80" s="36" t="n">
        <v>-0.01688275347448931</v>
      </c>
      <c r="S80" s="36" t="n">
        <v>0.07616908311210935</v>
      </c>
      <c r="T80" s="36" t="n">
        <v>0.4347911906906463</v>
      </c>
      <c r="U80" s="31" t="n">
        <v>59800</v>
      </c>
      <c r="V80" s="31" t="n">
        <v>10800</v>
      </c>
      <c r="W80" s="36" t="n">
        <v>-0.1187290969899666</v>
      </c>
      <c r="X80" s="36" t="n">
        <v>3.87962962962963</v>
      </c>
      <c r="Y80" s="31" t="n">
        <v>95312200</v>
      </c>
      <c r="Z80" s="31" t="n">
        <v>5022952940000</v>
      </c>
      <c r="AA80" s="31" t="n">
        <v>76203146000</v>
      </c>
      <c r="AB80" s="31" t="n">
        <v>107129078270</v>
      </c>
      <c r="AC80" s="36" t="n">
        <v>0.01517098545621652</v>
      </c>
      <c r="AD80" s="29" t="inlineStr">
        <is>
          <t>yfinance_download</t>
        </is>
      </c>
      <c r="AE80" s="29" t="inlineStr">
        <is>
          <t>042700.KS</t>
        </is>
      </c>
    </row>
    <row r="81" ht="24" customHeight="1">
      <c r="A81" s="24" t="inlineStr">
        <is>
          <t>2023-10-04</t>
        </is>
      </c>
      <c r="B81" s="30" t="n">
        <v>51600</v>
      </c>
      <c r="C81" s="30" t="n">
        <v>55500</v>
      </c>
      <c r="D81" s="30" t="n">
        <v>51500</v>
      </c>
      <c r="E81" s="30" t="n">
        <v>54200</v>
      </c>
      <c r="F81" s="30" t="n">
        <v>53367.58203125</v>
      </c>
      <c r="G81" s="30" t="n">
        <v>2596338</v>
      </c>
      <c r="H81" s="35" t="n">
        <v>0.02846299810246689</v>
      </c>
      <c r="I81" s="35" t="n">
        <v>-0.09364548494983282</v>
      </c>
      <c r="J81" s="30" t="n">
        <v>53325</v>
      </c>
      <c r="K81" s="30" t="n">
        <v>49360.83333333334</v>
      </c>
      <c r="L81" s="30" t="n">
        <v>37018.16666666666</v>
      </c>
      <c r="M81" s="35" t="n">
        <v>0.428307316176586</v>
      </c>
      <c r="N81" s="35" t="n">
        <v>0.9769380498811133</v>
      </c>
      <c r="O81" s="35" t="n">
        <v>-0.09364548494983282</v>
      </c>
      <c r="P81" s="35" t="n">
        <v>0.7626016260162602</v>
      </c>
      <c r="Q81" s="35" t="n">
        <v>1.761079979623026</v>
      </c>
      <c r="R81" s="35" t="n">
        <v>0.0164088138771683</v>
      </c>
      <c r="S81" s="35" t="n">
        <v>0.09803656745395295</v>
      </c>
      <c r="T81" s="35" t="n">
        <v>0.4641459823780216</v>
      </c>
      <c r="U81" s="30" t="n">
        <v>59800</v>
      </c>
      <c r="V81" s="30" t="n">
        <v>10800</v>
      </c>
      <c r="W81" s="35" t="n">
        <v>-0.09364548494983282</v>
      </c>
      <c r="X81" s="35" t="n">
        <v>4.018518518518518</v>
      </c>
      <c r="Y81" s="30" t="n">
        <v>95312200</v>
      </c>
      <c r="Z81" s="30" t="n">
        <v>5165921240000</v>
      </c>
      <c r="AA81" s="30" t="n">
        <v>140721519600</v>
      </c>
      <c r="AB81" s="30" t="n">
        <v>92973568120</v>
      </c>
      <c r="AC81" s="35" t="n">
        <v>0.02724035328111197</v>
      </c>
      <c r="AD81" s="24" t="inlineStr">
        <is>
          <t>yfinance_download</t>
        </is>
      </c>
      <c r="AE81" s="24" t="inlineStr">
        <is>
          <t>042700.KS</t>
        </is>
      </c>
    </row>
    <row r="82" ht="24" customHeight="1">
      <c r="A82" s="29" t="inlineStr">
        <is>
          <t>2023-10-05</t>
        </is>
      </c>
      <c r="B82" s="31" t="n">
        <v>56100</v>
      </c>
      <c r="C82" s="31" t="n">
        <v>56200</v>
      </c>
      <c r="D82" s="31" t="n">
        <v>52100</v>
      </c>
      <c r="E82" s="31" t="n">
        <v>53100</v>
      </c>
      <c r="F82" s="31" t="n">
        <v>52284.48046875</v>
      </c>
      <c r="G82" s="31" t="n">
        <v>1547955</v>
      </c>
      <c r="H82" s="36" t="n">
        <v>-0.02029520295202947</v>
      </c>
      <c r="I82" s="36" t="n">
        <v>-0.1120401337792643</v>
      </c>
      <c r="J82" s="31" t="n">
        <v>53055</v>
      </c>
      <c r="K82" s="31" t="n">
        <v>49758.33333333334</v>
      </c>
      <c r="L82" s="31" t="n">
        <v>37290.25</v>
      </c>
      <c r="M82" s="36" t="n">
        <v>0.4275688899221118</v>
      </c>
      <c r="N82" s="36" t="n">
        <v>0.971193718314895</v>
      </c>
      <c r="O82" s="36" t="n">
        <v>-0.09230769230769231</v>
      </c>
      <c r="P82" s="36" t="n">
        <v>0.8153846153846154</v>
      </c>
      <c r="Q82" s="36" t="n">
        <v>1.596577017114914</v>
      </c>
      <c r="R82" s="36" t="n">
        <v>0.0008481764206955678</v>
      </c>
      <c r="S82" s="36" t="n">
        <v>0.06715792999497561</v>
      </c>
      <c r="T82" s="36" t="n">
        <v>0.4239647092738719</v>
      </c>
      <c r="U82" s="31" t="n">
        <v>59800</v>
      </c>
      <c r="V82" s="31" t="n">
        <v>10800</v>
      </c>
      <c r="W82" s="36" t="n">
        <v>-0.1120401337792643</v>
      </c>
      <c r="X82" s="36" t="n">
        <v>3.916666666666667</v>
      </c>
      <c r="Y82" s="31" t="n">
        <v>95312200</v>
      </c>
      <c r="Z82" s="31" t="n">
        <v>5061077820000</v>
      </c>
      <c r="AA82" s="31" t="n">
        <v>82196410500</v>
      </c>
      <c r="AB82" s="31" t="n">
        <v>87124035670</v>
      </c>
      <c r="AC82" s="36" t="n">
        <v>0.01624089046313064</v>
      </c>
      <c r="AD82" s="29" t="inlineStr">
        <is>
          <t>yfinance_download</t>
        </is>
      </c>
      <c r="AE82" s="29" t="inlineStr">
        <is>
          <t>042700.KS</t>
        </is>
      </c>
    </row>
    <row r="83" ht="24" customHeight="1">
      <c r="A83" s="24" t="inlineStr">
        <is>
          <t>2023-10-06</t>
        </is>
      </c>
      <c r="B83" s="30" t="n">
        <v>53600</v>
      </c>
      <c r="C83" s="30" t="n">
        <v>54400</v>
      </c>
      <c r="D83" s="30" t="n">
        <v>53000</v>
      </c>
      <c r="E83" s="30" t="n">
        <v>53100</v>
      </c>
      <c r="F83" s="30" t="n">
        <v>52284.48046875</v>
      </c>
      <c r="G83" s="30" t="n">
        <v>904497</v>
      </c>
      <c r="H83" s="35" t="n">
        <v>0</v>
      </c>
      <c r="I83" s="35" t="n">
        <v>-0.1120401337792643</v>
      </c>
      <c r="J83" s="30" t="n">
        <v>52800</v>
      </c>
      <c r="K83" s="30" t="n">
        <v>50154.16666666666</v>
      </c>
      <c r="L83" s="30" t="n">
        <v>37566.16666666666</v>
      </c>
      <c r="M83" s="35" t="n">
        <v>0.4278532738517429</v>
      </c>
      <c r="N83" s="35" t="n">
        <v>0.9713433268659781</v>
      </c>
      <c r="O83" s="35" t="n">
        <v>-0.08762886597938147</v>
      </c>
      <c r="P83" s="35" t="n">
        <v>0.809199318568995</v>
      </c>
      <c r="Q83" s="35" t="n">
        <v>1.656328164082041</v>
      </c>
      <c r="R83" s="35" t="n">
        <v>0.005681818181818121</v>
      </c>
      <c r="S83" s="35" t="n">
        <v>0.05873556534020108</v>
      </c>
      <c r="T83" s="35" t="n">
        <v>0.4135059472841254</v>
      </c>
      <c r="U83" s="30" t="n">
        <v>59800</v>
      </c>
      <c r="V83" s="30" t="n">
        <v>10800</v>
      </c>
      <c r="W83" s="35" t="n">
        <v>-0.1120401337792643</v>
      </c>
      <c r="X83" s="35" t="n">
        <v>3.916666666666667</v>
      </c>
      <c r="Y83" s="30" t="n">
        <v>95312200</v>
      </c>
      <c r="Z83" s="30" t="n">
        <v>5061077820000</v>
      </c>
      <c r="AA83" s="30" t="n">
        <v>48028790700</v>
      </c>
      <c r="AB83" s="30" t="n">
        <v>83922392425</v>
      </c>
      <c r="AC83" s="35" t="n">
        <v>0.009489834459806824</v>
      </c>
      <c r="AD83" s="24" t="inlineStr">
        <is>
          <t>yfinance_download</t>
        </is>
      </c>
      <c r="AE83" s="24" t="inlineStr">
        <is>
          <t>042700.KS</t>
        </is>
      </c>
    </row>
    <row r="84" ht="24" customHeight="1">
      <c r="A84" s="29" t="inlineStr">
        <is>
          <t>2023-10-10</t>
        </is>
      </c>
      <c r="B84" s="31" t="n">
        <v>53700</v>
      </c>
      <c r="C84" s="31" t="n">
        <v>54400</v>
      </c>
      <c r="D84" s="31" t="n">
        <v>49750</v>
      </c>
      <c r="E84" s="31" t="n">
        <v>49750</v>
      </c>
      <c r="F84" s="31" t="n">
        <v>48985.9296875</v>
      </c>
      <c r="G84" s="31" t="n">
        <v>1647348</v>
      </c>
      <c r="H84" s="36" t="n">
        <v>-0.06308851224105461</v>
      </c>
      <c r="I84" s="36" t="n">
        <v>-0.1680602006688964</v>
      </c>
      <c r="J84" s="31" t="n">
        <v>52347.5</v>
      </c>
      <c r="K84" s="31" t="n">
        <v>50501.66666666666</v>
      </c>
      <c r="L84" s="31" t="n">
        <v>37803.66666666666</v>
      </c>
      <c r="M84" s="36" t="n">
        <v>0.4718487956231726</v>
      </c>
      <c r="N84" s="36" t="n">
        <v>0.9818792096821047</v>
      </c>
      <c r="O84" s="36" t="n">
        <v>-0.1539115646258503</v>
      </c>
      <c r="P84" s="36" t="n">
        <v>0.7214532871972319</v>
      </c>
      <c r="Q84" s="36" t="n">
        <v>1.341176470588235</v>
      </c>
      <c r="R84" s="36" t="n">
        <v>-0.04962032570800901</v>
      </c>
      <c r="S84" s="36" t="n">
        <v>-0.01488399722781419</v>
      </c>
      <c r="T84" s="36" t="n">
        <v>0.3160099108552081</v>
      </c>
      <c r="U84" s="31" t="n">
        <v>59800</v>
      </c>
      <c r="V84" s="31" t="n">
        <v>10800</v>
      </c>
      <c r="W84" s="36" t="n">
        <v>-0.1680602006688964</v>
      </c>
      <c r="X84" s="36" t="n">
        <v>3.606481481481482</v>
      </c>
      <c r="Y84" s="31" t="n">
        <v>95312200</v>
      </c>
      <c r="Z84" s="31" t="n">
        <v>4741781950000</v>
      </c>
      <c r="AA84" s="31" t="n">
        <v>81955563000</v>
      </c>
      <c r="AB84" s="31" t="n">
        <v>81862028935</v>
      </c>
      <c r="AC84" s="36" t="n">
        <v>0.01728370554871255</v>
      </c>
      <c r="AD84" s="29" t="inlineStr">
        <is>
          <t>yfinance_download</t>
        </is>
      </c>
      <c r="AE84" s="29" t="inlineStr">
        <is>
          <t>042700.KS</t>
        </is>
      </c>
    </row>
    <row r="85" ht="24" customHeight="1">
      <c r="A85" s="24" t="inlineStr">
        <is>
          <t>2023-10-11</t>
        </is>
      </c>
      <c r="B85" s="30" t="n">
        <v>51200</v>
      </c>
      <c r="C85" s="30" t="n">
        <v>53200</v>
      </c>
      <c r="D85" s="30" t="n">
        <v>51200</v>
      </c>
      <c r="E85" s="30" t="n">
        <v>51500</v>
      </c>
      <c r="F85" s="30" t="n">
        <v>50709.05078125</v>
      </c>
      <c r="G85" s="30" t="n">
        <v>1464875</v>
      </c>
      <c r="H85" s="35" t="n">
        <v>0.03517587939698497</v>
      </c>
      <c r="I85" s="35" t="n">
        <v>-0.1387959866220736</v>
      </c>
      <c r="J85" s="30" t="n">
        <v>52047.5</v>
      </c>
      <c r="K85" s="30" t="n">
        <v>50851.66666666666</v>
      </c>
      <c r="L85" s="30" t="n">
        <v>38063.25</v>
      </c>
      <c r="M85" s="35" t="n">
        <v>0.4923297982055355</v>
      </c>
      <c r="N85" s="35" t="n">
        <v>0.9788359227835769</v>
      </c>
      <c r="O85" s="35" t="n">
        <v>-0.1043478260869565</v>
      </c>
      <c r="P85" s="35" t="n">
        <v>0.6885245901639345</v>
      </c>
      <c r="Q85" s="35" t="n">
        <v>1.530712530712531</v>
      </c>
      <c r="R85" s="35" t="n">
        <v>-0.01051923723521786</v>
      </c>
      <c r="S85" s="35" t="n">
        <v>0.01274950018026288</v>
      </c>
      <c r="T85" s="35" t="n">
        <v>0.3530111065135006</v>
      </c>
      <c r="U85" s="30" t="n">
        <v>59800</v>
      </c>
      <c r="V85" s="30" t="n">
        <v>11250</v>
      </c>
      <c r="W85" s="35" t="n">
        <v>-0.1387959866220736</v>
      </c>
      <c r="X85" s="35" t="n">
        <v>3.577777777777778</v>
      </c>
      <c r="Y85" s="30" t="n">
        <v>95312200</v>
      </c>
      <c r="Z85" s="30" t="n">
        <v>4908578300000</v>
      </c>
      <c r="AA85" s="30" t="n">
        <v>75441062500</v>
      </c>
      <c r="AB85" s="30" t="n">
        <v>81751009310</v>
      </c>
      <c r="AC85" s="35" t="n">
        <v>0.01536922870314608</v>
      </c>
      <c r="AD85" s="24" t="inlineStr">
        <is>
          <t>yfinance_download</t>
        </is>
      </c>
      <c r="AE85" s="24" t="inlineStr">
        <is>
          <t>042700.KS</t>
        </is>
      </c>
    </row>
    <row r="86" ht="24" customHeight="1">
      <c r="A86" s="29" t="inlineStr">
        <is>
          <t>2023-10-12</t>
        </is>
      </c>
      <c r="B86" s="31" t="n">
        <v>52900</v>
      </c>
      <c r="C86" s="31" t="n">
        <v>55800</v>
      </c>
      <c r="D86" s="31" t="n">
        <v>52300</v>
      </c>
      <c r="E86" s="31" t="n">
        <v>55700</v>
      </c>
      <c r="F86" s="31" t="n">
        <v>54844.55078125</v>
      </c>
      <c r="G86" s="31" t="n">
        <v>2638760</v>
      </c>
      <c r="H86" s="36" t="n">
        <v>0.08155339805825235</v>
      </c>
      <c r="I86" s="36" t="n">
        <v>-0.06856187290969895</v>
      </c>
      <c r="J86" s="31" t="n">
        <v>51967.5</v>
      </c>
      <c r="K86" s="31" t="n">
        <v>51251.66666666666</v>
      </c>
      <c r="L86" s="31" t="n">
        <v>38358.25</v>
      </c>
      <c r="M86" s="36" t="n">
        <v>0.580509442431851</v>
      </c>
      <c r="N86" s="36" t="n">
        <v>0.987928599689384</v>
      </c>
      <c r="O86" s="36" t="n">
        <v>-0.02792321116928442</v>
      </c>
      <c r="P86" s="36" t="n">
        <v>0.7570977917981072</v>
      </c>
      <c r="Q86" s="36" t="n">
        <v>1.74384236453202</v>
      </c>
      <c r="R86" s="36" t="n">
        <v>0.07182373598883918</v>
      </c>
      <c r="S86" s="36" t="n">
        <v>0.08679392540080011</v>
      </c>
      <c r="T86" s="36" t="n">
        <v>0.4520996135120867</v>
      </c>
      <c r="U86" s="31" t="n">
        <v>59800</v>
      </c>
      <c r="V86" s="31" t="n">
        <v>11250</v>
      </c>
      <c r="W86" s="36" t="n">
        <v>-0.06856187290969895</v>
      </c>
      <c r="X86" s="36" t="n">
        <v>3.951111111111111</v>
      </c>
      <c r="Y86" s="31" t="n">
        <v>95312200</v>
      </c>
      <c r="Z86" s="31" t="n">
        <v>5308889540000</v>
      </c>
      <c r="AA86" s="31" t="n">
        <v>146978932000</v>
      </c>
      <c r="AB86" s="31" t="n">
        <v>85783449100</v>
      </c>
      <c r="AC86" s="36" t="n">
        <v>0.02768543796072276</v>
      </c>
      <c r="AD86" s="29" t="inlineStr">
        <is>
          <t>yfinance_download</t>
        </is>
      </c>
      <c r="AE86" s="29" t="inlineStr">
        <is>
          <t>042700.KS</t>
        </is>
      </c>
    </row>
    <row r="87" ht="24" customHeight="1">
      <c r="A87" s="24" t="inlineStr">
        <is>
          <t>2023-10-13</t>
        </is>
      </c>
      <c r="B87" s="30" t="n">
        <v>55200</v>
      </c>
      <c r="C87" s="30" t="n">
        <v>59400</v>
      </c>
      <c r="D87" s="30" t="n">
        <v>54700</v>
      </c>
      <c r="E87" s="30" t="n">
        <v>57300</v>
      </c>
      <c r="F87" s="30" t="n">
        <v>56419.97265625</v>
      </c>
      <c r="G87" s="30" t="n">
        <v>3977838</v>
      </c>
      <c r="H87" s="35" t="n">
        <v>0.02872531418312385</v>
      </c>
      <c r="I87" s="35" t="n">
        <v>-0.0418060200668896</v>
      </c>
      <c r="J87" s="30" t="n">
        <v>52122.5</v>
      </c>
      <c r="K87" s="30" t="n">
        <v>51520</v>
      </c>
      <c r="L87" s="30" t="n">
        <v>38670.08333333334</v>
      </c>
      <c r="M87" s="35" t="n">
        <v>0.5534214063602058</v>
      </c>
      <c r="N87" s="35" t="n">
        <v>0.7852599854868382</v>
      </c>
      <c r="O87" s="35" t="n">
        <v>0.05719557195571956</v>
      </c>
      <c r="P87" s="35" t="n">
        <v>0.3907766990291262</v>
      </c>
      <c r="Q87" s="35" t="n">
        <v>1.882293762575453</v>
      </c>
      <c r="R87" s="35" t="n">
        <v>0.09933330135737917</v>
      </c>
      <c r="S87" s="35" t="n">
        <v>0.1121894409937889</v>
      </c>
      <c r="T87" s="35" t="n">
        <v>0.4817656198482461</v>
      </c>
      <c r="U87" s="30" t="n">
        <v>59800</v>
      </c>
      <c r="V87" s="30" t="n">
        <v>11250</v>
      </c>
      <c r="W87" s="35" t="n">
        <v>-0.0418060200668896</v>
      </c>
      <c r="X87" s="35" t="n">
        <v>4.093333333333334</v>
      </c>
      <c r="Y87" s="30" t="n">
        <v>95312200</v>
      </c>
      <c r="Z87" s="30" t="n">
        <v>5461389060000</v>
      </c>
      <c r="AA87" s="30" t="n">
        <v>227930117400</v>
      </c>
      <c r="AB87" s="30" t="n">
        <v>90084963590</v>
      </c>
      <c r="AC87" s="35" t="n">
        <v>0.04173482513256435</v>
      </c>
      <c r="AD87" s="24" t="inlineStr">
        <is>
          <t>yfinance_download</t>
        </is>
      </c>
      <c r="AE87" s="24" t="inlineStr">
        <is>
          <t>042700.KS</t>
        </is>
      </c>
    </row>
    <row r="88" ht="24" customHeight="1">
      <c r="A88" s="29" t="inlineStr">
        <is>
          <t>2023-10-16</t>
        </is>
      </c>
      <c r="B88" s="31" t="n">
        <v>56400</v>
      </c>
      <c r="C88" s="31" t="n">
        <v>58400</v>
      </c>
      <c r="D88" s="31" t="n">
        <v>55800</v>
      </c>
      <c r="E88" s="31" t="n">
        <v>58400</v>
      </c>
      <c r="F88" s="31" t="n">
        <v>57503.078125</v>
      </c>
      <c r="G88" s="31" t="n">
        <v>2137969</v>
      </c>
      <c r="H88" s="36" t="n">
        <v>0.01919720767888311</v>
      </c>
      <c r="I88" s="36" t="n">
        <v>-0.02341137123745818</v>
      </c>
      <c r="J88" s="31" t="n">
        <v>52377.5</v>
      </c>
      <c r="K88" s="31" t="n">
        <v>51713.33333333334</v>
      </c>
      <c r="L88" s="31" t="n">
        <v>38989.25</v>
      </c>
      <c r="M88" s="36" t="n">
        <v>0.5508739830389837</v>
      </c>
      <c r="N88" s="36" t="n">
        <v>0.7382381686113154</v>
      </c>
      <c r="O88" s="36" t="n">
        <v>0.09568480300187621</v>
      </c>
      <c r="P88" s="36" t="n">
        <v>0.2478632478632479</v>
      </c>
      <c r="Q88" s="36" t="n">
        <v>1.90547263681592</v>
      </c>
      <c r="R88" s="36" t="n">
        <v>0.1149825783972125</v>
      </c>
      <c r="S88" s="36" t="n">
        <v>0.1293025654247775</v>
      </c>
      <c r="T88" s="36" t="n">
        <v>0.4978487660060145</v>
      </c>
      <c r="U88" s="31" t="n">
        <v>59800</v>
      </c>
      <c r="V88" s="31" t="n">
        <v>11250</v>
      </c>
      <c r="W88" s="36" t="n">
        <v>-0.02341137123745818</v>
      </c>
      <c r="X88" s="36" t="n">
        <v>4.191111111111111</v>
      </c>
      <c r="Y88" s="31" t="n">
        <v>95312200</v>
      </c>
      <c r="Z88" s="31" t="n">
        <v>5566232480000</v>
      </c>
      <c r="AA88" s="31" t="n">
        <v>124857389600</v>
      </c>
      <c r="AB88" s="31" t="n">
        <v>91648133045</v>
      </c>
      <c r="AC88" s="36" t="n">
        <v>0.0224312207671211</v>
      </c>
      <c r="AD88" s="29" t="inlineStr">
        <is>
          <t>yfinance_download</t>
        </is>
      </c>
      <c r="AE88" s="29" t="inlineStr">
        <is>
          <t>042700.KS</t>
        </is>
      </c>
    </row>
    <row r="89" ht="24" customHeight="1">
      <c r="A89" s="24" t="inlineStr">
        <is>
          <t>2023-10-17</t>
        </is>
      </c>
      <c r="B89" s="30" t="n">
        <v>58900</v>
      </c>
      <c r="C89" s="30" t="n">
        <v>59600</v>
      </c>
      <c r="D89" s="30" t="n">
        <v>56600</v>
      </c>
      <c r="E89" s="30" t="n">
        <v>58900</v>
      </c>
      <c r="F89" s="30" t="n">
        <v>57995.40234375</v>
      </c>
      <c r="G89" s="30" t="n">
        <v>2232466</v>
      </c>
      <c r="H89" s="35" t="n">
        <v>0.008561643835616417</v>
      </c>
      <c r="I89" s="35" t="n">
        <v>-0.01505016722408026</v>
      </c>
      <c r="J89" s="30" t="n">
        <v>52682.5</v>
      </c>
      <c r="K89" s="30" t="n">
        <v>51870</v>
      </c>
      <c r="L89" s="30" t="n">
        <v>39313.41666666666</v>
      </c>
      <c r="M89" s="35" t="n">
        <v>0.5482709705910856</v>
      </c>
      <c r="N89" s="35" t="n">
        <v>0.7300073242123716</v>
      </c>
      <c r="O89" s="35" t="n">
        <v>0.115530303030303</v>
      </c>
      <c r="P89" s="35" t="n">
        <v>0.1898989898989898</v>
      </c>
      <c r="Q89" s="35" t="n">
        <v>1.945</v>
      </c>
      <c r="R89" s="35" t="n">
        <v>0.1180183172780336</v>
      </c>
      <c r="S89" s="35" t="n">
        <v>0.1355311355311355</v>
      </c>
      <c r="T89" s="35" t="n">
        <v>0.498216257808509</v>
      </c>
      <c r="U89" s="30" t="n">
        <v>59800</v>
      </c>
      <c r="V89" s="30" t="n">
        <v>11250</v>
      </c>
      <c r="W89" s="35" t="n">
        <v>-0.01505016722408026</v>
      </c>
      <c r="X89" s="35" t="n">
        <v>4.235555555555556</v>
      </c>
      <c r="Y89" s="30" t="n">
        <v>95312200</v>
      </c>
      <c r="Z89" s="30" t="n">
        <v>5613888580000</v>
      </c>
      <c r="AA89" s="30" t="n">
        <v>131492247400</v>
      </c>
      <c r="AB89" s="30" t="n">
        <v>94541260135</v>
      </c>
      <c r="AC89" s="35" t="n">
        <v>0.02342266782216757</v>
      </c>
      <c r="AD89" s="24" t="inlineStr">
        <is>
          <t>yfinance_download</t>
        </is>
      </c>
      <c r="AE89" s="24" t="inlineStr">
        <is>
          <t>042700.KS</t>
        </is>
      </c>
    </row>
    <row r="90" ht="24" customHeight="1">
      <c r="A90" s="29" t="inlineStr">
        <is>
          <t>2023-10-18</t>
        </is>
      </c>
      <c r="B90" s="31" t="n">
        <v>57100</v>
      </c>
      <c r="C90" s="31" t="n">
        <v>59000</v>
      </c>
      <c r="D90" s="31" t="n">
        <v>56700</v>
      </c>
      <c r="E90" s="31" t="n">
        <v>58500</v>
      </c>
      <c r="F90" s="31" t="n">
        <v>57601.54296875</v>
      </c>
      <c r="G90" s="31" t="n">
        <v>1385962</v>
      </c>
      <c r="H90" s="36" t="n">
        <v>-0.006791171477079749</v>
      </c>
      <c r="I90" s="36" t="n">
        <v>-0.02173913043478259</v>
      </c>
      <c r="J90" s="31" t="n">
        <v>52952.5</v>
      </c>
      <c r="K90" s="31" t="n">
        <v>52019.16666666666</v>
      </c>
      <c r="L90" s="31" t="n">
        <v>39631.33333333334</v>
      </c>
      <c r="M90" s="36" t="n">
        <v>0.5501665402621999</v>
      </c>
      <c r="N90" s="36" t="n">
        <v>0.7303152863593216</v>
      </c>
      <c r="O90" s="36" t="n">
        <v>0.1016949152542372</v>
      </c>
      <c r="P90" s="36" t="n">
        <v>0.1806256306760847</v>
      </c>
      <c r="Q90" s="36" t="n">
        <v>1.874692874692875</v>
      </c>
      <c r="R90" s="36" t="n">
        <v>0.1047637033190123</v>
      </c>
      <c r="S90" s="36" t="n">
        <v>0.1245854893228457</v>
      </c>
      <c r="T90" s="36" t="n">
        <v>0.4761047655895165</v>
      </c>
      <c r="U90" s="31" t="n">
        <v>59800</v>
      </c>
      <c r="V90" s="31" t="n">
        <v>11250</v>
      </c>
      <c r="W90" s="36" t="n">
        <v>-0.02173913043478259</v>
      </c>
      <c r="X90" s="36" t="n">
        <v>4.2</v>
      </c>
      <c r="Y90" s="31" t="n">
        <v>95312200</v>
      </c>
      <c r="Z90" s="31" t="n">
        <v>5575763700000</v>
      </c>
      <c r="AA90" s="31" t="n">
        <v>81078777000</v>
      </c>
      <c r="AB90" s="31" t="n">
        <v>89826108340</v>
      </c>
      <c r="AC90" s="36" t="n">
        <v>0.01454128642503268</v>
      </c>
      <c r="AD90" s="29" t="inlineStr">
        <is>
          <t>yfinance_download</t>
        </is>
      </c>
      <c r="AE90" s="29" t="inlineStr">
        <is>
          <t>042700.KS</t>
        </is>
      </c>
    </row>
    <row r="91" ht="24" customHeight="1">
      <c r="A91" s="24" t="inlineStr">
        <is>
          <t>2023-10-19</t>
        </is>
      </c>
      <c r="B91" s="30" t="n">
        <v>57300</v>
      </c>
      <c r="C91" s="30" t="n">
        <v>61700</v>
      </c>
      <c r="D91" s="30" t="n">
        <v>57200</v>
      </c>
      <c r="E91" s="30" t="n">
        <v>58700</v>
      </c>
      <c r="F91" s="30" t="n">
        <v>57798.47265625</v>
      </c>
      <c r="G91" s="30" t="n">
        <v>3210534</v>
      </c>
      <c r="H91" s="35" t="n">
        <v>0.003418803418803407</v>
      </c>
      <c r="I91" s="35" t="n">
        <v>-0.01839464882943143</v>
      </c>
      <c r="J91" s="30" t="n">
        <v>53197.5</v>
      </c>
      <c r="K91" s="30" t="n">
        <v>52272.5</v>
      </c>
      <c r="L91" s="30" t="n">
        <v>39944.25</v>
      </c>
      <c r="M91" s="35" t="n">
        <v>0.5494320807128168</v>
      </c>
      <c r="N91" s="35" t="n">
        <v>0.6815765445058422</v>
      </c>
      <c r="O91" s="35" t="n">
        <v>0.09107806691449816</v>
      </c>
      <c r="P91" s="35" t="n">
        <v>0.3494252873563219</v>
      </c>
      <c r="Q91" s="35" t="n">
        <v>1.775413711583924</v>
      </c>
      <c r="R91" s="35" t="n">
        <v>0.1034353118097655</v>
      </c>
      <c r="S91" s="35" t="n">
        <v>0.1229614041800182</v>
      </c>
      <c r="T91" s="35" t="n">
        <v>0.4695481827797492</v>
      </c>
      <c r="U91" s="30" t="n">
        <v>59800</v>
      </c>
      <c r="V91" s="30" t="n">
        <v>11250</v>
      </c>
      <c r="W91" s="35" t="n">
        <v>-0.01839464882943143</v>
      </c>
      <c r="X91" s="35" t="n">
        <v>4.217777777777778</v>
      </c>
      <c r="Y91" s="30" t="n">
        <v>95312200</v>
      </c>
      <c r="Z91" s="30" t="n">
        <v>5594826140000</v>
      </c>
      <c r="AA91" s="30" t="n">
        <v>188458345800</v>
      </c>
      <c r="AB91" s="30" t="n">
        <v>94390331490</v>
      </c>
      <c r="AC91" s="35" t="n">
        <v>0.03368439717056158</v>
      </c>
      <c r="AD91" s="24" t="inlineStr">
        <is>
          <t>yfinance_download</t>
        </is>
      </c>
      <c r="AE91" s="24" t="inlineStr">
        <is>
          <t>042700.KS</t>
        </is>
      </c>
    </row>
    <row r="92" ht="24" customHeight="1">
      <c r="A92" s="29" t="inlineStr">
        <is>
          <t>2023-10-20</t>
        </is>
      </c>
      <c r="B92" s="31" t="n">
        <v>58400</v>
      </c>
      <c r="C92" s="31" t="n">
        <v>59900</v>
      </c>
      <c r="D92" s="31" t="n">
        <v>56500</v>
      </c>
      <c r="E92" s="31" t="n">
        <v>58500</v>
      </c>
      <c r="F92" s="31" t="n">
        <v>57601.54296875</v>
      </c>
      <c r="G92" s="31" t="n">
        <v>2110682</v>
      </c>
      <c r="H92" s="36" t="n">
        <v>-0.003407155025553665</v>
      </c>
      <c r="I92" s="36" t="n">
        <v>-0.02173913043478259</v>
      </c>
      <c r="J92" s="31" t="n">
        <v>53417.5</v>
      </c>
      <c r="K92" s="31" t="n">
        <v>52481.66666666666</v>
      </c>
      <c r="L92" s="31" t="n">
        <v>40251.75</v>
      </c>
      <c r="M92" s="36" t="n">
        <v>0.550218562233302</v>
      </c>
      <c r="N92" s="36" t="n">
        <v>0.6736438005733817</v>
      </c>
      <c r="O92" s="36" t="n">
        <v>0.0813308687615526</v>
      </c>
      <c r="P92" s="36" t="n">
        <v>0.2731229597388465</v>
      </c>
      <c r="Q92" s="36" t="n">
        <v>1.708333333333333</v>
      </c>
      <c r="R92" s="36" t="n">
        <v>0.09514672158000659</v>
      </c>
      <c r="S92" s="36" t="n">
        <v>0.1146749658610944</v>
      </c>
      <c r="T92" s="36" t="n">
        <v>0.4533529598092008</v>
      </c>
      <c r="U92" s="31" t="n">
        <v>59800</v>
      </c>
      <c r="V92" s="31" t="n">
        <v>11250</v>
      </c>
      <c r="W92" s="36" t="n">
        <v>-0.02173913043478259</v>
      </c>
      <c r="X92" s="36" t="n">
        <v>4.2</v>
      </c>
      <c r="Y92" s="31" t="n">
        <v>95312200</v>
      </c>
      <c r="Z92" s="31" t="n">
        <v>5575763700000</v>
      </c>
      <c r="AA92" s="31" t="n">
        <v>123474897000</v>
      </c>
      <c r="AB92" s="31" t="n">
        <v>97074858970</v>
      </c>
      <c r="AC92" s="36" t="n">
        <v>0.0221449300299437</v>
      </c>
      <c r="AD92" s="29" t="inlineStr">
        <is>
          <t>yfinance_download</t>
        </is>
      </c>
      <c r="AE92" s="29" t="inlineStr">
        <is>
          <t>042700.KS</t>
        </is>
      </c>
    </row>
    <row r="93" ht="24" customHeight="1">
      <c r="A93" s="24" t="inlineStr">
        <is>
          <t>2023-10-23</t>
        </is>
      </c>
      <c r="B93" s="30" t="n">
        <v>58400</v>
      </c>
      <c r="C93" s="30" t="n">
        <v>59000</v>
      </c>
      <c r="D93" s="30" t="n">
        <v>55200</v>
      </c>
      <c r="E93" s="30" t="n">
        <v>55400</v>
      </c>
      <c r="F93" s="30" t="n">
        <v>54549.15625</v>
      </c>
      <c r="G93" s="30" t="n">
        <v>1503157</v>
      </c>
      <c r="H93" s="35" t="n">
        <v>-0.05299145299145303</v>
      </c>
      <c r="I93" s="35" t="n">
        <v>-0.0735785953177257</v>
      </c>
      <c r="J93" s="30" t="n">
        <v>53672.5</v>
      </c>
      <c r="K93" s="30" t="n">
        <v>52655</v>
      </c>
      <c r="L93" s="30" t="n">
        <v>40544.25</v>
      </c>
      <c r="M93" s="35" t="n">
        <v>0.5218207202359133</v>
      </c>
      <c r="N93" s="35" t="n">
        <v>0.6820847481115293</v>
      </c>
      <c r="O93" s="35" t="n">
        <v>0.1013916500994037</v>
      </c>
      <c r="P93" s="35" t="n">
        <v>0.231111111111111</v>
      </c>
      <c r="Q93" s="35" t="n">
        <v>1.729064039408867</v>
      </c>
      <c r="R93" s="35" t="n">
        <v>0.03218594252177565</v>
      </c>
      <c r="S93" s="35" t="n">
        <v>0.05213180134840001</v>
      </c>
      <c r="T93" s="35" t="n">
        <v>0.3664083069732453</v>
      </c>
      <c r="U93" s="30" t="n">
        <v>59800</v>
      </c>
      <c r="V93" s="30" t="n">
        <v>11250</v>
      </c>
      <c r="W93" s="35" t="n">
        <v>-0.0735785953177257</v>
      </c>
      <c r="X93" s="35" t="n">
        <v>3.924444444444444</v>
      </c>
      <c r="Y93" s="30" t="n">
        <v>95312200</v>
      </c>
      <c r="Z93" s="30" t="n">
        <v>5280295880000</v>
      </c>
      <c r="AA93" s="30" t="n">
        <v>83274897800</v>
      </c>
      <c r="AB93" s="30" t="n">
        <v>96449960865</v>
      </c>
      <c r="AC93" s="35" t="n">
        <v>0.01577087718046588</v>
      </c>
      <c r="AD93" s="24" t="inlineStr">
        <is>
          <t>yfinance_download</t>
        </is>
      </c>
      <c r="AE93" s="24" t="inlineStr">
        <is>
          <t>042700.KS</t>
        </is>
      </c>
    </row>
    <row r="94" ht="24" customHeight="1">
      <c r="A94" s="29" t="inlineStr">
        <is>
          <t>2023-10-24</t>
        </is>
      </c>
      <c r="B94" s="31" t="n">
        <v>56200</v>
      </c>
      <c r="C94" s="31" t="n">
        <v>58800</v>
      </c>
      <c r="D94" s="31" t="n">
        <v>55800</v>
      </c>
      <c r="E94" s="31" t="n">
        <v>58600</v>
      </c>
      <c r="F94" s="31" t="n">
        <v>57700.01171875</v>
      </c>
      <c r="G94" s="31" t="n">
        <v>1398469</v>
      </c>
      <c r="H94" s="36" t="n">
        <v>0.05776173285198549</v>
      </c>
      <c r="I94" s="36" t="n">
        <v>-0.02006688963210701</v>
      </c>
      <c r="J94" s="31" t="n">
        <v>54125</v>
      </c>
      <c r="K94" s="31" t="n">
        <v>52845</v>
      </c>
      <c r="L94" s="31" t="n">
        <v>40862.16666666666</v>
      </c>
      <c r="M94" s="36" t="n">
        <v>0.5475222455105476</v>
      </c>
      <c r="N94" s="36" t="n">
        <v>0.6847963447697762</v>
      </c>
      <c r="O94" s="36" t="n">
        <v>0.182643794147326</v>
      </c>
      <c r="P94" s="36" t="n">
        <v>0.2415254237288136</v>
      </c>
      <c r="Q94" s="36" t="n">
        <v>1.865525672371638</v>
      </c>
      <c r="R94" s="36" t="n">
        <v>0.0826789838337183</v>
      </c>
      <c r="S94" s="36" t="n">
        <v>0.1089033967262749</v>
      </c>
      <c r="T94" s="36" t="n">
        <v>0.4340893980984857</v>
      </c>
      <c r="U94" s="31" t="n">
        <v>59800</v>
      </c>
      <c r="V94" s="31" t="n">
        <v>11250</v>
      </c>
      <c r="W94" s="36" t="n">
        <v>-0.02006688963210701</v>
      </c>
      <c r="X94" s="36" t="n">
        <v>4.208888888888889</v>
      </c>
      <c r="Y94" s="31" t="n">
        <v>95312200</v>
      </c>
      <c r="Z94" s="31" t="n">
        <v>5585294920000</v>
      </c>
      <c r="AA94" s="31" t="n">
        <v>81950283400</v>
      </c>
      <c r="AB94" s="31" t="n">
        <v>97864545690</v>
      </c>
      <c r="AC94" s="36" t="n">
        <v>0.01467250782166396</v>
      </c>
      <c r="AD94" s="29" t="inlineStr">
        <is>
          <t>yfinance_download</t>
        </is>
      </c>
      <c r="AE94" s="29" t="inlineStr">
        <is>
          <t>042700.KS</t>
        </is>
      </c>
    </row>
    <row r="95" ht="24" customHeight="1">
      <c r="A95" s="24" t="inlineStr">
        <is>
          <t>2023-10-25</t>
        </is>
      </c>
      <c r="B95" s="30" t="n">
        <v>59000</v>
      </c>
      <c r="C95" s="30" t="n">
        <v>61700</v>
      </c>
      <c r="D95" s="30" t="n">
        <v>58800</v>
      </c>
      <c r="E95" s="30" t="n">
        <v>59500</v>
      </c>
      <c r="F95" s="30" t="n">
        <v>58586.1875</v>
      </c>
      <c r="G95" s="30" t="n">
        <v>2266337</v>
      </c>
      <c r="H95" s="35" t="n">
        <v>0.01535836177474392</v>
      </c>
      <c r="I95" s="35" t="n">
        <v>-0.005016722408026753</v>
      </c>
      <c r="J95" s="30" t="n">
        <v>54615</v>
      </c>
      <c r="K95" s="30" t="n">
        <v>53065</v>
      </c>
      <c r="L95" s="30" t="n">
        <v>41178.41666666666</v>
      </c>
      <c r="M95" s="35" t="n">
        <v>0.5474921318554691</v>
      </c>
      <c r="N95" s="35" t="n">
        <v>0.683369058311295</v>
      </c>
      <c r="O95" s="35" t="n">
        <v>0.1971830985915493</v>
      </c>
      <c r="P95" s="35" t="n">
        <v>0.2850971922246219</v>
      </c>
      <c r="Q95" s="35" t="n">
        <v>1.761020881670534</v>
      </c>
      <c r="R95" s="35" t="n">
        <v>0.08944429186121039</v>
      </c>
      <c r="S95" s="35" t="n">
        <v>0.1212663714312636</v>
      </c>
      <c r="T95" s="35" t="n">
        <v>0.4449317097751453</v>
      </c>
      <c r="U95" s="30" t="n">
        <v>59800</v>
      </c>
      <c r="V95" s="30" t="n">
        <v>11250</v>
      </c>
      <c r="W95" s="35" t="n">
        <v>-0.005016722408026753</v>
      </c>
      <c r="X95" s="35" t="n">
        <v>4.288888888888889</v>
      </c>
      <c r="Y95" s="30" t="n">
        <v>95312200</v>
      </c>
      <c r="Z95" s="30" t="n">
        <v>5671075900000</v>
      </c>
      <c r="AA95" s="30" t="n">
        <v>134847051500</v>
      </c>
      <c r="AB95" s="30" t="n">
        <v>102461831355</v>
      </c>
      <c r="AC95" s="35" t="n">
        <v>0.02377803680955848</v>
      </c>
      <c r="AD95" s="24" t="inlineStr">
        <is>
          <t>yfinance_download</t>
        </is>
      </c>
      <c r="AE95" s="24" t="inlineStr">
        <is>
          <t>042700.KS</t>
        </is>
      </c>
    </row>
    <row r="96" ht="24" customHeight="1">
      <c r="A96" s="29" t="inlineStr">
        <is>
          <t>2023-10-26</t>
        </is>
      </c>
      <c r="B96" s="31" t="n">
        <v>56000</v>
      </c>
      <c r="C96" s="31" t="n">
        <v>59400</v>
      </c>
      <c r="D96" s="31" t="n">
        <v>55800</v>
      </c>
      <c r="E96" s="31" t="n">
        <v>58100</v>
      </c>
      <c r="F96" s="31" t="n">
        <v>57207.6875</v>
      </c>
      <c r="G96" s="31" t="n">
        <v>1530847</v>
      </c>
      <c r="H96" s="36" t="n">
        <v>-0.02352941176470591</v>
      </c>
      <c r="I96" s="36" t="n">
        <v>-0.02842809364548493</v>
      </c>
      <c r="J96" s="31" t="n">
        <v>55097.5</v>
      </c>
      <c r="K96" s="31" t="n">
        <v>53303.33333333334</v>
      </c>
      <c r="L96" s="31" t="n">
        <v>41483.41666666666</v>
      </c>
      <c r="M96" s="36" t="n">
        <v>0.5461556250674997</v>
      </c>
      <c r="N96" s="36" t="n">
        <v>0.6749214529369545</v>
      </c>
      <c r="O96" s="36" t="n">
        <v>0.1991744066047472</v>
      </c>
      <c r="P96" s="36" t="n">
        <v>0.3264840182648401</v>
      </c>
      <c r="Q96" s="36" t="n">
        <v>1.702325581395349</v>
      </c>
      <c r="R96" s="36" t="n">
        <v>0.0544943055492535</v>
      </c>
      <c r="S96" s="36" t="n">
        <v>0.08998811831655296</v>
      </c>
      <c r="T96" s="36" t="n">
        <v>0.4005596613907969</v>
      </c>
      <c r="U96" s="31" t="n">
        <v>59800</v>
      </c>
      <c r="V96" s="31" t="n">
        <v>11250</v>
      </c>
      <c r="W96" s="36" t="n">
        <v>-0.02842809364548493</v>
      </c>
      <c r="X96" s="36" t="n">
        <v>4.164444444444444</v>
      </c>
      <c r="Y96" s="31" t="n">
        <v>95312200</v>
      </c>
      <c r="Z96" s="31" t="n">
        <v>5537638820000</v>
      </c>
      <c r="AA96" s="31" t="n">
        <v>88942210700</v>
      </c>
      <c r="AB96" s="31" t="n">
        <v>104335418395</v>
      </c>
      <c r="AC96" s="36" t="n">
        <v>0.01606139612767306</v>
      </c>
      <c r="AD96" s="29" t="inlineStr">
        <is>
          <t>yfinance_download</t>
        </is>
      </c>
      <c r="AE96" s="29" t="inlineStr">
        <is>
          <t>042700.KS</t>
        </is>
      </c>
    </row>
    <row r="97" ht="24" customHeight="1">
      <c r="A97" s="24" t="inlineStr">
        <is>
          <t>2023-10-27</t>
        </is>
      </c>
      <c r="B97" s="30" t="n">
        <v>59000</v>
      </c>
      <c r="C97" s="30" t="n">
        <v>59200</v>
      </c>
      <c r="D97" s="30" t="n">
        <v>56400</v>
      </c>
      <c r="E97" s="30" t="n">
        <v>57200</v>
      </c>
      <c r="F97" s="30" t="n">
        <v>56321.5078125</v>
      </c>
      <c r="G97" s="30" t="n">
        <v>1078348</v>
      </c>
      <c r="H97" s="35" t="n">
        <v>-0.01549053356282271</v>
      </c>
      <c r="I97" s="35" t="n">
        <v>-0.04347826086956519</v>
      </c>
      <c r="J97" s="30" t="n">
        <v>55467.5</v>
      </c>
      <c r="K97" s="30" t="n">
        <v>53491.66666666666</v>
      </c>
      <c r="L97" s="30" t="n">
        <v>41788.83333333334</v>
      </c>
      <c r="M97" s="35" t="n">
        <v>0.5486897111544125</v>
      </c>
      <c r="N97" s="35" t="n">
        <v>0.670419936183571</v>
      </c>
      <c r="O97" s="35" t="n">
        <v>0.1485943775100402</v>
      </c>
      <c r="P97" s="35" t="n">
        <v>0.2461873638344227</v>
      </c>
      <c r="Q97" s="35" t="n">
        <v>1.78345498783455</v>
      </c>
      <c r="R97" s="35" t="n">
        <v>0.03123450669310857</v>
      </c>
      <c r="S97" s="35" t="n">
        <v>0.06932544009970409</v>
      </c>
      <c r="T97" s="35" t="n">
        <v>0.3687867173447452</v>
      </c>
      <c r="U97" s="30" t="n">
        <v>59800</v>
      </c>
      <c r="V97" s="30" t="n">
        <v>11250</v>
      </c>
      <c r="W97" s="35" t="n">
        <v>-0.04347826086956519</v>
      </c>
      <c r="X97" s="35" t="n">
        <v>4.084444444444444</v>
      </c>
      <c r="Y97" s="30" t="n">
        <v>95312200</v>
      </c>
      <c r="Z97" s="30" t="n">
        <v>5451857840000</v>
      </c>
      <c r="AA97" s="30" t="n">
        <v>61681505600</v>
      </c>
      <c r="AB97" s="30" t="n">
        <v>103415750465</v>
      </c>
      <c r="AC97" s="35" t="n">
        <v>0.01131385069277595</v>
      </c>
      <c r="AD97" s="24" t="inlineStr">
        <is>
          <t>yfinance_download</t>
        </is>
      </c>
      <c r="AE97" s="24" t="inlineStr">
        <is>
          <t>042700.KS</t>
        </is>
      </c>
    </row>
    <row r="98" ht="24" customHeight="1">
      <c r="A98" s="29" t="inlineStr">
        <is>
          <t>2023-10-30</t>
        </is>
      </c>
      <c r="B98" s="31" t="n">
        <v>56500</v>
      </c>
      <c r="C98" s="31" t="n">
        <v>57600</v>
      </c>
      <c r="D98" s="31" t="n">
        <v>56100</v>
      </c>
      <c r="E98" s="31" t="n">
        <v>57000</v>
      </c>
      <c r="F98" s="31" t="n">
        <v>56124.578125</v>
      </c>
      <c r="G98" s="31" t="n">
        <v>663365</v>
      </c>
      <c r="H98" s="36" t="n">
        <v>-0.003496503496503545</v>
      </c>
      <c r="I98" s="36" t="n">
        <v>-0.04682274247491636</v>
      </c>
      <c r="J98" s="31" t="n">
        <v>55827.5</v>
      </c>
      <c r="K98" s="31" t="n">
        <v>53655.83333333334</v>
      </c>
      <c r="L98" s="31" t="n">
        <v>42085.91666666666</v>
      </c>
      <c r="M98" s="36" t="n">
        <v>0.5494647172885512</v>
      </c>
      <c r="N98" s="36" t="n">
        <v>0.6689300943252259</v>
      </c>
      <c r="O98" s="36" t="n">
        <v>0.1445783132530121</v>
      </c>
      <c r="P98" s="36" t="n">
        <v>0.2089077412513256</v>
      </c>
      <c r="Q98" s="36" t="n">
        <v>1.669789227166276</v>
      </c>
      <c r="R98" s="36" t="n">
        <v>0.02100219425910166</v>
      </c>
      <c r="S98" s="36" t="n">
        <v>0.06232624598133163</v>
      </c>
      <c r="T98" s="36" t="n">
        <v>0.3543723058584523</v>
      </c>
      <c r="U98" s="31" t="n">
        <v>59800</v>
      </c>
      <c r="V98" s="31" t="n">
        <v>11300</v>
      </c>
      <c r="W98" s="36" t="n">
        <v>-0.04682274247491636</v>
      </c>
      <c r="X98" s="36" t="n">
        <v>4.04424778761062</v>
      </c>
      <c r="Y98" s="31" t="n">
        <v>95312200</v>
      </c>
      <c r="Z98" s="31" t="n">
        <v>5432795400000</v>
      </c>
      <c r="AA98" s="31" t="n">
        <v>37811805000</v>
      </c>
      <c r="AB98" s="31" t="n">
        <v>103478429225</v>
      </c>
      <c r="AC98" s="36" t="n">
        <v>0.006959916988591177</v>
      </c>
      <c r="AD98" s="29" t="inlineStr">
        <is>
          <t>yfinance_download</t>
        </is>
      </c>
      <c r="AE98" s="29" t="inlineStr">
        <is>
          <t>042700.KS</t>
        </is>
      </c>
    </row>
    <row r="99" ht="24" customHeight="1">
      <c r="A99" s="24" t="inlineStr">
        <is>
          <t>2023-10-31</t>
        </is>
      </c>
      <c r="B99" s="30" t="n">
        <v>57400</v>
      </c>
      <c r="C99" s="30" t="n">
        <v>58100</v>
      </c>
      <c r="D99" s="30" t="n">
        <v>51600</v>
      </c>
      <c r="E99" s="30" t="n">
        <v>52500</v>
      </c>
      <c r="F99" s="30" t="n">
        <v>51693.6953125</v>
      </c>
      <c r="G99" s="30" t="n">
        <v>2167824</v>
      </c>
      <c r="H99" s="35" t="n">
        <v>-0.07894736842105265</v>
      </c>
      <c r="I99" s="35" t="n">
        <v>-0.1220735785953178</v>
      </c>
      <c r="J99" s="30" t="n">
        <v>55932.5</v>
      </c>
      <c r="K99" s="30" t="n">
        <v>53722.5</v>
      </c>
      <c r="L99" s="30" t="n">
        <v>42330.08333333334</v>
      </c>
      <c r="M99" s="35" t="n">
        <v>0.6283935043435127</v>
      </c>
      <c r="N99" s="35" t="n">
        <v>0.6880762232293041</v>
      </c>
      <c r="O99" s="35" t="n">
        <v>0.04166666666666674</v>
      </c>
      <c r="P99" s="35" t="n">
        <v>0.08247422680412364</v>
      </c>
      <c r="Q99" s="35" t="n">
        <v>1.262931034482758</v>
      </c>
      <c r="R99" s="35" t="n">
        <v>-0.06136861395431992</v>
      </c>
      <c r="S99" s="35" t="n">
        <v>-0.02275582856345104</v>
      </c>
      <c r="T99" s="35" t="n">
        <v>0.2402526965652874</v>
      </c>
      <c r="U99" s="30" t="n">
        <v>59800</v>
      </c>
      <c r="V99" s="30" t="n">
        <v>11300</v>
      </c>
      <c r="W99" s="35" t="n">
        <v>-0.1220735785953178</v>
      </c>
      <c r="X99" s="35" t="n">
        <v>3.646017699115045</v>
      </c>
      <c r="Y99" s="30" t="n">
        <v>95312200</v>
      </c>
      <c r="Z99" s="30" t="n">
        <v>5003890500000</v>
      </c>
      <c r="AA99" s="30" t="n">
        <v>113810760000</v>
      </c>
      <c r="AB99" s="30" t="n">
        <v>106556785625</v>
      </c>
      <c r="AC99" s="35" t="n">
        <v>0.02274445453992249</v>
      </c>
      <c r="AD99" s="24" t="inlineStr">
        <is>
          <t>yfinance_download</t>
        </is>
      </c>
      <c r="AE99" s="24" t="inlineStr">
        <is>
          <t>042700.KS</t>
        </is>
      </c>
    </row>
    <row r="100" ht="24" customHeight="1">
      <c r="A100" s="29" t="inlineStr">
        <is>
          <t>2023-11-01</t>
        </is>
      </c>
      <c r="B100" s="31" t="n">
        <v>53000</v>
      </c>
      <c r="C100" s="31" t="n">
        <v>54500</v>
      </c>
      <c r="D100" s="31" t="n">
        <v>51600</v>
      </c>
      <c r="E100" s="31" t="n">
        <v>52700</v>
      </c>
      <c r="F100" s="31" t="n">
        <v>51890.62109375</v>
      </c>
      <c r="G100" s="31" t="n">
        <v>1001234</v>
      </c>
      <c r="H100" s="36" t="n">
        <v>0.003809523809523707</v>
      </c>
      <c r="I100" s="36" t="n">
        <v>-0.1187290969899666</v>
      </c>
      <c r="J100" s="31" t="n">
        <v>55932.5</v>
      </c>
      <c r="K100" s="31" t="n">
        <v>53710.83333333334</v>
      </c>
      <c r="L100" s="31" t="n">
        <v>42588.41666666666</v>
      </c>
      <c r="M100" s="36" t="n">
        <v>0.607771163148623</v>
      </c>
      <c r="N100" s="36" t="n">
        <v>0.6565689628034183</v>
      </c>
      <c r="O100" s="36" t="n">
        <v>0</v>
      </c>
      <c r="P100" s="36" t="n">
        <v>-0.01310861423220977</v>
      </c>
      <c r="Q100" s="36" t="n">
        <v>1.428571428571428</v>
      </c>
      <c r="R100" s="36" t="n">
        <v>-0.05779287534081257</v>
      </c>
      <c r="S100" s="36" t="n">
        <v>-0.01881991528710847</v>
      </c>
      <c r="T100" s="36" t="n">
        <v>0.2374256693427987</v>
      </c>
      <c r="U100" s="31" t="n">
        <v>59800</v>
      </c>
      <c r="V100" s="31" t="n">
        <v>11300</v>
      </c>
      <c r="W100" s="36" t="n">
        <v>-0.1187290969899666</v>
      </c>
      <c r="X100" s="36" t="n">
        <v>3.663716814159292</v>
      </c>
      <c r="Y100" s="31" t="n">
        <v>95312200</v>
      </c>
      <c r="Z100" s="31" t="n">
        <v>5022952940000</v>
      </c>
      <c r="AA100" s="31" t="n">
        <v>52765031800</v>
      </c>
      <c r="AB100" s="31" t="n">
        <v>105384879915</v>
      </c>
      <c r="AC100" s="36" t="n">
        <v>0.01050478322817016</v>
      </c>
      <c r="AD100" s="29" t="inlineStr">
        <is>
          <t>yfinance_download</t>
        </is>
      </c>
      <c r="AE100" s="29" t="inlineStr">
        <is>
          <t>042700.KS</t>
        </is>
      </c>
    </row>
    <row r="101" ht="24" customHeight="1">
      <c r="A101" s="24" t="inlineStr">
        <is>
          <t>2023-11-02</t>
        </is>
      </c>
      <c r="B101" s="30" t="n">
        <v>55300</v>
      </c>
      <c r="C101" s="30" t="n">
        <v>57700</v>
      </c>
      <c r="D101" s="30" t="n">
        <v>54300</v>
      </c>
      <c r="E101" s="30" t="n">
        <v>57400</v>
      </c>
      <c r="F101" s="30" t="n">
        <v>56518.44140625</v>
      </c>
      <c r="G101" s="30" t="n">
        <v>1580494</v>
      </c>
      <c r="H101" s="35" t="n">
        <v>0.08918406072106255</v>
      </c>
      <c r="I101" s="35" t="n">
        <v>-0.04013377926421402</v>
      </c>
      <c r="J101" s="30" t="n">
        <v>56092.5</v>
      </c>
      <c r="K101" s="30" t="n">
        <v>53846.66666666666</v>
      </c>
      <c r="L101" s="30" t="n">
        <v>42887.58333333334</v>
      </c>
      <c r="M101" s="35" t="n">
        <v>0.6786469015910767</v>
      </c>
      <c r="N101" s="35" t="n">
        <v>0.6606237409066464</v>
      </c>
      <c r="O101" s="35" t="n">
        <v>0.05904059040590415</v>
      </c>
      <c r="P101" s="35" t="n">
        <v>0.1654822335025381</v>
      </c>
      <c r="Q101" s="35" t="n">
        <v>1.669767441860465</v>
      </c>
      <c r="R101" s="35" t="n">
        <v>0.02330971163702822</v>
      </c>
      <c r="S101" s="35" t="n">
        <v>0.06598984771573613</v>
      </c>
      <c r="T101" s="35" t="n">
        <v>0.3383827098363745</v>
      </c>
      <c r="U101" s="30" t="n">
        <v>59800</v>
      </c>
      <c r="V101" s="30" t="n">
        <v>11300</v>
      </c>
      <c r="W101" s="35" t="n">
        <v>-0.04013377926421402</v>
      </c>
      <c r="X101" s="35" t="n">
        <v>4.079646017699115</v>
      </c>
      <c r="Y101" s="30" t="n">
        <v>95312200</v>
      </c>
      <c r="Z101" s="30" t="n">
        <v>5470920280000</v>
      </c>
      <c r="AA101" s="30" t="n">
        <v>90720355600</v>
      </c>
      <c r="AB101" s="30" t="n">
        <v>102884821715</v>
      </c>
      <c r="AC101" s="35" t="n">
        <v>0.01658228432456705</v>
      </c>
      <c r="AD101" s="24" t="inlineStr">
        <is>
          <t>yfinance_download</t>
        </is>
      </c>
      <c r="AE101" s="24" t="inlineStr">
        <is>
          <t>042700.KS</t>
        </is>
      </c>
    </row>
    <row r="102" ht="24" customHeight="1">
      <c r="A102" s="29" t="inlineStr">
        <is>
          <t>2023-11-03</t>
        </is>
      </c>
      <c r="B102" s="31" t="n">
        <v>58300</v>
      </c>
      <c r="C102" s="31" t="n">
        <v>58600</v>
      </c>
      <c r="D102" s="31" t="n">
        <v>56000</v>
      </c>
      <c r="E102" s="31" t="n">
        <v>56500</v>
      </c>
      <c r="F102" s="31" t="n">
        <v>55632.2578125</v>
      </c>
      <c r="G102" s="31" t="n">
        <v>1083856</v>
      </c>
      <c r="H102" s="36" t="n">
        <v>-0.01567944250871078</v>
      </c>
      <c r="I102" s="36" t="n">
        <v>-0.05518394648829428</v>
      </c>
      <c r="J102" s="31" t="n">
        <v>56262.5</v>
      </c>
      <c r="K102" s="31" t="n">
        <v>53966.66666666666</v>
      </c>
      <c r="L102" s="31" t="n">
        <v>43179.66666666666</v>
      </c>
      <c r="M102" s="36" t="n">
        <v>0.6766740526311714</v>
      </c>
      <c r="N102" s="36" t="n">
        <v>0.6617638755904555</v>
      </c>
      <c r="O102" s="36" t="n">
        <v>0.064030131826742</v>
      </c>
      <c r="P102" s="36" t="n">
        <v>0.1460446247464504</v>
      </c>
      <c r="Q102" s="36" t="n">
        <v>1.634032634032634</v>
      </c>
      <c r="R102" s="36" t="n">
        <v>0.004221284159075855</v>
      </c>
      <c r="S102" s="36" t="n">
        <v>0.04694255713403339</v>
      </c>
      <c r="T102" s="36" t="n">
        <v>0.3084862473849574</v>
      </c>
      <c r="U102" s="31" t="n">
        <v>59800</v>
      </c>
      <c r="V102" s="31" t="n">
        <v>11300</v>
      </c>
      <c r="W102" s="36" t="n">
        <v>-0.05518394648829428</v>
      </c>
      <c r="X102" s="36" t="n">
        <v>4</v>
      </c>
      <c r="Y102" s="31" t="n">
        <v>95312200</v>
      </c>
      <c r="Z102" s="31" t="n">
        <v>5385139300000</v>
      </c>
      <c r="AA102" s="31" t="n">
        <v>61237864000</v>
      </c>
      <c r="AB102" s="31" t="n">
        <v>101836894390</v>
      </c>
      <c r="AC102" s="36" t="n">
        <v>0.01137163972712832</v>
      </c>
      <c r="AD102" s="29" t="inlineStr">
        <is>
          <t>yfinance_download</t>
        </is>
      </c>
      <c r="AE102" s="29" t="inlineStr">
        <is>
          <t>042700.KS</t>
        </is>
      </c>
    </row>
    <row r="103" ht="24" customHeight="1">
      <c r="A103" s="24" t="inlineStr">
        <is>
          <t>2023-11-06</t>
        </is>
      </c>
      <c r="B103" s="30" t="n">
        <v>57700</v>
      </c>
      <c r="C103" s="30" t="n">
        <v>58700</v>
      </c>
      <c r="D103" s="30" t="n">
        <v>55800</v>
      </c>
      <c r="E103" s="30" t="n">
        <v>58500</v>
      </c>
      <c r="F103" s="30" t="n">
        <v>57601.54296875</v>
      </c>
      <c r="G103" s="30" t="n">
        <v>1676140</v>
      </c>
      <c r="H103" s="35" t="n">
        <v>0.03539823008849563</v>
      </c>
      <c r="I103" s="35" t="n">
        <v>-0.02173913043478259</v>
      </c>
      <c r="J103" s="30" t="n">
        <v>56532.5</v>
      </c>
      <c r="K103" s="30" t="n">
        <v>54159.16666666666</v>
      </c>
      <c r="L103" s="30" t="n">
        <v>43492.16666666666</v>
      </c>
      <c r="M103" s="35" t="n">
        <v>0.6855303000104719</v>
      </c>
      <c r="N103" s="35" t="n">
        <v>0.6564198716663698</v>
      </c>
      <c r="O103" s="35" t="n">
        <v>0.1016949152542372</v>
      </c>
      <c r="P103" s="35" t="n">
        <v>0.2460063897763578</v>
      </c>
      <c r="Q103" s="35" t="n">
        <v>1.785714285714286</v>
      </c>
      <c r="R103" s="35" t="n">
        <v>0.03480298943085836</v>
      </c>
      <c r="S103" s="35" t="n">
        <v>0.08014955916973121</v>
      </c>
      <c r="T103" s="35" t="n">
        <v>0.3450698018417111</v>
      </c>
      <c r="U103" s="30" t="n">
        <v>59800</v>
      </c>
      <c r="V103" s="30" t="n">
        <v>11300</v>
      </c>
      <c r="W103" s="35" t="n">
        <v>-0.02173913043478259</v>
      </c>
      <c r="X103" s="35" t="n">
        <v>4.176991150442478</v>
      </c>
      <c r="Y103" s="30" t="n">
        <v>95312200</v>
      </c>
      <c r="Z103" s="30" t="n">
        <v>5575763700000</v>
      </c>
      <c r="AA103" s="30" t="n">
        <v>98054190000</v>
      </c>
      <c r="AB103" s="30" t="n">
        <v>104338164355</v>
      </c>
      <c r="AC103" s="35" t="n">
        <v>0.01758578649952472</v>
      </c>
      <c r="AD103" s="24" t="inlineStr">
        <is>
          <t>yfinance_download</t>
        </is>
      </c>
      <c r="AE103" s="24" t="inlineStr">
        <is>
          <t>042700.KS</t>
        </is>
      </c>
    </row>
    <row r="104" ht="24" customHeight="1">
      <c r="A104" s="29" t="inlineStr">
        <is>
          <t>2023-11-07</t>
        </is>
      </c>
      <c r="B104" s="31" t="n">
        <v>58100</v>
      </c>
      <c r="C104" s="31" t="n">
        <v>66500</v>
      </c>
      <c r="D104" s="31" t="n">
        <v>57700</v>
      </c>
      <c r="E104" s="31" t="n">
        <v>62600</v>
      </c>
      <c r="F104" s="31" t="n">
        <v>61638.578125</v>
      </c>
      <c r="G104" s="31" t="n">
        <v>6462160</v>
      </c>
      <c r="H104" s="36" t="n">
        <v>0.07008547008547006</v>
      </c>
      <c r="I104" s="36" t="n">
        <v>0</v>
      </c>
      <c r="J104" s="31" t="n">
        <v>57175</v>
      </c>
      <c r="K104" s="31" t="n">
        <v>54415.83333333334</v>
      </c>
      <c r="L104" s="31" t="n">
        <v>43843.41666666666</v>
      </c>
      <c r="M104" s="36" t="n">
        <v>0.6710333232434782</v>
      </c>
      <c r="N104" s="36" t="n">
        <v>0.6700493058955879</v>
      </c>
      <c r="O104" s="36" t="n">
        <v>0.2582914572864321</v>
      </c>
      <c r="P104" s="36" t="n">
        <v>0.326271186440678</v>
      </c>
      <c r="Q104" s="36" t="n">
        <v>2.061124694376528</v>
      </c>
      <c r="R104" s="36" t="n">
        <v>0.09488412767818111</v>
      </c>
      <c r="S104" s="36" t="n">
        <v>0.150400465550774</v>
      </c>
      <c r="T104" s="36" t="n">
        <v>0.4278084319006465</v>
      </c>
      <c r="U104" s="31" t="n">
        <v>62600</v>
      </c>
      <c r="V104" s="31" t="n">
        <v>11300</v>
      </c>
      <c r="W104" s="36" t="n">
        <v>0</v>
      </c>
      <c r="X104" s="36" t="n">
        <v>4.539823008849558</v>
      </c>
      <c r="Y104" s="31" t="n">
        <v>95312200</v>
      </c>
      <c r="Z104" s="31" t="n">
        <v>5966543720000</v>
      </c>
      <c r="AA104" s="31" t="n">
        <v>404531216000</v>
      </c>
      <c r="AB104" s="31" t="n">
        <v>120466947005</v>
      </c>
      <c r="AC104" s="36" t="n">
        <v>0.06779992487845207</v>
      </c>
      <c r="AD104" s="29" t="inlineStr">
        <is>
          <t>yfinance_download</t>
        </is>
      </c>
      <c r="AE104" s="29" t="inlineStr">
        <is>
          <t>042700.KS</t>
        </is>
      </c>
    </row>
    <row r="105" ht="24" customHeight="1">
      <c r="A105" s="24" t="inlineStr">
        <is>
          <t>2023-11-08</t>
        </is>
      </c>
      <c r="B105" s="30" t="n">
        <v>63100</v>
      </c>
      <c r="C105" s="30" t="n">
        <v>64500</v>
      </c>
      <c r="D105" s="30" t="n">
        <v>59600</v>
      </c>
      <c r="E105" s="30" t="n">
        <v>60800</v>
      </c>
      <c r="F105" s="30" t="n">
        <v>59866.21875</v>
      </c>
      <c r="G105" s="30" t="n">
        <v>2610160</v>
      </c>
      <c r="H105" s="35" t="n">
        <v>-0.02875399361022368</v>
      </c>
      <c r="I105" s="35" t="n">
        <v>-0.02875399361022368</v>
      </c>
      <c r="J105" s="30" t="n">
        <v>57640</v>
      </c>
      <c r="K105" s="30" t="n">
        <v>54634.16666666666</v>
      </c>
      <c r="L105" s="30" t="n">
        <v>44180.5</v>
      </c>
      <c r="M105" s="35" t="n">
        <v>0.6805509757648879</v>
      </c>
      <c r="N105" s="35" t="n">
        <v>0.6736306887775336</v>
      </c>
      <c r="O105" s="35" t="n">
        <v>0.1805825242718446</v>
      </c>
      <c r="P105" s="35" t="n">
        <v>0.2746331236897275</v>
      </c>
      <c r="Q105" s="35" t="n">
        <v>1.987714987714988</v>
      </c>
      <c r="R105" s="35" t="n">
        <v>0.05482303955586398</v>
      </c>
      <c r="S105" s="35" t="n">
        <v>0.1128567288479432</v>
      </c>
      <c r="T105" s="35" t="n">
        <v>0.376172745894682</v>
      </c>
      <c r="U105" s="30" t="n">
        <v>62600</v>
      </c>
      <c r="V105" s="30" t="n">
        <v>11300</v>
      </c>
      <c r="W105" s="35" t="n">
        <v>-0.02875399361022368</v>
      </c>
      <c r="X105" s="35" t="n">
        <v>4.380530973451328</v>
      </c>
      <c r="Y105" s="30" t="n">
        <v>95312200</v>
      </c>
      <c r="Z105" s="30" t="n">
        <v>5794981760000</v>
      </c>
      <c r="AA105" s="30" t="n">
        <v>158697728000</v>
      </c>
      <c r="AB105" s="30" t="n">
        <v>124629780280</v>
      </c>
      <c r="AC105" s="35" t="n">
        <v>0.02738537144248061</v>
      </c>
      <c r="AD105" s="24" t="inlineStr">
        <is>
          <t>yfinance_download</t>
        </is>
      </c>
      <c r="AE105" s="24" t="inlineStr">
        <is>
          <t>042700.KS</t>
        </is>
      </c>
    </row>
    <row r="106" ht="24" customHeight="1">
      <c r="A106" s="29" t="inlineStr">
        <is>
          <t>2023-11-09</t>
        </is>
      </c>
      <c r="B106" s="31" t="n">
        <v>61100</v>
      </c>
      <c r="C106" s="31" t="n">
        <v>62300</v>
      </c>
      <c r="D106" s="31" t="n">
        <v>60100</v>
      </c>
      <c r="E106" s="31" t="n">
        <v>61500</v>
      </c>
      <c r="F106" s="31" t="n">
        <v>60555.47265625</v>
      </c>
      <c r="G106" s="31" t="n">
        <v>1334881</v>
      </c>
      <c r="H106" s="36" t="n">
        <v>0.01151315789473695</v>
      </c>
      <c r="I106" s="36" t="n">
        <v>-0.01757188498402551</v>
      </c>
      <c r="J106" s="31" t="n">
        <v>57930</v>
      </c>
      <c r="K106" s="31" t="n">
        <v>54880</v>
      </c>
      <c r="L106" s="31" t="n">
        <v>44529.66666666666</v>
      </c>
      <c r="M106" s="36" t="n">
        <v>0.6249251753922226</v>
      </c>
      <c r="N106" s="36" t="n">
        <v>0.6717604122145434</v>
      </c>
      <c r="O106" s="36" t="n">
        <v>0.104129263913824</v>
      </c>
      <c r="P106" s="36" t="n">
        <v>0.3155080213903743</v>
      </c>
      <c r="Q106" s="36" t="n">
        <v>2.137755102040817</v>
      </c>
      <c r="R106" s="36" t="n">
        <v>0.06162610046607986</v>
      </c>
      <c r="S106" s="36" t="n">
        <v>0.1206268221574345</v>
      </c>
      <c r="T106" s="36" t="n">
        <v>0.3811017374185002</v>
      </c>
      <c r="U106" s="31" t="n">
        <v>62600</v>
      </c>
      <c r="V106" s="31" t="n">
        <v>11300</v>
      </c>
      <c r="W106" s="36" t="n">
        <v>-0.01757188498402551</v>
      </c>
      <c r="X106" s="36" t="n">
        <v>4.442477876106195</v>
      </c>
      <c r="Y106" s="31" t="n">
        <v>95312200</v>
      </c>
      <c r="Z106" s="31" t="n">
        <v>5861700300000</v>
      </c>
      <c r="AA106" s="31" t="n">
        <v>82095181500</v>
      </c>
      <c r="AB106" s="31" t="n">
        <v>121385592755</v>
      </c>
      <c r="AC106" s="36" t="n">
        <v>0.01400535293488137</v>
      </c>
      <c r="AD106" s="29" t="inlineStr">
        <is>
          <t>yfinance_download</t>
        </is>
      </c>
      <c r="AE106" s="29" t="inlineStr">
        <is>
          <t>042700.KS</t>
        </is>
      </c>
    </row>
    <row r="107" ht="24" customHeight="1">
      <c r="A107" s="24" t="inlineStr">
        <is>
          <t>2023-11-10</t>
        </is>
      </c>
      <c r="B107" s="30" t="n">
        <v>61400</v>
      </c>
      <c r="C107" s="30" t="n">
        <v>67900</v>
      </c>
      <c r="D107" s="30" t="n">
        <v>60400</v>
      </c>
      <c r="E107" s="30" t="n">
        <v>66300</v>
      </c>
      <c r="F107" s="30" t="n">
        <v>65281.74609375</v>
      </c>
      <c r="G107" s="30" t="n">
        <v>4111622</v>
      </c>
      <c r="H107" s="35" t="n">
        <v>0.07804878048780495</v>
      </c>
      <c r="I107" s="35" t="n">
        <v>0</v>
      </c>
      <c r="J107" s="30" t="n">
        <v>58380</v>
      </c>
      <c r="K107" s="30" t="n">
        <v>55205</v>
      </c>
      <c r="L107" s="30" t="n">
        <v>44917.08333333334</v>
      </c>
      <c r="M107" s="35" t="n">
        <v>0.6718000045199155</v>
      </c>
      <c r="N107" s="35" t="n">
        <v>0.6879544563950258</v>
      </c>
      <c r="O107" s="35" t="n">
        <v>0.1570680628272252</v>
      </c>
      <c r="P107" s="35" t="n">
        <v>0.4166666666666667</v>
      </c>
      <c r="Q107" s="35" t="n">
        <v>2.346794548207976</v>
      </c>
      <c r="R107" s="35" t="n">
        <v>0.1356628982528263</v>
      </c>
      <c r="S107" s="35" t="n">
        <v>0.2009781722670048</v>
      </c>
      <c r="T107" s="35" t="n">
        <v>0.4760530978376822</v>
      </c>
      <c r="U107" s="30" t="n">
        <v>66300</v>
      </c>
      <c r="V107" s="30" t="n">
        <v>11300</v>
      </c>
      <c r="W107" s="35" t="n">
        <v>0</v>
      </c>
      <c r="X107" s="35" t="n">
        <v>4.867256637168142</v>
      </c>
      <c r="Y107" s="30" t="n">
        <v>95312200</v>
      </c>
      <c r="Z107" s="30" t="n">
        <v>6319198860000</v>
      </c>
      <c r="AA107" s="30" t="n">
        <v>272600538600</v>
      </c>
      <c r="AB107" s="30" t="n">
        <v>123619113815</v>
      </c>
      <c r="AC107" s="35" t="n">
        <v>0.04313846496041431</v>
      </c>
      <c r="AD107" s="24" t="inlineStr">
        <is>
          <t>yfinance_download</t>
        </is>
      </c>
      <c r="AE107" s="24" t="inlineStr">
        <is>
          <t>042700.KS</t>
        </is>
      </c>
    </row>
    <row r="108" ht="24" customHeight="1">
      <c r="A108" s="29" t="inlineStr">
        <is>
          <t>2023-11-13</t>
        </is>
      </c>
      <c r="B108" s="31" t="n">
        <v>61100</v>
      </c>
      <c r="C108" s="31" t="n">
        <v>63300</v>
      </c>
      <c r="D108" s="31" t="n">
        <v>56500</v>
      </c>
      <c r="E108" s="31" t="n">
        <v>57800</v>
      </c>
      <c r="F108" s="31" t="n">
        <v>56912.296875</v>
      </c>
      <c r="G108" s="31" t="n">
        <v>7178821</v>
      </c>
      <c r="H108" s="36" t="n">
        <v>-0.1282051282051282</v>
      </c>
      <c r="I108" s="36" t="n">
        <v>-0.1282051282051282</v>
      </c>
      <c r="J108" s="31" t="n">
        <v>58350</v>
      </c>
      <c r="K108" s="31" t="n">
        <v>55370.83333333334</v>
      </c>
      <c r="L108" s="31" t="n">
        <v>45230</v>
      </c>
      <c r="M108" s="36" t="n">
        <v>0.8257935144532479</v>
      </c>
      <c r="N108" s="36" t="n">
        <v>0.7405142605775167</v>
      </c>
      <c r="O108" s="36" t="n">
        <v>-0.01027397260273977</v>
      </c>
      <c r="P108" s="36" t="n">
        <v>0.2079414838035527</v>
      </c>
      <c r="Q108" s="36" t="n">
        <v>1.854320987654321</v>
      </c>
      <c r="R108" s="36" t="n">
        <v>-0.009425878320479808</v>
      </c>
      <c r="S108" s="36" t="n">
        <v>0.04387087064489426</v>
      </c>
      <c r="T108" s="36" t="n">
        <v>0.2779128896749945</v>
      </c>
      <c r="U108" s="31" t="n">
        <v>66300</v>
      </c>
      <c r="V108" s="31" t="n">
        <v>11300</v>
      </c>
      <c r="W108" s="36" t="n">
        <v>-0.1282051282051282</v>
      </c>
      <c r="X108" s="36" t="n">
        <v>4.115044247787611</v>
      </c>
      <c r="Y108" s="31" t="n">
        <v>95312200</v>
      </c>
      <c r="Z108" s="31" t="n">
        <v>5509045160000</v>
      </c>
      <c r="AA108" s="31" t="n">
        <v>414935853800</v>
      </c>
      <c r="AB108" s="31" t="n">
        <v>138123037025</v>
      </c>
      <c r="AC108" s="36" t="n">
        <v>0.07531901477460388</v>
      </c>
      <c r="AD108" s="29" t="inlineStr">
        <is>
          <t>yfinance_download</t>
        </is>
      </c>
      <c r="AE108" s="29" t="inlineStr">
        <is>
          <t>042700.KS</t>
        </is>
      </c>
    </row>
    <row r="109" ht="24" customHeight="1">
      <c r="A109" s="24" t="inlineStr">
        <is>
          <t>2023-11-14</t>
        </is>
      </c>
      <c r="B109" s="30" t="n">
        <v>58300</v>
      </c>
      <c r="C109" s="30" t="n">
        <v>60000</v>
      </c>
      <c r="D109" s="30" t="n">
        <v>57000</v>
      </c>
      <c r="E109" s="30" t="n">
        <v>59500</v>
      </c>
      <c r="F109" s="30" t="n">
        <v>58586.1875</v>
      </c>
      <c r="G109" s="30" t="n">
        <v>2266601</v>
      </c>
      <c r="H109" s="35" t="n">
        <v>0.02941176470588225</v>
      </c>
      <c r="I109" s="35" t="n">
        <v>-0.1025641025641025</v>
      </c>
      <c r="J109" s="30" t="n">
        <v>58380</v>
      </c>
      <c r="K109" s="30" t="n">
        <v>55602.5</v>
      </c>
      <c r="L109" s="30" t="n">
        <v>45547.91666666666</v>
      </c>
      <c r="M109" s="35" t="n">
        <v>0.8316907452269813</v>
      </c>
      <c r="N109" s="35" t="n">
        <v>0.7344732340911646</v>
      </c>
      <c r="O109" s="35" t="n">
        <v>0.01018675721561979</v>
      </c>
      <c r="P109" s="35" t="n">
        <v>0.3048245614035088</v>
      </c>
      <c r="Q109" s="35" t="n">
        <v>1.786885245901639</v>
      </c>
      <c r="R109" s="35" t="n">
        <v>0.01918465227817756</v>
      </c>
      <c r="S109" s="35" t="n">
        <v>0.0700957690751316</v>
      </c>
      <c r="T109" s="35" t="n">
        <v>0.3063166079677995</v>
      </c>
      <c r="U109" s="30" t="n">
        <v>66300</v>
      </c>
      <c r="V109" s="30" t="n">
        <v>11300</v>
      </c>
      <c r="W109" s="35" t="n">
        <v>-0.1025641025641025</v>
      </c>
      <c r="X109" s="35" t="n">
        <v>4.265486725663717</v>
      </c>
      <c r="Y109" s="30" t="n">
        <v>95312200</v>
      </c>
      <c r="Z109" s="30" t="n">
        <v>5671075900000</v>
      </c>
      <c r="AA109" s="30" t="n">
        <v>134862759500</v>
      </c>
      <c r="AB109" s="30" t="n">
        <v>138291562630</v>
      </c>
      <c r="AC109" s="35" t="n">
        <v>0.02378080665434226</v>
      </c>
      <c r="AD109" s="24" t="inlineStr">
        <is>
          <t>yfinance_download</t>
        </is>
      </c>
      <c r="AE109" s="24" t="inlineStr">
        <is>
          <t>042700.KS</t>
        </is>
      </c>
    </row>
    <row r="110" ht="24" customHeight="1">
      <c r="A110" s="29" t="inlineStr">
        <is>
          <t>2023-11-15</t>
        </is>
      </c>
      <c r="B110" s="31" t="n">
        <v>61700</v>
      </c>
      <c r="C110" s="31" t="n">
        <v>63400</v>
      </c>
      <c r="D110" s="31" t="n">
        <v>60500</v>
      </c>
      <c r="E110" s="31" t="n">
        <v>62300</v>
      </c>
      <c r="F110" s="31" t="n">
        <v>61343.18359375</v>
      </c>
      <c r="G110" s="31" t="n">
        <v>2750021</v>
      </c>
      <c r="H110" s="36" t="n">
        <v>0.04705882352941182</v>
      </c>
      <c r="I110" s="36" t="n">
        <v>-0.0603318250377074</v>
      </c>
      <c r="J110" s="31" t="n">
        <v>58570</v>
      </c>
      <c r="K110" s="31" t="n">
        <v>55838.33333333334</v>
      </c>
      <c r="L110" s="31" t="n">
        <v>45850.83333333334</v>
      </c>
      <c r="M110" s="36" t="n">
        <v>0.8461237672579481</v>
      </c>
      <c r="N110" s="36" t="n">
        <v>0.7320943195576916</v>
      </c>
      <c r="O110" s="36" t="n">
        <v>0.06495726495726495</v>
      </c>
      <c r="P110" s="36" t="n">
        <v>0.2938733125649013</v>
      </c>
      <c r="Q110" s="36" t="n">
        <v>1.400770712909441</v>
      </c>
      <c r="R110" s="36" t="n">
        <v>0.06368448010927086</v>
      </c>
      <c r="S110" s="36" t="n">
        <v>0.1157209802107273</v>
      </c>
      <c r="T110" s="36" t="n">
        <v>0.3587539303175151</v>
      </c>
      <c r="U110" s="31" t="n">
        <v>66300</v>
      </c>
      <c r="V110" s="31" t="n">
        <v>11300</v>
      </c>
      <c r="W110" s="36" t="n">
        <v>-0.0603318250377074</v>
      </c>
      <c r="X110" s="36" t="n">
        <v>4.513274336283186</v>
      </c>
      <c r="Y110" s="31" t="n">
        <v>95312200</v>
      </c>
      <c r="Z110" s="31" t="n">
        <v>5937950060000</v>
      </c>
      <c r="AA110" s="31" t="n">
        <v>171326308300</v>
      </c>
      <c r="AB110" s="31" t="n">
        <v>142803939195</v>
      </c>
      <c r="AC110" s="36" t="n">
        <v>0.02885277015953886</v>
      </c>
      <c r="AD110" s="29" t="inlineStr">
        <is>
          <t>yfinance_download</t>
        </is>
      </c>
      <c r="AE110" s="29" t="inlineStr">
        <is>
          <t>042700.KS</t>
        </is>
      </c>
    </row>
    <row r="111" ht="24" customHeight="1">
      <c r="A111" s="24" t="inlineStr">
        <is>
          <t>2023-11-16</t>
        </is>
      </c>
      <c r="B111" s="30" t="n">
        <v>61700</v>
      </c>
      <c r="C111" s="30" t="n">
        <v>63000</v>
      </c>
      <c r="D111" s="30" t="n">
        <v>60200</v>
      </c>
      <c r="E111" s="30" t="n">
        <v>62400</v>
      </c>
      <c r="F111" s="30" t="n">
        <v>61441.6484375</v>
      </c>
      <c r="G111" s="30" t="n">
        <v>1539467</v>
      </c>
      <c r="H111" s="35" t="n">
        <v>0.00160513643659721</v>
      </c>
      <c r="I111" s="35" t="n">
        <v>-0.05882352941176472</v>
      </c>
      <c r="J111" s="30" t="n">
        <v>58755</v>
      </c>
      <c r="K111" s="30" t="n">
        <v>56065.83333333334</v>
      </c>
      <c r="L111" s="30" t="n">
        <v>46152.91666666666</v>
      </c>
      <c r="M111" s="35" t="n">
        <v>0.8461797738108886</v>
      </c>
      <c r="N111" s="35" t="n">
        <v>0.7319807842088378</v>
      </c>
      <c r="O111" s="35" t="n">
        <v>0.0630323679727427</v>
      </c>
      <c r="P111" s="35" t="n">
        <v>0.28</v>
      </c>
      <c r="Q111" s="35" t="n">
        <v>1.38623326959847</v>
      </c>
      <c r="R111" s="35" t="n">
        <v>0.06203727342353837</v>
      </c>
      <c r="S111" s="35" t="n">
        <v>0.1129773034676496</v>
      </c>
      <c r="T111" s="35" t="n">
        <v>0.3520272283261261</v>
      </c>
      <c r="U111" s="30" t="n">
        <v>66300</v>
      </c>
      <c r="V111" s="30" t="n">
        <v>11300</v>
      </c>
      <c r="W111" s="35" t="n">
        <v>-0.05882352941176472</v>
      </c>
      <c r="X111" s="35" t="n">
        <v>4.522123893805309</v>
      </c>
      <c r="Y111" s="30" t="n">
        <v>95312200</v>
      </c>
      <c r="Z111" s="30" t="n">
        <v>5947481280000</v>
      </c>
      <c r="AA111" s="30" t="n">
        <v>96062740800</v>
      </c>
      <c r="AB111" s="30" t="n">
        <v>138184158945</v>
      </c>
      <c r="AC111" s="35" t="n">
        <v>0.01615183575659779</v>
      </c>
      <c r="AD111" s="24" t="inlineStr">
        <is>
          <t>yfinance_download</t>
        </is>
      </c>
      <c r="AE111" s="24" t="inlineStr">
        <is>
          <t>042700.KS</t>
        </is>
      </c>
    </row>
    <row r="112" ht="24" customHeight="1">
      <c r="A112" s="29" t="inlineStr">
        <is>
          <t>2023-11-17</t>
        </is>
      </c>
      <c r="B112" s="31" t="n">
        <v>62900</v>
      </c>
      <c r="C112" s="31" t="n">
        <v>64300</v>
      </c>
      <c r="D112" s="31" t="n">
        <v>61300</v>
      </c>
      <c r="E112" s="31" t="n">
        <v>62800</v>
      </c>
      <c r="F112" s="31" t="n">
        <v>61835.50390625</v>
      </c>
      <c r="G112" s="31" t="n">
        <v>1499992</v>
      </c>
      <c r="H112" s="36" t="n">
        <v>0.006410256410256387</v>
      </c>
      <c r="I112" s="36" t="n">
        <v>-0.052790346907994</v>
      </c>
      <c r="J112" s="31" t="n">
        <v>58970</v>
      </c>
      <c r="K112" s="31" t="n">
        <v>56149.16666666666</v>
      </c>
      <c r="L112" s="31" t="n">
        <v>46454.58333333334</v>
      </c>
      <c r="M112" s="36" t="n">
        <v>0.8456902044220536</v>
      </c>
      <c r="N112" s="36" t="n">
        <v>0.6279917694719265</v>
      </c>
      <c r="O112" s="36" t="n">
        <v>0.07350427350427347</v>
      </c>
      <c r="P112" s="36" t="n">
        <v>0.08650519031141868</v>
      </c>
      <c r="Q112" s="36" t="n">
        <v>1.360902255639098</v>
      </c>
      <c r="R112" s="36" t="n">
        <v>0.06494827878582332</v>
      </c>
      <c r="S112" s="36" t="n">
        <v>0.1184493684976031</v>
      </c>
      <c r="T112" s="36" t="n">
        <v>0.351857997506525</v>
      </c>
      <c r="U112" s="31" t="n">
        <v>66300</v>
      </c>
      <c r="V112" s="31" t="n">
        <v>11300</v>
      </c>
      <c r="W112" s="36" t="n">
        <v>-0.052790346907994</v>
      </c>
      <c r="X112" s="36" t="n">
        <v>4.557522123893805</v>
      </c>
      <c r="Y112" s="31" t="n">
        <v>95312200</v>
      </c>
      <c r="Z112" s="31" t="n">
        <v>5985606160000</v>
      </c>
      <c r="AA112" s="31" t="n">
        <v>94199497600</v>
      </c>
      <c r="AB112" s="31" t="n">
        <v>136720388975</v>
      </c>
      <c r="AC112" s="36" t="n">
        <v>0.0157376705185695</v>
      </c>
      <c r="AD112" s="29" t="inlineStr">
        <is>
          <t>yfinance_download</t>
        </is>
      </c>
      <c r="AE112" s="29" t="inlineStr">
        <is>
          <t>042700.KS</t>
        </is>
      </c>
    </row>
    <row r="113" ht="24" customHeight="1">
      <c r="A113" s="24" t="inlineStr">
        <is>
          <t>2023-11-20</t>
        </is>
      </c>
      <c r="B113" s="30" t="n">
        <v>62800</v>
      </c>
      <c r="C113" s="30" t="n">
        <v>63200</v>
      </c>
      <c r="D113" s="30" t="n">
        <v>60300</v>
      </c>
      <c r="E113" s="30" t="n">
        <v>62000</v>
      </c>
      <c r="F113" s="30" t="n">
        <v>61047.7890625</v>
      </c>
      <c r="G113" s="30" t="n">
        <v>1255859</v>
      </c>
      <c r="H113" s="35" t="n">
        <v>-0.01273885350318471</v>
      </c>
      <c r="I113" s="35" t="n">
        <v>-0.06485671191553544</v>
      </c>
      <c r="J113" s="30" t="n">
        <v>59300</v>
      </c>
      <c r="K113" s="30" t="n">
        <v>56187.5</v>
      </c>
      <c r="L113" s="30" t="n">
        <v>46750</v>
      </c>
      <c r="M113" s="35" t="n">
        <v>0.8208313605958873</v>
      </c>
      <c r="N113" s="35" t="n">
        <v>0.6254167775504306</v>
      </c>
      <c r="O113" s="35" t="n">
        <v>0.1191335740072201</v>
      </c>
      <c r="P113" s="35" t="n">
        <v>0.03852596314907863</v>
      </c>
      <c r="Q113" s="35" t="n">
        <v>1.335216572504708</v>
      </c>
      <c r="R113" s="35" t="n">
        <v>0.04553119730185506</v>
      </c>
      <c r="S113" s="35" t="n">
        <v>0.103448275862069</v>
      </c>
      <c r="T113" s="35" t="n">
        <v>0.3262032085561497</v>
      </c>
      <c r="U113" s="30" t="n">
        <v>66300</v>
      </c>
      <c r="V113" s="30" t="n">
        <v>11300</v>
      </c>
      <c r="W113" s="35" t="n">
        <v>-0.06485671191553544</v>
      </c>
      <c r="X113" s="35" t="n">
        <v>4.486725663716814</v>
      </c>
      <c r="Y113" s="30" t="n">
        <v>95312200</v>
      </c>
      <c r="Z113" s="30" t="n">
        <v>5909356400000</v>
      </c>
      <c r="AA113" s="30" t="n">
        <v>77863258000</v>
      </c>
      <c r="AB113" s="30" t="n">
        <v>136449806985</v>
      </c>
      <c r="AC113" s="35" t="n">
        <v>0.01317626704661103</v>
      </c>
      <c r="AD113" s="24" t="inlineStr">
        <is>
          <t>yfinance_download</t>
        </is>
      </c>
      <c r="AE113" s="24" t="inlineStr">
        <is>
          <t>042700.KS</t>
        </is>
      </c>
    </row>
    <row r="114" ht="24" customHeight="1">
      <c r="A114" s="29" t="inlineStr">
        <is>
          <t>2023-11-21</t>
        </is>
      </c>
      <c r="B114" s="31" t="n">
        <v>62800</v>
      </c>
      <c r="C114" s="31" t="n">
        <v>63000</v>
      </c>
      <c r="D114" s="31" t="n">
        <v>60700</v>
      </c>
      <c r="E114" s="31" t="n">
        <v>61500</v>
      </c>
      <c r="F114" s="31" t="n">
        <v>60555.47265625</v>
      </c>
      <c r="G114" s="31" t="n">
        <v>1273028</v>
      </c>
      <c r="H114" s="36" t="n">
        <v>-0.008064516129032251</v>
      </c>
      <c r="I114" s="36" t="n">
        <v>-0.07239819004524883</v>
      </c>
      <c r="J114" s="31" t="n">
        <v>59445</v>
      </c>
      <c r="K114" s="31" t="n">
        <v>56282.5</v>
      </c>
      <c r="L114" s="31" t="n">
        <v>47035</v>
      </c>
      <c r="M114" s="36" t="n">
        <v>0.7997626091538763</v>
      </c>
      <c r="N114" s="36" t="n">
        <v>0.6101448488400064</v>
      </c>
      <c r="O114" s="36" t="n">
        <v>0.04948805460750849</v>
      </c>
      <c r="P114" s="36" t="n">
        <v>0.1021505376344085</v>
      </c>
      <c r="Q114" s="36" t="n">
        <v>1.252747252747253</v>
      </c>
      <c r="R114" s="36" t="n">
        <v>0.03456977037597775</v>
      </c>
      <c r="S114" s="36" t="n">
        <v>0.09270199440323368</v>
      </c>
      <c r="T114" s="36" t="n">
        <v>0.3075369405761668</v>
      </c>
      <c r="U114" s="31" t="n">
        <v>66300</v>
      </c>
      <c r="V114" s="31" t="n">
        <v>11300</v>
      </c>
      <c r="W114" s="36" t="n">
        <v>-0.07239819004524883</v>
      </c>
      <c r="X114" s="36" t="n">
        <v>4.442477876106195</v>
      </c>
      <c r="Y114" s="31" t="n">
        <v>95312200</v>
      </c>
      <c r="Z114" s="31" t="n">
        <v>5861700300000</v>
      </c>
      <c r="AA114" s="31" t="n">
        <v>78291222000</v>
      </c>
      <c r="AB114" s="31" t="n">
        <v>136266853915</v>
      </c>
      <c r="AC114" s="36" t="n">
        <v>0.01335640138408305</v>
      </c>
      <c r="AD114" s="29" t="inlineStr">
        <is>
          <t>yfinance_download</t>
        </is>
      </c>
      <c r="AE114" s="29" t="inlineStr">
        <is>
          <t>042700.KS</t>
        </is>
      </c>
    </row>
    <row r="115" ht="24" customHeight="1">
      <c r="A115" s="24" t="inlineStr">
        <is>
          <t>2023-11-22</t>
        </is>
      </c>
      <c r="B115" s="30" t="n">
        <v>60200</v>
      </c>
      <c r="C115" s="30" t="n">
        <v>62700</v>
      </c>
      <c r="D115" s="30" t="n">
        <v>60100</v>
      </c>
      <c r="E115" s="30" t="n">
        <v>61700</v>
      </c>
      <c r="F115" s="30" t="n">
        <v>60752.3984375</v>
      </c>
      <c r="G115" s="30" t="n">
        <v>1225169</v>
      </c>
      <c r="H115" s="35" t="n">
        <v>0.003252032520325132</v>
      </c>
      <c r="I115" s="35" t="n">
        <v>-0.06938159879336347</v>
      </c>
      <c r="J115" s="30" t="n">
        <v>59555</v>
      </c>
      <c r="K115" s="30" t="n">
        <v>56360.83333333334</v>
      </c>
      <c r="L115" s="30" t="n">
        <v>47322.91666666666</v>
      </c>
      <c r="M115" s="35" t="n">
        <v>0.7985653329985796</v>
      </c>
      <c r="N115" s="35" t="n">
        <v>0.6088434886524877</v>
      </c>
      <c r="O115" s="35" t="n">
        <v>0.03697478991596648</v>
      </c>
      <c r="P115" s="35" t="n">
        <v>0.08245614035087723</v>
      </c>
      <c r="Q115" s="35" t="n">
        <v>1.27255985267035</v>
      </c>
      <c r="R115" s="35" t="n">
        <v>0.03601712702543858</v>
      </c>
      <c r="S115" s="35" t="n">
        <v>0.09473186166516334</v>
      </c>
      <c r="T115" s="35" t="n">
        <v>0.3038080563504293</v>
      </c>
      <c r="U115" s="30" t="n">
        <v>66300</v>
      </c>
      <c r="V115" s="30" t="n">
        <v>11300</v>
      </c>
      <c r="W115" s="35" t="n">
        <v>-0.06938159879336347</v>
      </c>
      <c r="X115" s="35" t="n">
        <v>4.460176991150442</v>
      </c>
      <c r="Y115" s="30" t="n">
        <v>95312200</v>
      </c>
      <c r="Z115" s="30" t="n">
        <v>5880762740000</v>
      </c>
      <c r="AA115" s="30" t="n">
        <v>75592927300</v>
      </c>
      <c r="AB115" s="30" t="n">
        <v>133304147705</v>
      </c>
      <c r="AC115" s="35" t="n">
        <v>0.01285427259049733</v>
      </c>
      <c r="AD115" s="24" t="inlineStr">
        <is>
          <t>yfinance_download</t>
        </is>
      </c>
      <c r="AE115" s="24" t="inlineStr">
        <is>
          <t>042700.KS</t>
        </is>
      </c>
    </row>
    <row r="116" ht="24" customHeight="1">
      <c r="A116" s="29" t="inlineStr">
        <is>
          <t>2023-11-23</t>
        </is>
      </c>
      <c r="B116" s="31" t="n">
        <v>61700</v>
      </c>
      <c r="C116" s="31" t="n">
        <v>61800</v>
      </c>
      <c r="D116" s="31" t="n">
        <v>59600</v>
      </c>
      <c r="E116" s="31" t="n">
        <v>59700</v>
      </c>
      <c r="F116" s="31" t="n">
        <v>58783.1171875</v>
      </c>
      <c r="G116" s="31" t="n">
        <v>1182420</v>
      </c>
      <c r="H116" s="36" t="n">
        <v>-0.03241491085899517</v>
      </c>
      <c r="I116" s="36" t="n">
        <v>-0.09954751131221717</v>
      </c>
      <c r="J116" s="31" t="n">
        <v>59635</v>
      </c>
      <c r="K116" s="31" t="n">
        <v>56430.83333333334</v>
      </c>
      <c r="L116" s="31" t="n">
        <v>47593.75</v>
      </c>
      <c r="M116" s="36" t="n">
        <v>0.8030968985345753</v>
      </c>
      <c r="N116" s="36" t="n">
        <v>0.610184127915851</v>
      </c>
      <c r="O116" s="36" t="n">
        <v>0.02753872633390708</v>
      </c>
      <c r="P116" s="36" t="n">
        <v>0.07567567567567557</v>
      </c>
      <c r="Q116" s="36" t="n">
        <v>1.194852941176471</v>
      </c>
      <c r="R116" s="36" t="n">
        <v>0.001089963947346284</v>
      </c>
      <c r="S116" s="36" t="n">
        <v>0.05793227697623937</v>
      </c>
      <c r="T116" s="36" t="n">
        <v>0.2543663821405122</v>
      </c>
      <c r="U116" s="31" t="n">
        <v>66300</v>
      </c>
      <c r="V116" s="31" t="n">
        <v>11300</v>
      </c>
      <c r="W116" s="36" t="n">
        <v>-0.09954751131221717</v>
      </c>
      <c r="X116" s="36" t="n">
        <v>4.283185840707965</v>
      </c>
      <c r="Y116" s="31" t="n">
        <v>95312200</v>
      </c>
      <c r="Z116" s="31" t="n">
        <v>5690138340000</v>
      </c>
      <c r="AA116" s="31" t="n">
        <v>70590474000</v>
      </c>
      <c r="AB116" s="31" t="n">
        <v>132386560870</v>
      </c>
      <c r="AC116" s="36" t="n">
        <v>0.01240575708041573</v>
      </c>
      <c r="AD116" s="29" t="inlineStr">
        <is>
          <t>yfinance_download</t>
        </is>
      </c>
      <c r="AE116" s="29" t="inlineStr">
        <is>
          <t>042700.KS</t>
        </is>
      </c>
    </row>
    <row r="117" ht="24" customHeight="1">
      <c r="A117" s="24" t="inlineStr">
        <is>
          <t>2023-11-24</t>
        </is>
      </c>
      <c r="B117" s="30" t="n">
        <v>59700</v>
      </c>
      <c r="C117" s="30" t="n">
        <v>61000</v>
      </c>
      <c r="D117" s="30" t="n">
        <v>59100</v>
      </c>
      <c r="E117" s="30" t="n">
        <v>60800</v>
      </c>
      <c r="F117" s="30" t="n">
        <v>59866.21875</v>
      </c>
      <c r="G117" s="30" t="n">
        <v>714189</v>
      </c>
      <c r="H117" s="35" t="n">
        <v>0.01842546063651596</v>
      </c>
      <c r="I117" s="35" t="n">
        <v>-0.0829562594268477</v>
      </c>
      <c r="J117" s="30" t="n">
        <v>59815</v>
      </c>
      <c r="K117" s="30" t="n">
        <v>56537.5</v>
      </c>
      <c r="L117" s="30" t="n">
        <v>47879.16666666666</v>
      </c>
      <c r="M117" s="35" t="n">
        <v>0.8019872360930463</v>
      </c>
      <c r="N117" s="35" t="n">
        <v>0.6093892601364368</v>
      </c>
      <c r="O117" s="35" t="n">
        <v>0.06293706293706292</v>
      </c>
      <c r="P117" s="35" t="n">
        <v>0.1176470588235294</v>
      </c>
      <c r="Q117" s="35" t="n">
        <v>1.290018832391714</v>
      </c>
      <c r="R117" s="35" t="n">
        <v>0.01646744127727162</v>
      </c>
      <c r="S117" s="35" t="n">
        <v>0.0753924386469158</v>
      </c>
      <c r="T117" s="35" t="n">
        <v>0.2698633713340877</v>
      </c>
      <c r="U117" s="30" t="n">
        <v>66300</v>
      </c>
      <c r="V117" s="30" t="n">
        <v>11300</v>
      </c>
      <c r="W117" s="35" t="n">
        <v>-0.0829562594268477</v>
      </c>
      <c r="X117" s="35" t="n">
        <v>4.380530973451328</v>
      </c>
      <c r="Y117" s="30" t="n">
        <v>95312200</v>
      </c>
      <c r="Z117" s="30" t="n">
        <v>5794981760000</v>
      </c>
      <c r="AA117" s="30" t="n">
        <v>43422691200</v>
      </c>
      <c r="AB117" s="30" t="n">
        <v>131473620150</v>
      </c>
      <c r="AC117" s="35" t="n">
        <v>0.007493154076812832</v>
      </c>
      <c r="AD117" s="24" t="inlineStr">
        <is>
          <t>yfinance_download</t>
        </is>
      </c>
      <c r="AE117" s="24" t="inlineStr">
        <is>
          <t>042700.KS</t>
        </is>
      </c>
    </row>
    <row r="118" ht="24" customHeight="1">
      <c r="A118" s="29" t="inlineStr">
        <is>
          <t>2023-11-27</t>
        </is>
      </c>
      <c r="B118" s="31" t="n">
        <v>60400</v>
      </c>
      <c r="C118" s="31" t="n">
        <v>61200</v>
      </c>
      <c r="D118" s="31" t="n">
        <v>59600</v>
      </c>
      <c r="E118" s="31" t="n">
        <v>59700</v>
      </c>
      <c r="F118" s="31" t="n">
        <v>58783.1171875</v>
      </c>
      <c r="G118" s="31" t="n">
        <v>782130</v>
      </c>
      <c r="H118" s="36" t="n">
        <v>-0.01809210526315785</v>
      </c>
      <c r="I118" s="36" t="n">
        <v>-0.09954751131221717</v>
      </c>
      <c r="J118" s="31" t="n">
        <v>59950</v>
      </c>
      <c r="K118" s="31" t="n">
        <v>56615.83333333334</v>
      </c>
      <c r="L118" s="31" t="n">
        <v>48157.08333333334</v>
      </c>
      <c r="M118" s="36" t="n">
        <v>0.8055335998560637</v>
      </c>
      <c r="N118" s="36" t="n">
        <v>0.6105877264664723</v>
      </c>
      <c r="O118" s="36" t="n">
        <v>0.0473684210526315</v>
      </c>
      <c r="P118" s="36" t="n">
        <v>0.08545454545454545</v>
      </c>
      <c r="Q118" s="36" t="n">
        <v>1.265654648956357</v>
      </c>
      <c r="R118" s="36" t="n">
        <v>-0.004170141784820669</v>
      </c>
      <c r="S118" s="36" t="n">
        <v>0.05447533817100636</v>
      </c>
      <c r="T118" s="36" t="n">
        <v>0.2396930185071424</v>
      </c>
      <c r="U118" s="31" t="n">
        <v>66300</v>
      </c>
      <c r="V118" s="31" t="n">
        <v>11300</v>
      </c>
      <c r="W118" s="36" t="n">
        <v>-0.09954751131221717</v>
      </c>
      <c r="X118" s="36" t="n">
        <v>4.283185840707965</v>
      </c>
      <c r="Y118" s="31" t="n">
        <v>95312200</v>
      </c>
      <c r="Z118" s="31" t="n">
        <v>5690138340000</v>
      </c>
      <c r="AA118" s="31" t="n">
        <v>46693161000</v>
      </c>
      <c r="AB118" s="31" t="n">
        <v>131917687950</v>
      </c>
      <c r="AC118" s="36" t="n">
        <v>0.008205979927018787</v>
      </c>
      <c r="AD118" s="29" t="inlineStr">
        <is>
          <t>yfinance_download</t>
        </is>
      </c>
      <c r="AE118" s="29" t="inlineStr">
        <is>
          <t>042700.KS</t>
        </is>
      </c>
    </row>
    <row r="119" ht="24" customHeight="1">
      <c r="A119" s="24" t="inlineStr">
        <is>
          <t>2023-11-28</t>
        </is>
      </c>
      <c r="B119" s="30" t="n">
        <v>60300</v>
      </c>
      <c r="C119" s="30" t="n">
        <v>61700</v>
      </c>
      <c r="D119" s="30" t="n">
        <v>59500</v>
      </c>
      <c r="E119" s="30" t="n">
        <v>61600</v>
      </c>
      <c r="F119" s="30" t="n">
        <v>60653.93359375</v>
      </c>
      <c r="G119" s="30" t="n">
        <v>1081795</v>
      </c>
      <c r="H119" s="35" t="n">
        <v>0.03182579564489108</v>
      </c>
      <c r="I119" s="35" t="n">
        <v>-0.07088989441930615</v>
      </c>
      <c r="J119" s="30" t="n">
        <v>60405</v>
      </c>
      <c r="K119" s="30" t="n">
        <v>56720.83333333334</v>
      </c>
      <c r="L119" s="30" t="n">
        <v>48456.25</v>
      </c>
      <c r="M119" s="35" t="n">
        <v>0.7490257128066572</v>
      </c>
      <c r="N119" s="35" t="n">
        <v>0.6135903854799858</v>
      </c>
      <c r="O119" s="35" t="n">
        <v>0.1733333333333333</v>
      </c>
      <c r="P119" s="35" t="n">
        <v>0.1139240506329113</v>
      </c>
      <c r="Q119" s="35" t="n">
        <v>1.396887159533074</v>
      </c>
      <c r="R119" s="35" t="n">
        <v>0.01978313053555159</v>
      </c>
      <c r="S119" s="35" t="n">
        <v>0.08602071549254386</v>
      </c>
      <c r="T119" s="35" t="n">
        <v>0.2712498387720883</v>
      </c>
      <c r="U119" s="30" t="n">
        <v>66300</v>
      </c>
      <c r="V119" s="30" t="n">
        <v>11300</v>
      </c>
      <c r="W119" s="35" t="n">
        <v>-0.07088989441930615</v>
      </c>
      <c r="X119" s="35" t="n">
        <v>4.451327433628318</v>
      </c>
      <c r="Y119" s="30" t="n">
        <v>95312200</v>
      </c>
      <c r="Z119" s="30" t="n">
        <v>5871231520000</v>
      </c>
      <c r="AA119" s="30" t="n">
        <v>66638572000</v>
      </c>
      <c r="AB119" s="30" t="n">
        <v>129559078550</v>
      </c>
      <c r="AC119" s="35" t="n">
        <v>0.01135001605250954</v>
      </c>
      <c r="AD119" s="24" t="inlineStr">
        <is>
          <t>yfinance_download</t>
        </is>
      </c>
      <c r="AE119" s="24" t="inlineStr">
        <is>
          <t>042700.KS</t>
        </is>
      </c>
    </row>
    <row r="120" ht="24" customHeight="1">
      <c r="A120" s="29" t="inlineStr">
        <is>
          <t>2023-11-29</t>
        </is>
      </c>
      <c r="B120" s="31" t="n">
        <v>61200</v>
      </c>
      <c r="C120" s="31" t="n">
        <v>62000</v>
      </c>
      <c r="D120" s="31" t="n">
        <v>60200</v>
      </c>
      <c r="E120" s="31" t="n">
        <v>61100</v>
      </c>
      <c r="F120" s="31" t="n">
        <v>60161.609375</v>
      </c>
      <c r="G120" s="31" t="n">
        <v>827016</v>
      </c>
      <c r="H120" s="36" t="n">
        <v>-0.008116883116883078</v>
      </c>
      <c r="I120" s="36" t="n">
        <v>-0.07843137254901966</v>
      </c>
      <c r="J120" s="31" t="n">
        <v>60825</v>
      </c>
      <c r="K120" s="31" t="n">
        <v>56787.5</v>
      </c>
      <c r="L120" s="31" t="n">
        <v>48755.83333333334</v>
      </c>
      <c r="M120" s="36" t="n">
        <v>0.7513366120791447</v>
      </c>
      <c r="N120" s="36" t="n">
        <v>0.6107495008621542</v>
      </c>
      <c r="O120" s="36" t="n">
        <v>0.1593927893738141</v>
      </c>
      <c r="P120" s="36" t="n">
        <v>0.07005253940455347</v>
      </c>
      <c r="Q120" s="36" t="n">
        <v>1.429423459244533</v>
      </c>
      <c r="R120" s="36" t="n">
        <v>0.00452116728318952</v>
      </c>
      <c r="S120" s="36" t="n">
        <v>0.07594100814439808</v>
      </c>
      <c r="T120" s="36" t="n">
        <v>0.2531833797665235</v>
      </c>
      <c r="U120" s="31" t="n">
        <v>66300</v>
      </c>
      <c r="V120" s="31" t="n">
        <v>11300</v>
      </c>
      <c r="W120" s="36" t="n">
        <v>-0.07843137254901966</v>
      </c>
      <c r="X120" s="36" t="n">
        <v>4.407079646017699</v>
      </c>
      <c r="Y120" s="31" t="n">
        <v>95312200</v>
      </c>
      <c r="Z120" s="31" t="n">
        <v>5823575420000</v>
      </c>
      <c r="AA120" s="31" t="n">
        <v>50530677600</v>
      </c>
      <c r="AB120" s="31" t="n">
        <v>129447360840</v>
      </c>
      <c r="AC120" s="36" t="n">
        <v>0.008676916491278136</v>
      </c>
      <c r="AD120" s="29" t="inlineStr">
        <is>
          <t>yfinance_download</t>
        </is>
      </c>
      <c r="AE120" s="29" t="inlineStr">
        <is>
          <t>042700.KS</t>
        </is>
      </c>
    </row>
    <row r="121" ht="24" customHeight="1">
      <c r="A121" s="24" t="inlineStr">
        <is>
          <t>2023-11-30</t>
        </is>
      </c>
      <c r="B121" s="30" t="n">
        <v>61700</v>
      </c>
      <c r="C121" s="30" t="n">
        <v>63600</v>
      </c>
      <c r="D121" s="30" t="n">
        <v>61000</v>
      </c>
      <c r="E121" s="30" t="n">
        <v>63600</v>
      </c>
      <c r="F121" s="30" t="n">
        <v>62623.21875</v>
      </c>
      <c r="G121" s="30" t="n">
        <v>1634387</v>
      </c>
      <c r="H121" s="35" t="n">
        <v>0.04091653027823239</v>
      </c>
      <c r="I121" s="35" t="n">
        <v>-0.04072398190045246</v>
      </c>
      <c r="J121" s="30" t="n">
        <v>61135</v>
      </c>
      <c r="K121" s="30" t="n">
        <v>56850.83333333334</v>
      </c>
      <c r="L121" s="30" t="n">
        <v>49077.5</v>
      </c>
      <c r="M121" s="35" t="n">
        <v>0.70040473337569</v>
      </c>
      <c r="N121" s="35" t="n">
        <v>0.6088630288581619</v>
      </c>
      <c r="O121" s="35" t="n">
        <v>0.10801393728223</v>
      </c>
      <c r="P121" s="35" t="n">
        <v>0.0635451505016722</v>
      </c>
      <c r="Q121" s="35" t="n">
        <v>1.544</v>
      </c>
      <c r="R121" s="35" t="n">
        <v>0.04032060194651188</v>
      </c>
      <c r="S121" s="35" t="n">
        <v>0.1187171105671274</v>
      </c>
      <c r="T121" s="35" t="n">
        <v>0.2959095308440731</v>
      </c>
      <c r="U121" s="30" t="n">
        <v>66300</v>
      </c>
      <c r="V121" s="30" t="n">
        <v>11300</v>
      </c>
      <c r="W121" s="35" t="n">
        <v>-0.04072398190045246</v>
      </c>
      <c r="X121" s="35" t="n">
        <v>4.628318584070796</v>
      </c>
      <c r="Y121" s="30" t="n">
        <v>95312200</v>
      </c>
      <c r="Z121" s="30" t="n">
        <v>6061855920000</v>
      </c>
      <c r="AA121" s="30" t="n">
        <v>103947013200</v>
      </c>
      <c r="AB121" s="30" t="n">
        <v>130108693720</v>
      </c>
      <c r="AC121" s="35" t="n">
        <v>0.01714772085840008</v>
      </c>
      <c r="AD121" s="24" t="inlineStr">
        <is>
          <t>yfinance_download</t>
        </is>
      </c>
      <c r="AE121" s="24" t="inlineStr">
        <is>
          <t>042700.KS</t>
        </is>
      </c>
    </row>
    <row r="122" ht="24" customHeight="1">
      <c r="A122" s="29" t="inlineStr">
        <is>
          <t>2023-12-01</t>
        </is>
      </c>
      <c r="B122" s="31" t="n">
        <v>62500</v>
      </c>
      <c r="C122" s="31" t="n">
        <v>63000</v>
      </c>
      <c r="D122" s="31" t="n">
        <v>61600</v>
      </c>
      <c r="E122" s="31" t="n">
        <v>62000</v>
      </c>
      <c r="F122" s="31" t="n">
        <v>61047.7890625</v>
      </c>
      <c r="G122" s="31" t="n">
        <v>755785</v>
      </c>
      <c r="H122" s="36" t="n">
        <v>-0.02515723270440251</v>
      </c>
      <c r="I122" s="36" t="n">
        <v>-0.06485671191553544</v>
      </c>
      <c r="J122" s="31" t="n">
        <v>61410</v>
      </c>
      <c r="K122" s="31" t="n">
        <v>56909.16666666666</v>
      </c>
      <c r="L122" s="31" t="n">
        <v>49380.41666666666</v>
      </c>
      <c r="M122" s="36" t="n">
        <v>0.7051048007216282</v>
      </c>
      <c r="N122" s="36" t="n">
        <v>0.6094664652180707</v>
      </c>
      <c r="O122" s="36" t="n">
        <v>0.09734513274336276</v>
      </c>
      <c r="P122" s="36" t="n">
        <v>0.05982905982905984</v>
      </c>
      <c r="Q122" s="36" t="n">
        <v>1.417153996101364</v>
      </c>
      <c r="R122" s="36" t="n">
        <v>0.009607555772675358</v>
      </c>
      <c r="S122" s="36" t="n">
        <v>0.08945541872281848</v>
      </c>
      <c r="T122" s="36" t="n">
        <v>0.2555584619408842</v>
      </c>
      <c r="U122" s="31" t="n">
        <v>66300</v>
      </c>
      <c r="V122" s="31" t="n">
        <v>11300</v>
      </c>
      <c r="W122" s="36" t="n">
        <v>-0.06485671191553544</v>
      </c>
      <c r="X122" s="36" t="n">
        <v>4.486725663716814</v>
      </c>
      <c r="Y122" s="31" t="n">
        <v>95312200</v>
      </c>
      <c r="Z122" s="31" t="n">
        <v>5909356400000</v>
      </c>
      <c r="AA122" s="31" t="n">
        <v>46858670000</v>
      </c>
      <c r="AB122" s="31" t="n">
        <v>129389734020</v>
      </c>
      <c r="AC122" s="36" t="n">
        <v>0.007929572499638032</v>
      </c>
      <c r="AD122" s="29" t="inlineStr">
        <is>
          <t>yfinance_download</t>
        </is>
      </c>
      <c r="AE122" s="29" t="inlineStr">
        <is>
          <t>042700.KS</t>
        </is>
      </c>
    </row>
    <row r="123" ht="24" customHeight="1">
      <c r="A123" s="24" t="inlineStr">
        <is>
          <t>2023-12-04</t>
        </is>
      </c>
      <c r="B123" s="30" t="n">
        <v>61000</v>
      </c>
      <c r="C123" s="30" t="n">
        <v>61600</v>
      </c>
      <c r="D123" s="30" t="n">
        <v>59500</v>
      </c>
      <c r="E123" s="30" t="n">
        <v>59800</v>
      </c>
      <c r="F123" s="30" t="n">
        <v>58881.58203125</v>
      </c>
      <c r="G123" s="30" t="n">
        <v>1099046</v>
      </c>
      <c r="H123" s="35" t="n">
        <v>-0.03548387096774197</v>
      </c>
      <c r="I123" s="35" t="n">
        <v>-0.09803921568627449</v>
      </c>
      <c r="J123" s="30" t="n">
        <v>61475</v>
      </c>
      <c r="K123" s="30" t="n">
        <v>56935.83333333334</v>
      </c>
      <c r="L123" s="30" t="n">
        <v>49657.08333333334</v>
      </c>
      <c r="M123" s="35" t="n">
        <v>0.7102739584651242</v>
      </c>
      <c r="N123" s="35" t="n">
        <v>0.614077085517168</v>
      </c>
      <c r="O123" s="35" t="n">
        <v>0.02222222222222214</v>
      </c>
      <c r="P123" s="35" t="n">
        <v>0.02749140893470781</v>
      </c>
      <c r="Q123" s="35" t="n">
        <v>1.24812030075188</v>
      </c>
      <c r="R123" s="35" t="n">
        <v>-0.02724684831232205</v>
      </c>
      <c r="S123" s="35" t="n">
        <v>0.05030516809859042</v>
      </c>
      <c r="T123" s="35" t="n">
        <v>0.2042592110893879</v>
      </c>
      <c r="U123" s="30" t="n">
        <v>66300</v>
      </c>
      <c r="V123" s="30" t="n">
        <v>11300</v>
      </c>
      <c r="W123" s="35" t="n">
        <v>-0.09803921568627449</v>
      </c>
      <c r="X123" s="35" t="n">
        <v>4.292035398230088</v>
      </c>
      <c r="Y123" s="30" t="n">
        <v>95312200</v>
      </c>
      <c r="Z123" s="30" t="n">
        <v>5699669560000</v>
      </c>
      <c r="AA123" s="30" t="n">
        <v>65722950800</v>
      </c>
      <c r="AB123" s="30" t="n">
        <v>127773172060</v>
      </c>
      <c r="AC123" s="35" t="n">
        <v>0.01153101072055833</v>
      </c>
      <c r="AD123" s="24" t="inlineStr">
        <is>
          <t>yfinance_download</t>
        </is>
      </c>
      <c r="AE123" s="24" t="inlineStr">
        <is>
          <t>042700.KS</t>
        </is>
      </c>
    </row>
    <row r="124" ht="24" customHeight="1">
      <c r="A124" s="29" t="inlineStr">
        <is>
          <t>2023-12-05</t>
        </is>
      </c>
      <c r="B124" s="31" t="n">
        <v>59500</v>
      </c>
      <c r="C124" s="31" t="n">
        <v>61100</v>
      </c>
      <c r="D124" s="31" t="n">
        <v>57100</v>
      </c>
      <c r="E124" s="31" t="n">
        <v>57800</v>
      </c>
      <c r="F124" s="31" t="n">
        <v>56912.296875</v>
      </c>
      <c r="G124" s="31" t="n">
        <v>1131547</v>
      </c>
      <c r="H124" s="36" t="n">
        <v>-0.03344481605351168</v>
      </c>
      <c r="I124" s="36" t="n">
        <v>-0.1282051282051282</v>
      </c>
      <c r="J124" s="31" t="n">
        <v>61235</v>
      </c>
      <c r="K124" s="31" t="n">
        <v>56919.16666666666</v>
      </c>
      <c r="L124" s="31" t="n">
        <v>49917.91666666666</v>
      </c>
      <c r="M124" s="36" t="n">
        <v>0.6728821492385225</v>
      </c>
      <c r="N124" s="36" t="n">
        <v>0.6178390134415496</v>
      </c>
      <c r="O124" s="36" t="n">
        <v>-0.07667731629392971</v>
      </c>
      <c r="P124" s="36" t="n">
        <v>-0.01700680272108845</v>
      </c>
      <c r="Q124" s="36" t="n">
        <v>1.181132075471698</v>
      </c>
      <c r="R124" s="36" t="n">
        <v>-0.05609537029476608</v>
      </c>
      <c r="S124" s="36" t="n">
        <v>0.01547516214514744</v>
      </c>
      <c r="T124" s="36" t="n">
        <v>0.1579008872899677</v>
      </c>
      <c r="U124" s="31" t="n">
        <v>66300</v>
      </c>
      <c r="V124" s="31" t="n">
        <v>11300</v>
      </c>
      <c r="W124" s="36" t="n">
        <v>-0.1282051282051282</v>
      </c>
      <c r="X124" s="36" t="n">
        <v>4.115044247787611</v>
      </c>
      <c r="Y124" s="31" t="n">
        <v>95312200</v>
      </c>
      <c r="Z124" s="31" t="n">
        <v>5509045160000</v>
      </c>
      <c r="AA124" s="31" t="n">
        <v>65403416600</v>
      </c>
      <c r="AB124" s="31" t="n">
        <v>110816782090</v>
      </c>
      <c r="AC124" s="36" t="n">
        <v>0.01187200589221527</v>
      </c>
      <c r="AD124" s="29" t="inlineStr">
        <is>
          <t>yfinance_download</t>
        </is>
      </c>
      <c r="AE124" s="29" t="inlineStr">
        <is>
          <t>042700.KS</t>
        </is>
      </c>
    </row>
    <row r="125" ht="24" customHeight="1">
      <c r="A125" s="24" t="inlineStr">
        <is>
          <t>2023-12-06</t>
        </is>
      </c>
      <c r="B125" s="30" t="n">
        <v>58400</v>
      </c>
      <c r="C125" s="30" t="n">
        <v>59000</v>
      </c>
      <c r="D125" s="30" t="n">
        <v>57400</v>
      </c>
      <c r="E125" s="30" t="n">
        <v>57900</v>
      </c>
      <c r="F125" s="30" t="n">
        <v>57010.76171875</v>
      </c>
      <c r="G125" s="30" t="n">
        <v>601332</v>
      </c>
      <c r="H125" s="35" t="n">
        <v>0.001730103806228289</v>
      </c>
      <c r="I125" s="35" t="n">
        <v>-0.1266968325791855</v>
      </c>
      <c r="J125" s="30" t="n">
        <v>61090</v>
      </c>
      <c r="K125" s="30" t="n">
        <v>56925.83333333334</v>
      </c>
      <c r="L125" s="30" t="n">
        <v>50178.75</v>
      </c>
      <c r="M125" s="35" t="n">
        <v>0.6661342903903565</v>
      </c>
      <c r="N125" s="35" t="n">
        <v>0.6160475222733678</v>
      </c>
      <c r="O125" s="35" t="n">
        <v>-0.04769736842105265</v>
      </c>
      <c r="P125" s="35" t="n">
        <v>0.006956521739130528</v>
      </c>
      <c r="Q125" s="35" t="n">
        <v>1.176691729323308</v>
      </c>
      <c r="R125" s="35" t="n">
        <v>-0.05221803895891308</v>
      </c>
      <c r="S125" s="35" t="n">
        <v>0.01711291007304827</v>
      </c>
      <c r="T125" s="35" t="n">
        <v>0.1538748972423585</v>
      </c>
      <c r="U125" s="30" t="n">
        <v>66300</v>
      </c>
      <c r="V125" s="30" t="n">
        <v>11300</v>
      </c>
      <c r="W125" s="35" t="n">
        <v>-0.1266968325791855</v>
      </c>
      <c r="X125" s="35" t="n">
        <v>4.123893805309734</v>
      </c>
      <c r="Y125" s="30" t="n">
        <v>95312200</v>
      </c>
      <c r="Z125" s="30" t="n">
        <v>5518576380000</v>
      </c>
      <c r="AA125" s="30" t="n">
        <v>34817122800</v>
      </c>
      <c r="AB125" s="30" t="n">
        <v>104622751830</v>
      </c>
      <c r="AC125" s="35" t="n">
        <v>0.006309076907258462</v>
      </c>
      <c r="AD125" s="24" t="inlineStr">
        <is>
          <t>yfinance_download</t>
        </is>
      </c>
      <c r="AE125" s="24" t="inlineStr">
        <is>
          <t>042700.KS</t>
        </is>
      </c>
    </row>
    <row r="126" ht="24" customHeight="1">
      <c r="A126" s="29" t="inlineStr">
        <is>
          <t>2023-12-07</t>
        </is>
      </c>
      <c r="B126" s="31" t="n">
        <v>57200</v>
      </c>
      <c r="C126" s="31" t="n">
        <v>59500</v>
      </c>
      <c r="D126" s="31" t="n">
        <v>57100</v>
      </c>
      <c r="E126" s="31" t="n">
        <v>58900</v>
      </c>
      <c r="F126" s="31" t="n">
        <v>57995.40234375</v>
      </c>
      <c r="G126" s="31" t="n">
        <v>685390</v>
      </c>
      <c r="H126" s="36" t="n">
        <v>0.01727115716753014</v>
      </c>
      <c r="I126" s="36" t="n">
        <v>-0.1116138763197587</v>
      </c>
      <c r="J126" s="31" t="n">
        <v>60960</v>
      </c>
      <c r="K126" s="31" t="n">
        <v>56952.5</v>
      </c>
      <c r="L126" s="31" t="n">
        <v>50450</v>
      </c>
      <c r="M126" s="36" t="n">
        <v>0.6679460025280175</v>
      </c>
      <c r="N126" s="36" t="n">
        <v>0.6168898780659587</v>
      </c>
      <c r="O126" s="36" t="n">
        <v>-0.04227642276422761</v>
      </c>
      <c r="P126" s="36" t="n">
        <v>0.02792321116928442</v>
      </c>
      <c r="Q126" s="36" t="n">
        <v>1.235294117647059</v>
      </c>
      <c r="R126" s="36" t="n">
        <v>-0.03379265091863515</v>
      </c>
      <c r="S126" s="36" t="n">
        <v>0.03419516263552969</v>
      </c>
      <c r="T126" s="36" t="n">
        <v>0.1674925668979188</v>
      </c>
      <c r="U126" s="31" t="n">
        <v>66300</v>
      </c>
      <c r="V126" s="31" t="n">
        <v>11300</v>
      </c>
      <c r="W126" s="36" t="n">
        <v>-0.1116138763197587</v>
      </c>
      <c r="X126" s="36" t="n">
        <v>4.212389380530974</v>
      </c>
      <c r="Y126" s="31" t="n">
        <v>95312200</v>
      </c>
      <c r="Z126" s="31" t="n">
        <v>5613888580000</v>
      </c>
      <c r="AA126" s="31" t="n">
        <v>40369471000</v>
      </c>
      <c r="AB126" s="31" t="n">
        <v>102536466305</v>
      </c>
      <c r="AC126" s="36" t="n">
        <v>0.007190999683146544</v>
      </c>
      <c r="AD126" s="29" t="inlineStr">
        <is>
          <t>yfinance_download</t>
        </is>
      </c>
      <c r="AE126" s="29" t="inlineStr">
        <is>
          <t>042700.KS</t>
        </is>
      </c>
    </row>
    <row r="127" ht="24" customHeight="1">
      <c r="A127" s="24" t="inlineStr">
        <is>
          <t>2023-12-08</t>
        </is>
      </c>
      <c r="B127" s="30" t="n">
        <v>60400</v>
      </c>
      <c r="C127" s="30" t="n">
        <v>60800</v>
      </c>
      <c r="D127" s="30" t="n">
        <v>59100</v>
      </c>
      <c r="E127" s="30" t="n">
        <v>60300</v>
      </c>
      <c r="F127" s="30" t="n">
        <v>59373.90234375</v>
      </c>
      <c r="G127" s="30" t="n">
        <v>737859</v>
      </c>
      <c r="H127" s="35" t="n">
        <v>0.02376910016977929</v>
      </c>
      <c r="I127" s="35" t="n">
        <v>-0.0904977375565611</v>
      </c>
      <c r="J127" s="30" t="n">
        <v>60660</v>
      </c>
      <c r="K127" s="30" t="n">
        <v>57054.16666666666</v>
      </c>
      <c r="L127" s="30" t="n">
        <v>50709.58333333334</v>
      </c>
      <c r="M127" s="35" t="n">
        <v>0.6074887598305417</v>
      </c>
      <c r="N127" s="35" t="n">
        <v>0.6076414799161743</v>
      </c>
      <c r="O127" s="35" t="n">
        <v>-0.0904977375565611</v>
      </c>
      <c r="P127" s="35" t="n">
        <v>0.1125461254612545</v>
      </c>
      <c r="Q127" s="35" t="n">
        <v>1.06861063464837</v>
      </c>
      <c r="R127" s="35" t="n">
        <v>-0.005934718100890191</v>
      </c>
      <c r="S127" s="35" t="n">
        <v>0.05689038194698015</v>
      </c>
      <c r="T127" s="35" t="n">
        <v>0.1891243436891448</v>
      </c>
      <c r="U127" s="30" t="n">
        <v>66300</v>
      </c>
      <c r="V127" s="30" t="n">
        <v>11300</v>
      </c>
      <c r="W127" s="35" t="n">
        <v>-0.0904977375565611</v>
      </c>
      <c r="X127" s="35" t="n">
        <v>4.336283185840708</v>
      </c>
      <c r="Y127" s="30" t="n">
        <v>95312200</v>
      </c>
      <c r="Z127" s="30" t="n">
        <v>5747325660000</v>
      </c>
      <c r="AA127" s="30" t="n">
        <v>44492897700</v>
      </c>
      <c r="AB127" s="30" t="n">
        <v>91131084260</v>
      </c>
      <c r="AC127" s="35" t="n">
        <v>0.007741495842085273</v>
      </c>
      <c r="AD127" s="24" t="inlineStr">
        <is>
          <t>yfinance_download</t>
        </is>
      </c>
      <c r="AE127" s="24" t="inlineStr">
        <is>
          <t>042700.KS</t>
        </is>
      </c>
    </row>
    <row r="128" ht="24" customHeight="1">
      <c r="A128" s="29" t="inlineStr">
        <is>
          <t>2023-12-11</t>
        </is>
      </c>
      <c r="B128" s="31" t="n">
        <v>60600</v>
      </c>
      <c r="C128" s="31" t="n">
        <v>60600</v>
      </c>
      <c r="D128" s="31" t="n">
        <v>58700</v>
      </c>
      <c r="E128" s="31" t="n">
        <v>58900</v>
      </c>
      <c r="F128" s="31" t="n">
        <v>57995.40234375</v>
      </c>
      <c r="G128" s="31" t="n">
        <v>504953</v>
      </c>
      <c r="H128" s="36" t="n">
        <v>-0.02321724709784412</v>
      </c>
      <c r="I128" s="36" t="n">
        <v>-0.1116138763197587</v>
      </c>
      <c r="J128" s="31" t="n">
        <v>60715</v>
      </c>
      <c r="K128" s="31" t="n">
        <v>57147.5</v>
      </c>
      <c r="L128" s="31" t="n">
        <v>50957.91666666666</v>
      </c>
      <c r="M128" s="36" t="n">
        <v>0.4025262217164051</v>
      </c>
      <c r="N128" s="36" t="n">
        <v>0.608680003127031</v>
      </c>
      <c r="O128" s="36" t="n">
        <v>0.01903114186851207</v>
      </c>
      <c r="P128" s="36" t="n">
        <v>0.1050656660412759</v>
      </c>
      <c r="Q128" s="36" t="n">
        <v>1.024054982817869</v>
      </c>
      <c r="R128" s="36" t="n">
        <v>-0.0298937659556946</v>
      </c>
      <c r="S128" s="36" t="n">
        <v>0.03066625836650783</v>
      </c>
      <c r="T128" s="36" t="n">
        <v>0.1558557306273969</v>
      </c>
      <c r="U128" s="31" t="n">
        <v>66300</v>
      </c>
      <c r="V128" s="31" t="n">
        <v>11300</v>
      </c>
      <c r="W128" s="36" t="n">
        <v>-0.1116138763197587</v>
      </c>
      <c r="X128" s="36" t="n">
        <v>4.212389380530974</v>
      </c>
      <c r="Y128" s="31" t="n">
        <v>95312200</v>
      </c>
      <c r="Z128" s="31" t="n">
        <v>5613888580000</v>
      </c>
      <c r="AA128" s="31" t="n">
        <v>29741731700</v>
      </c>
      <c r="AB128" s="31" t="n">
        <v>71871378155</v>
      </c>
      <c r="AC128" s="36" t="n">
        <v>0.005297884216291304</v>
      </c>
      <c r="AD128" s="29" t="inlineStr">
        <is>
          <t>yfinance_download</t>
        </is>
      </c>
      <c r="AE128" s="29" t="inlineStr">
        <is>
          <t>042700.KS</t>
        </is>
      </c>
    </row>
    <row r="129" ht="24" customHeight="1">
      <c r="A129" s="24" t="inlineStr">
        <is>
          <t>2023-12-12</t>
        </is>
      </c>
      <c r="B129" s="30" t="n">
        <v>59500</v>
      </c>
      <c r="C129" s="30" t="n">
        <v>60000</v>
      </c>
      <c r="D129" s="30" t="n">
        <v>58700</v>
      </c>
      <c r="E129" s="30" t="n">
        <v>58900</v>
      </c>
      <c r="F129" s="30" t="n">
        <v>57995.40234375</v>
      </c>
      <c r="G129" s="30" t="n">
        <v>517824</v>
      </c>
      <c r="H129" s="35" t="n">
        <v>0</v>
      </c>
      <c r="I129" s="35" t="n">
        <v>-0.1116138763197587</v>
      </c>
      <c r="J129" s="30" t="n">
        <v>60685</v>
      </c>
      <c r="K129" s="30" t="n">
        <v>57249.16666666666</v>
      </c>
      <c r="L129" s="30" t="n">
        <v>51204.58333333334</v>
      </c>
      <c r="M129" s="35" t="n">
        <v>0.3885273326100779</v>
      </c>
      <c r="N129" s="35" t="n">
        <v>0.6082080916040409</v>
      </c>
      <c r="O129" s="35" t="n">
        <v>-0.01008403361344534</v>
      </c>
      <c r="P129" s="35" t="n">
        <v>0.115530303030303</v>
      </c>
      <c r="Q129" s="35" t="n">
        <v>1.010238907849829</v>
      </c>
      <c r="R129" s="35" t="n">
        <v>-0.02941418802010376</v>
      </c>
      <c r="S129" s="35" t="n">
        <v>0.02883593647651361</v>
      </c>
      <c r="T129" s="35" t="n">
        <v>0.1502876532862454</v>
      </c>
      <c r="U129" s="30" t="n">
        <v>66300</v>
      </c>
      <c r="V129" s="30" t="n">
        <v>11300</v>
      </c>
      <c r="W129" s="35" t="n">
        <v>-0.1116138763197587</v>
      </c>
      <c r="X129" s="35" t="n">
        <v>4.212389380530974</v>
      </c>
      <c r="Y129" s="30" t="n">
        <v>95312200</v>
      </c>
      <c r="Z129" s="30" t="n">
        <v>5613888580000</v>
      </c>
      <c r="AA129" s="30" t="n">
        <v>30499833600</v>
      </c>
      <c r="AB129" s="30" t="n">
        <v>66653231860</v>
      </c>
      <c r="AC129" s="35" t="n">
        <v>0.005432924641336576</v>
      </c>
      <c r="AD129" s="24" t="inlineStr">
        <is>
          <t>yfinance_download</t>
        </is>
      </c>
      <c r="AE129" s="24" t="inlineStr">
        <is>
          <t>042700.KS</t>
        </is>
      </c>
    </row>
    <row r="130" ht="24" customHeight="1">
      <c r="A130" s="29" t="inlineStr">
        <is>
          <t>2023-12-13</t>
        </is>
      </c>
      <c r="B130" s="31" t="n">
        <v>58900</v>
      </c>
      <c r="C130" s="31" t="n">
        <v>59100</v>
      </c>
      <c r="D130" s="31" t="n">
        <v>57700</v>
      </c>
      <c r="E130" s="31" t="n">
        <v>58600</v>
      </c>
      <c r="F130" s="31" t="n">
        <v>57700.01171875</v>
      </c>
      <c r="G130" s="31" t="n">
        <v>510213</v>
      </c>
      <c r="H130" s="36" t="n">
        <v>-0.005093378607809895</v>
      </c>
      <c r="I130" s="36" t="n">
        <v>-0.1161387631975868</v>
      </c>
      <c r="J130" s="31" t="n">
        <v>60500</v>
      </c>
      <c r="K130" s="31" t="n">
        <v>57340.83333333334</v>
      </c>
      <c r="L130" s="31" t="n">
        <v>51435.41666666666</v>
      </c>
      <c r="M130" s="36" t="n">
        <v>0.3461405204872453</v>
      </c>
      <c r="N130" s="36" t="n">
        <v>0.6083722683872008</v>
      </c>
      <c r="O130" s="36" t="n">
        <v>-0.0593900481540931</v>
      </c>
      <c r="P130" s="36" t="n">
        <v>0.103578154425612</v>
      </c>
      <c r="Q130" s="36" t="n">
        <v>0.8964401294498381</v>
      </c>
      <c r="R130" s="36" t="n">
        <v>-0.031404958677686</v>
      </c>
      <c r="S130" s="36" t="n">
        <v>0.02195933671467398</v>
      </c>
      <c r="T130" s="36" t="n">
        <v>0.1392928024626352</v>
      </c>
      <c r="U130" s="31" t="n">
        <v>66300</v>
      </c>
      <c r="V130" s="31" t="n">
        <v>11300</v>
      </c>
      <c r="W130" s="36" t="n">
        <v>-0.1161387631975868</v>
      </c>
      <c r="X130" s="36" t="n">
        <v>4.185840707964601</v>
      </c>
      <c r="Y130" s="31" t="n">
        <v>95312200</v>
      </c>
      <c r="Z130" s="31" t="n">
        <v>5585294920000</v>
      </c>
      <c r="AA130" s="31" t="n">
        <v>29898481800</v>
      </c>
      <c r="AB130" s="31" t="n">
        <v>59581840535</v>
      </c>
      <c r="AC130" s="36" t="n">
        <v>0.005353071275240735</v>
      </c>
      <c r="AD130" s="29" t="inlineStr">
        <is>
          <t>yfinance_download</t>
        </is>
      </c>
      <c r="AE130" s="29" t="inlineStr">
        <is>
          <t>042700.KS</t>
        </is>
      </c>
    </row>
    <row r="131" ht="24" customHeight="1">
      <c r="A131" s="24" t="inlineStr">
        <is>
          <t>2023-12-14</t>
        </is>
      </c>
      <c r="B131" s="30" t="n">
        <v>59400</v>
      </c>
      <c r="C131" s="30" t="n">
        <v>59500</v>
      </c>
      <c r="D131" s="30" t="n">
        <v>57100</v>
      </c>
      <c r="E131" s="30" t="n">
        <v>59200</v>
      </c>
      <c r="F131" s="30" t="n">
        <v>58290.79296875</v>
      </c>
      <c r="G131" s="30" t="n">
        <v>1123569</v>
      </c>
      <c r="H131" s="35" t="n">
        <v>0.01023890784982928</v>
      </c>
      <c r="I131" s="35" t="n">
        <v>-0.1070889894419306</v>
      </c>
      <c r="J131" s="30" t="n">
        <v>60340</v>
      </c>
      <c r="K131" s="30" t="n">
        <v>57430.83333333334</v>
      </c>
      <c r="L131" s="30" t="n">
        <v>51685.41666666666</v>
      </c>
      <c r="M131" s="35" t="n">
        <v>0.3489533530220721</v>
      </c>
      <c r="N131" s="35" t="n">
        <v>0.6081787726166984</v>
      </c>
      <c r="O131" s="35" t="n">
        <v>-0.05128205128205132</v>
      </c>
      <c r="P131" s="35" t="n">
        <v>0.1003717472118959</v>
      </c>
      <c r="Q131" s="35" t="n">
        <v>1.027397260273973</v>
      </c>
      <c r="R131" s="35" t="n">
        <v>-0.01889294000662911</v>
      </c>
      <c r="S131" s="35" t="n">
        <v>0.03080517143810657</v>
      </c>
      <c r="T131" s="35" t="n">
        <v>0.1453907856019994</v>
      </c>
      <c r="U131" s="30" t="n">
        <v>66300</v>
      </c>
      <c r="V131" s="30" t="n">
        <v>11300</v>
      </c>
      <c r="W131" s="35" t="n">
        <v>-0.1070889894419306</v>
      </c>
      <c r="X131" s="35" t="n">
        <v>4.238938053097345</v>
      </c>
      <c r="Y131" s="30" t="n">
        <v>95312200</v>
      </c>
      <c r="Z131" s="30" t="n">
        <v>5642482240000</v>
      </c>
      <c r="AA131" s="30" t="n">
        <v>66515284800</v>
      </c>
      <c r="AB131" s="30" t="n">
        <v>58104467735</v>
      </c>
      <c r="AC131" s="35" t="n">
        <v>0.01178830202219653</v>
      </c>
      <c r="AD131" s="24" t="inlineStr">
        <is>
          <t>yfinance_download</t>
        </is>
      </c>
      <c r="AE131" s="24" t="inlineStr">
        <is>
          <t>042700.KS</t>
        </is>
      </c>
    </row>
    <row r="132" ht="24" customHeight="1">
      <c r="A132" s="29" t="inlineStr">
        <is>
          <t>2023-12-15</t>
        </is>
      </c>
      <c r="B132" s="31" t="n">
        <v>59400</v>
      </c>
      <c r="C132" s="31" t="n">
        <v>60000</v>
      </c>
      <c r="D132" s="31" t="n">
        <v>57500</v>
      </c>
      <c r="E132" s="31" t="n">
        <v>58300</v>
      </c>
      <c r="F132" s="31" t="n">
        <v>57404.6171875</v>
      </c>
      <c r="G132" s="31" t="n">
        <v>1093605</v>
      </c>
      <c r="H132" s="36" t="n">
        <v>-0.01520270270270274</v>
      </c>
      <c r="I132" s="36" t="n">
        <v>-0.1206636500754148</v>
      </c>
      <c r="J132" s="31" t="n">
        <v>60115</v>
      </c>
      <c r="K132" s="31" t="n">
        <v>57500.83333333334</v>
      </c>
      <c r="L132" s="31" t="n">
        <v>51929.16666666666</v>
      </c>
      <c r="M132" s="36" t="n">
        <v>0.3501479294404919</v>
      </c>
      <c r="N132" s="36" t="n">
        <v>0.6091943746770672</v>
      </c>
      <c r="O132" s="36" t="n">
        <v>-0.07165605095541405</v>
      </c>
      <c r="P132" s="36" t="n">
        <v>0.07763401109057311</v>
      </c>
      <c r="Q132" s="36" t="n">
        <v>1.006884681583477</v>
      </c>
      <c r="R132" s="36" t="n">
        <v>-0.03019213174748403</v>
      </c>
      <c r="S132" s="36" t="n">
        <v>0.01389834929928546</v>
      </c>
      <c r="T132" s="36" t="n">
        <v>0.1226831421006178</v>
      </c>
      <c r="U132" s="31" t="n">
        <v>66300</v>
      </c>
      <c r="V132" s="31" t="n">
        <v>11300</v>
      </c>
      <c r="W132" s="36" t="n">
        <v>-0.1206636500754148</v>
      </c>
      <c r="X132" s="36" t="n">
        <v>4.15929203539823</v>
      </c>
      <c r="Y132" s="31" t="n">
        <v>95312200</v>
      </c>
      <c r="Z132" s="31" t="n">
        <v>5556701260000</v>
      </c>
      <c r="AA132" s="31" t="n">
        <v>63757171500</v>
      </c>
      <c r="AB132" s="31" t="n">
        <v>56582351430</v>
      </c>
      <c r="AC132" s="36" t="n">
        <v>0.01147392463923821</v>
      </c>
      <c r="AD132" s="29" t="inlineStr">
        <is>
          <t>yfinance_download</t>
        </is>
      </c>
      <c r="AE132" s="29" t="inlineStr">
        <is>
          <t>042700.KS</t>
        </is>
      </c>
    </row>
    <row r="133" ht="24" customHeight="1">
      <c r="A133" s="24" t="inlineStr">
        <is>
          <t>2023-12-18</t>
        </is>
      </c>
      <c r="B133" s="30" t="n">
        <v>58800</v>
      </c>
      <c r="C133" s="30" t="n">
        <v>59500</v>
      </c>
      <c r="D133" s="30" t="n">
        <v>58300</v>
      </c>
      <c r="E133" s="30" t="n">
        <v>58300</v>
      </c>
      <c r="F133" s="30" t="n">
        <v>57404.6171875</v>
      </c>
      <c r="G133" s="30" t="n">
        <v>709418</v>
      </c>
      <c r="H133" s="35" t="n">
        <v>0</v>
      </c>
      <c r="I133" s="35" t="n">
        <v>-0.1206636500754148</v>
      </c>
      <c r="J133" s="30" t="n">
        <v>59930</v>
      </c>
      <c r="K133" s="30" t="n">
        <v>57634.16666666666</v>
      </c>
      <c r="L133" s="30" t="n">
        <v>52162.08333333334</v>
      </c>
      <c r="M133" s="35" t="n">
        <v>0.348596518409331</v>
      </c>
      <c r="N133" s="35" t="n">
        <v>0.5903442988609119</v>
      </c>
      <c r="O133" s="35" t="n">
        <v>-0.05967741935483872</v>
      </c>
      <c r="P133" s="35" t="n">
        <v>0.1590457256461233</v>
      </c>
      <c r="Q133" s="35" t="n">
        <v>0.9209225700164745</v>
      </c>
      <c r="R133" s="35" t="n">
        <v>-0.02719839813115299</v>
      </c>
      <c r="S133" s="35" t="n">
        <v>0.01155275371958187</v>
      </c>
      <c r="T133" s="35" t="n">
        <v>0.1176700828347539</v>
      </c>
      <c r="U133" s="30" t="n">
        <v>66300</v>
      </c>
      <c r="V133" s="30" t="n">
        <v>11300</v>
      </c>
      <c r="W133" s="35" t="n">
        <v>-0.1206636500754148</v>
      </c>
      <c r="X133" s="35" t="n">
        <v>4.15929203539823</v>
      </c>
      <c r="Y133" s="30" t="n">
        <v>95312200</v>
      </c>
      <c r="Z133" s="30" t="n">
        <v>5556701260000</v>
      </c>
      <c r="AA133" s="30" t="n">
        <v>41359069400</v>
      </c>
      <c r="AB133" s="30" t="n">
        <v>54757142000</v>
      </c>
      <c r="AC133" s="35" t="n">
        <v>0.007443097525815163</v>
      </c>
      <c r="AD133" s="24" t="inlineStr">
        <is>
          <t>yfinance_download</t>
        </is>
      </c>
      <c r="AE133" s="24" t="inlineStr">
        <is>
          <t>042700.KS</t>
        </is>
      </c>
    </row>
    <row r="134" ht="24" customHeight="1">
      <c r="A134" s="29" t="inlineStr">
        <is>
          <t>2023-12-19</t>
        </is>
      </c>
      <c r="B134" s="31" t="n">
        <v>58800</v>
      </c>
      <c r="C134" s="31" t="n">
        <v>59500</v>
      </c>
      <c r="D134" s="31" t="n">
        <v>58300</v>
      </c>
      <c r="E134" s="31" t="n">
        <v>58900</v>
      </c>
      <c r="F134" s="31" t="n">
        <v>57995.40234375</v>
      </c>
      <c r="G134" s="31" t="n">
        <v>591248</v>
      </c>
      <c r="H134" s="36" t="n">
        <v>0.01029159519725553</v>
      </c>
      <c r="I134" s="36" t="n">
        <v>-0.1116138763197587</v>
      </c>
      <c r="J134" s="31" t="n">
        <v>59800</v>
      </c>
      <c r="K134" s="31" t="n">
        <v>57790</v>
      </c>
      <c r="L134" s="31" t="n">
        <v>52397.5</v>
      </c>
      <c r="M134" s="36" t="n">
        <v>0.3510307212641561</v>
      </c>
      <c r="N134" s="36" t="n">
        <v>0.5893096822903874</v>
      </c>
      <c r="O134" s="36" t="n">
        <v>-0.04227642276422761</v>
      </c>
      <c r="P134" s="36" t="n">
        <v>0.1886982845610494</v>
      </c>
      <c r="Q134" s="36" t="n">
        <v>0.9216965742251224</v>
      </c>
      <c r="R134" s="36" t="n">
        <v>-0.01505016722408026</v>
      </c>
      <c r="S134" s="36" t="n">
        <v>0.0192074753417546</v>
      </c>
      <c r="T134" s="36" t="n">
        <v>0.1240994322248199</v>
      </c>
      <c r="U134" s="31" t="n">
        <v>66300</v>
      </c>
      <c r="V134" s="31" t="n">
        <v>11300</v>
      </c>
      <c r="W134" s="36" t="n">
        <v>-0.1116138763197587</v>
      </c>
      <c r="X134" s="36" t="n">
        <v>4.212389380530974</v>
      </c>
      <c r="Y134" s="31" t="n">
        <v>95312200</v>
      </c>
      <c r="Z134" s="31" t="n">
        <v>5613888580000</v>
      </c>
      <c r="AA134" s="31" t="n">
        <v>34824507200</v>
      </c>
      <c r="AB134" s="31" t="n">
        <v>52583806260</v>
      </c>
      <c r="AC134" s="36" t="n">
        <v>0.006203277229987347</v>
      </c>
      <c r="AD134" s="29" t="inlineStr">
        <is>
          <t>yfinance_download</t>
        </is>
      </c>
      <c r="AE134" s="29" t="inlineStr">
        <is>
          <t>042700.KS</t>
        </is>
      </c>
    </row>
    <row r="135" ht="24" customHeight="1">
      <c r="A135" s="24" t="inlineStr">
        <is>
          <t>2023-12-20</t>
        </is>
      </c>
      <c r="B135" s="30" t="n">
        <v>59100</v>
      </c>
      <c r="C135" s="30" t="n">
        <v>59300</v>
      </c>
      <c r="D135" s="30" t="n">
        <v>58200</v>
      </c>
      <c r="E135" s="30" t="n">
        <v>58700</v>
      </c>
      <c r="F135" s="30" t="n">
        <v>57798.47265625</v>
      </c>
      <c r="G135" s="30" t="n">
        <v>618915</v>
      </c>
      <c r="H135" s="35" t="n">
        <v>-0.00339558573853993</v>
      </c>
      <c r="I135" s="35" t="n">
        <v>-0.1146304675716441</v>
      </c>
      <c r="J135" s="30" t="n">
        <v>59650</v>
      </c>
      <c r="K135" s="30" t="n">
        <v>57940</v>
      </c>
      <c r="L135" s="30" t="n">
        <v>52635.83333333334</v>
      </c>
      <c r="M135" s="35" t="n">
        <v>0.3505231069803212</v>
      </c>
      <c r="N135" s="35" t="n">
        <v>0.5894819129733401</v>
      </c>
      <c r="O135" s="35" t="n">
        <v>-0.0486223662884927</v>
      </c>
      <c r="P135" s="35" t="n">
        <v>0.1810865191146882</v>
      </c>
      <c r="Q135" s="35" t="n">
        <v>0.9501661129568106</v>
      </c>
      <c r="R135" s="35" t="n">
        <v>-0.0159262363788768</v>
      </c>
      <c r="S135" s="35" t="n">
        <v>0.01311701760441841</v>
      </c>
      <c r="T135" s="35" t="n">
        <v>0.1152098538701454</v>
      </c>
      <c r="U135" s="30" t="n">
        <v>66300</v>
      </c>
      <c r="V135" s="30" t="n">
        <v>11300</v>
      </c>
      <c r="W135" s="35" t="n">
        <v>-0.1146304675716441</v>
      </c>
      <c r="X135" s="35" t="n">
        <v>4.194690265486726</v>
      </c>
      <c r="Y135" s="30" t="n">
        <v>95312200</v>
      </c>
      <c r="Z135" s="30" t="n">
        <v>5594826140000</v>
      </c>
      <c r="AA135" s="30" t="n">
        <v>36330310500</v>
      </c>
      <c r="AB135" s="30" t="n">
        <v>50620675420</v>
      </c>
      <c r="AC135" s="35" t="n">
        <v>0.006493554864959575</v>
      </c>
      <c r="AD135" s="24" t="inlineStr">
        <is>
          <t>yfinance_download</t>
        </is>
      </c>
      <c r="AE135" s="24" t="inlineStr">
        <is>
          <t>042700.KS</t>
        </is>
      </c>
    </row>
    <row r="136" ht="24" customHeight="1">
      <c r="A136" s="29" t="inlineStr">
        <is>
          <t>2023-12-21</t>
        </is>
      </c>
      <c r="B136" s="31" t="n">
        <v>58300</v>
      </c>
      <c r="C136" s="31" t="n">
        <v>59200</v>
      </c>
      <c r="D136" s="31" t="n">
        <v>58000</v>
      </c>
      <c r="E136" s="31" t="n">
        <v>59200</v>
      </c>
      <c r="F136" s="31" t="n">
        <v>58290.79296875</v>
      </c>
      <c r="G136" s="31" t="n">
        <v>530702</v>
      </c>
      <c r="H136" s="36" t="n">
        <v>0.008517887563884052</v>
      </c>
      <c r="I136" s="36" t="n">
        <v>-0.1070889894419306</v>
      </c>
      <c r="J136" s="31" t="n">
        <v>59625</v>
      </c>
      <c r="K136" s="31" t="n">
        <v>58119.16666666666</v>
      </c>
      <c r="L136" s="31" t="n">
        <v>52880.83333333334</v>
      </c>
      <c r="M136" s="36" t="n">
        <v>0.3335159231338275</v>
      </c>
      <c r="N136" s="36" t="n">
        <v>0.5865325296455917</v>
      </c>
      <c r="O136" s="36" t="n">
        <v>-0.008375209380234505</v>
      </c>
      <c r="P136" s="36" t="n">
        <v>0.2218782249742002</v>
      </c>
      <c r="Q136" s="36" t="n">
        <v>0.9865771812080537</v>
      </c>
      <c r="R136" s="36" t="n">
        <v>-0.007127882599580748</v>
      </c>
      <c r="S136" s="36" t="n">
        <v>0.01859684842923315</v>
      </c>
      <c r="T136" s="36" t="n">
        <v>0.1194982429046441</v>
      </c>
      <c r="U136" s="31" t="n">
        <v>66300</v>
      </c>
      <c r="V136" s="31" t="n">
        <v>11300</v>
      </c>
      <c r="W136" s="36" t="n">
        <v>-0.1070889894419306</v>
      </c>
      <c r="X136" s="36" t="n">
        <v>4.238938053097345</v>
      </c>
      <c r="Y136" s="31" t="n">
        <v>95312200</v>
      </c>
      <c r="Z136" s="31" t="n">
        <v>5642482240000</v>
      </c>
      <c r="AA136" s="31" t="n">
        <v>31417558400</v>
      </c>
      <c r="AB136" s="31" t="n">
        <v>48662029640</v>
      </c>
      <c r="AC136" s="36" t="n">
        <v>0.005568038509235963</v>
      </c>
      <c r="AD136" s="29" t="inlineStr">
        <is>
          <t>yfinance_download</t>
        </is>
      </c>
      <c r="AE136" s="29" t="inlineStr">
        <is>
          <t>042700.KS</t>
        </is>
      </c>
    </row>
    <row r="137" ht="24" customHeight="1">
      <c r="A137" s="24" t="inlineStr">
        <is>
          <t>2023-12-22</t>
        </is>
      </c>
      <c r="B137" s="30" t="n">
        <v>60100</v>
      </c>
      <c r="C137" s="30" t="n">
        <v>60400</v>
      </c>
      <c r="D137" s="30" t="n">
        <v>58600</v>
      </c>
      <c r="E137" s="30" t="n">
        <v>58600</v>
      </c>
      <c r="F137" s="30" t="n">
        <v>57700.01171875</v>
      </c>
      <c r="G137" s="30" t="n">
        <v>597400</v>
      </c>
      <c r="H137" s="35" t="n">
        <v>-0.01013513513513509</v>
      </c>
      <c r="I137" s="35" t="n">
        <v>-0.1161387631975868</v>
      </c>
      <c r="J137" s="30" t="n">
        <v>59515</v>
      </c>
      <c r="K137" s="30" t="n">
        <v>58265.83333333334</v>
      </c>
      <c r="L137" s="30" t="n">
        <v>53117.5</v>
      </c>
      <c r="M137" s="35" t="n">
        <v>0.3277068352268867</v>
      </c>
      <c r="N137" s="35" t="n">
        <v>0.5851037376233195</v>
      </c>
      <c r="O137" s="35" t="n">
        <v>-0.03618421052631582</v>
      </c>
      <c r="P137" s="35" t="n">
        <v>0.1767068273092369</v>
      </c>
      <c r="Q137" s="35" t="n">
        <v>0.9403973509933774</v>
      </c>
      <c r="R137" s="35" t="n">
        <v>-0.01537427539275815</v>
      </c>
      <c r="S137" s="35" t="n">
        <v>0.005735207883407867</v>
      </c>
      <c r="T137" s="35" t="n">
        <v>0.1032145714689132</v>
      </c>
      <c r="U137" s="30" t="n">
        <v>66300</v>
      </c>
      <c r="V137" s="30" t="n">
        <v>11300</v>
      </c>
      <c r="W137" s="35" t="n">
        <v>-0.1161387631975868</v>
      </c>
      <c r="X137" s="35" t="n">
        <v>4.185840707964601</v>
      </c>
      <c r="Y137" s="30" t="n">
        <v>95312200</v>
      </c>
      <c r="Z137" s="30" t="n">
        <v>5585294920000</v>
      </c>
      <c r="AA137" s="30" t="n">
        <v>35007640000</v>
      </c>
      <c r="AB137" s="30" t="n">
        <v>48241277080</v>
      </c>
      <c r="AC137" s="35" t="n">
        <v>0.006267823006918317</v>
      </c>
      <c r="AD137" s="24" t="inlineStr">
        <is>
          <t>yfinance_download</t>
        </is>
      </c>
      <c r="AE137" s="24" t="inlineStr">
        <is>
          <t>042700.KS</t>
        </is>
      </c>
    </row>
    <row r="138" ht="24" customHeight="1">
      <c r="A138" s="29" t="inlineStr">
        <is>
          <t>2023-12-26</t>
        </is>
      </c>
      <c r="B138" s="31" t="n">
        <v>58500</v>
      </c>
      <c r="C138" s="31" t="n">
        <v>59000</v>
      </c>
      <c r="D138" s="31" t="n">
        <v>54000</v>
      </c>
      <c r="E138" s="31" t="n">
        <v>57600</v>
      </c>
      <c r="F138" s="31" t="n">
        <v>56715.3671875</v>
      </c>
      <c r="G138" s="31" t="n">
        <v>822925</v>
      </c>
      <c r="H138" s="36" t="n">
        <v>-0.01706484641638228</v>
      </c>
      <c r="I138" s="36" t="n">
        <v>-0.1312217194570136</v>
      </c>
      <c r="J138" s="31" t="n">
        <v>59410</v>
      </c>
      <c r="K138" s="31" t="n">
        <v>58395.83333333334</v>
      </c>
      <c r="L138" s="31" t="n">
        <v>53346.25</v>
      </c>
      <c r="M138" s="36" t="n">
        <v>0.327042391941213</v>
      </c>
      <c r="N138" s="36" t="n">
        <v>0.5865694392458852</v>
      </c>
      <c r="O138" s="36" t="n">
        <v>-0.03517587939698497</v>
      </c>
      <c r="P138" s="36" t="n">
        <v>0.1566265060240963</v>
      </c>
      <c r="Q138" s="36" t="n">
        <v>0.9104477611940298</v>
      </c>
      <c r="R138" s="36" t="n">
        <v>-0.03046625147281601</v>
      </c>
      <c r="S138" s="36" t="n">
        <v>-0.01362825544059942</v>
      </c>
      <c r="T138" s="36" t="n">
        <v>0.07973850083182987</v>
      </c>
      <c r="U138" s="31" t="n">
        <v>66300</v>
      </c>
      <c r="V138" s="31" t="n">
        <v>11300</v>
      </c>
      <c r="W138" s="36" t="n">
        <v>-0.1312217194570136</v>
      </c>
      <c r="X138" s="36" t="n">
        <v>4.097345132743363</v>
      </c>
      <c r="Y138" s="31" t="n">
        <v>95312200</v>
      </c>
      <c r="Z138" s="31" t="n">
        <v>5489982720000</v>
      </c>
      <c r="AA138" s="31" t="n">
        <v>47400480000</v>
      </c>
      <c r="AB138" s="31" t="n">
        <v>48276643030</v>
      </c>
      <c r="AC138" s="36" t="n">
        <v>0.008633994388965945</v>
      </c>
      <c r="AD138" s="29" t="inlineStr">
        <is>
          <t>yfinance_download</t>
        </is>
      </c>
      <c r="AE138" s="29" t="inlineStr">
        <is>
          <t>042700.KS</t>
        </is>
      </c>
    </row>
    <row r="139" ht="24" customHeight="1">
      <c r="A139" s="24" t="inlineStr">
        <is>
          <t>2023-12-27</t>
        </is>
      </c>
      <c r="B139" s="30" t="n">
        <v>58400</v>
      </c>
      <c r="C139" s="30" t="n">
        <v>62300</v>
      </c>
      <c r="D139" s="30" t="n">
        <v>58300</v>
      </c>
      <c r="E139" s="30" t="n">
        <v>61500</v>
      </c>
      <c r="F139" s="30" t="n">
        <v>60555.47265625</v>
      </c>
      <c r="G139" s="30" t="n">
        <v>2246859</v>
      </c>
      <c r="H139" s="35" t="n">
        <v>0.06770833333333326</v>
      </c>
      <c r="I139" s="35" t="n">
        <v>-0.07239819004524883</v>
      </c>
      <c r="J139" s="30" t="n">
        <v>59405</v>
      </c>
      <c r="K139" s="30" t="n">
        <v>58580.83333333334</v>
      </c>
      <c r="L139" s="30" t="n">
        <v>53598.75</v>
      </c>
      <c r="M139" s="35" t="n">
        <v>0.3936798139309426</v>
      </c>
      <c r="N139" s="35" t="n">
        <v>0.601105007444384</v>
      </c>
      <c r="O139" s="35" t="n">
        <v>-0.001623376623376638</v>
      </c>
      <c r="P139" s="35" t="n">
        <v>0.2202380952380953</v>
      </c>
      <c r="Q139" s="35" t="n">
        <v>0.9711538461538463</v>
      </c>
      <c r="R139" s="35" t="n">
        <v>0.03526639171786883</v>
      </c>
      <c r="S139" s="35" t="n">
        <v>0.04983142950623787</v>
      </c>
      <c r="T139" s="35" t="n">
        <v>0.1474148184425943</v>
      </c>
      <c r="U139" s="30" t="n">
        <v>66300</v>
      </c>
      <c r="V139" s="30" t="n">
        <v>11300</v>
      </c>
      <c r="W139" s="35" t="n">
        <v>-0.07239819004524883</v>
      </c>
      <c r="X139" s="35" t="n">
        <v>4.442477876106195</v>
      </c>
      <c r="Y139" s="30" t="n">
        <v>95312200</v>
      </c>
      <c r="Z139" s="30" t="n">
        <v>5861700300000</v>
      </c>
      <c r="AA139" s="30" t="n">
        <v>138181828500</v>
      </c>
      <c r="AB139" s="30" t="n">
        <v>51853805855</v>
      </c>
      <c r="AC139" s="35" t="n">
        <v>0.02357367682206475</v>
      </c>
      <c r="AD139" s="24" t="inlineStr">
        <is>
          <t>yfinance_download</t>
        </is>
      </c>
      <c r="AE139" s="24" t="inlineStr">
        <is>
          <t>042700.KS</t>
        </is>
      </c>
    </row>
    <row r="140" ht="24" customHeight="1">
      <c r="A140" s="29" t="inlineStr">
        <is>
          <t>2023-12-28</t>
        </is>
      </c>
      <c r="B140" s="31" t="n">
        <v>61700</v>
      </c>
      <c r="C140" s="31" t="n">
        <v>64500</v>
      </c>
      <c r="D140" s="31" t="n">
        <v>59600</v>
      </c>
      <c r="E140" s="31" t="n">
        <v>61700</v>
      </c>
      <c r="F140" s="31" t="n">
        <v>60752.3984375</v>
      </c>
      <c r="G140" s="31" t="n">
        <v>1681160</v>
      </c>
      <c r="H140" s="36" t="n">
        <v>0.003252032520325132</v>
      </c>
      <c r="I140" s="36" t="n">
        <v>-0.06938159879336347</v>
      </c>
      <c r="J140" s="31" t="n">
        <v>59435</v>
      </c>
      <c r="K140" s="31" t="n">
        <v>58730.83333333334</v>
      </c>
      <c r="L140" s="31" t="n">
        <v>53850.41666666666</v>
      </c>
      <c r="M140" s="36" t="n">
        <v>0.3925585526687028</v>
      </c>
      <c r="N140" s="36" t="n">
        <v>0.5948193029614912</v>
      </c>
      <c r="O140" s="36" t="n">
        <v>0.009819967266775809</v>
      </c>
      <c r="P140" s="36" t="n">
        <v>0.1707779886148009</v>
      </c>
      <c r="Q140" s="36" t="n">
        <v>0.9587301587301587</v>
      </c>
      <c r="R140" s="36" t="n">
        <v>0.03810885841675771</v>
      </c>
      <c r="S140" s="36" t="n">
        <v>0.0505555003760092</v>
      </c>
      <c r="T140" s="36" t="n">
        <v>0.1457664363475988</v>
      </c>
      <c r="U140" s="31" t="n">
        <v>66300</v>
      </c>
      <c r="V140" s="31" t="n">
        <v>11300</v>
      </c>
      <c r="W140" s="36" t="n">
        <v>-0.06938159879336347</v>
      </c>
      <c r="X140" s="36" t="n">
        <v>4.460176991150442</v>
      </c>
      <c r="Y140" s="31" t="n">
        <v>95312200</v>
      </c>
      <c r="Z140" s="31" t="n">
        <v>5880762740000</v>
      </c>
      <c r="AA140" s="31" t="n">
        <v>103727572000</v>
      </c>
      <c r="AB140" s="31" t="n">
        <v>54513650575</v>
      </c>
      <c r="AC140" s="36" t="n">
        <v>0.01763845551776163</v>
      </c>
      <c r="AD140" s="29" t="inlineStr">
        <is>
          <t>yfinance_download</t>
        </is>
      </c>
      <c r="AE140" s="29" t="inlineStr">
        <is>
          <t>042700.KS</t>
        </is>
      </c>
    </row>
    <row r="141" ht="24" customHeight="1">
      <c r="A141" s="24" t="inlineStr">
        <is>
          <t>2024-01-02</t>
        </is>
      </c>
      <c r="B141" s="30" t="n">
        <v>61700</v>
      </c>
      <c r="C141" s="30" t="n">
        <v>63700</v>
      </c>
      <c r="D141" s="30" t="n">
        <v>60100</v>
      </c>
      <c r="E141" s="30" t="n">
        <v>60800</v>
      </c>
      <c r="F141" s="30" t="n">
        <v>59866.21875</v>
      </c>
      <c r="G141" s="30" t="n">
        <v>1340893</v>
      </c>
      <c r="H141" s="35" t="n">
        <v>-0.01458670988654787</v>
      </c>
      <c r="I141" s="35" t="n">
        <v>-0.0829562594268477</v>
      </c>
      <c r="J141" s="30" t="n">
        <v>59295</v>
      </c>
      <c r="K141" s="30" t="n">
        <v>58840.83333333334</v>
      </c>
      <c r="L141" s="30" t="n">
        <v>54100.83333333334</v>
      </c>
      <c r="M141" s="35" t="n">
        <v>0.3658110534330243</v>
      </c>
      <c r="N141" s="35" t="n">
        <v>0.5935909540040334</v>
      </c>
      <c r="O141" s="35" t="n">
        <v>-0.04402515723270439</v>
      </c>
      <c r="P141" s="35" t="n">
        <v>0.121771217712177</v>
      </c>
      <c r="Q141" s="35" t="n">
        <v>0.9772357723577236</v>
      </c>
      <c r="R141" s="35" t="n">
        <v>0.02538156674255831</v>
      </c>
      <c r="S141" s="35" t="n">
        <v>0.03329603874860143</v>
      </c>
      <c r="T141" s="35" t="n">
        <v>0.1238274210193928</v>
      </c>
      <c r="U141" s="30" t="n">
        <v>66300</v>
      </c>
      <c r="V141" s="30" t="n">
        <v>11300</v>
      </c>
      <c r="W141" s="35" t="n">
        <v>-0.0829562594268477</v>
      </c>
      <c r="X141" s="35" t="n">
        <v>4.380530973451328</v>
      </c>
      <c r="Y141" s="30" t="n">
        <v>95312200</v>
      </c>
      <c r="Z141" s="30" t="n">
        <v>5794981760000</v>
      </c>
      <c r="AA141" s="30" t="n">
        <v>81526294400</v>
      </c>
      <c r="AB141" s="30" t="n">
        <v>53392614635</v>
      </c>
      <c r="AC141" s="35" t="n">
        <v>0.01406842985473004</v>
      </c>
      <c r="AD141" s="24" t="inlineStr">
        <is>
          <t>yfinance_download</t>
        </is>
      </c>
      <c r="AE141" s="24" t="inlineStr">
        <is>
          <t>042700.KS</t>
        </is>
      </c>
    </row>
    <row r="142" ht="24" customHeight="1">
      <c r="A142" s="29" t="inlineStr">
        <is>
          <t>2024-01-03</t>
        </is>
      </c>
      <c r="B142" s="31" t="n">
        <v>59500</v>
      </c>
      <c r="C142" s="31" t="n">
        <v>60600</v>
      </c>
      <c r="D142" s="31" t="n">
        <v>59100</v>
      </c>
      <c r="E142" s="31" t="n">
        <v>59500</v>
      </c>
      <c r="F142" s="31" t="n">
        <v>58586.1875</v>
      </c>
      <c r="G142" s="31" t="n">
        <v>723327</v>
      </c>
      <c r="H142" s="36" t="n">
        <v>-0.02138157894736847</v>
      </c>
      <c r="I142" s="36" t="n">
        <v>-0.1025641025641025</v>
      </c>
      <c r="J142" s="31" t="n">
        <v>59170</v>
      </c>
      <c r="K142" s="31" t="n">
        <v>58947.5</v>
      </c>
      <c r="L142" s="31" t="n">
        <v>54352.91666666666</v>
      </c>
      <c r="M142" s="36" t="n">
        <v>0.3628747238385845</v>
      </c>
      <c r="N142" s="36" t="n">
        <v>0.5937741505216844</v>
      </c>
      <c r="O142" s="36" t="n">
        <v>-0.04032258064516125</v>
      </c>
      <c r="P142" s="36" t="n">
        <v>0.1205273069679849</v>
      </c>
      <c r="Q142" s="36" t="n">
        <v>1.034188034188034</v>
      </c>
      <c r="R142" s="36" t="n">
        <v>0.005577150583065738</v>
      </c>
      <c r="S142" s="36" t="n">
        <v>0.009372746935832676</v>
      </c>
      <c r="T142" s="36" t="n">
        <v>0.09469746333760076</v>
      </c>
      <c r="U142" s="31" t="n">
        <v>66300</v>
      </c>
      <c r="V142" s="31" t="n">
        <v>11300</v>
      </c>
      <c r="W142" s="36" t="n">
        <v>-0.1025641025641025</v>
      </c>
      <c r="X142" s="36" t="n">
        <v>4.265486725663717</v>
      </c>
      <c r="Y142" s="31" t="n">
        <v>95312200</v>
      </c>
      <c r="Z142" s="31" t="n">
        <v>5671075900000</v>
      </c>
      <c r="AA142" s="31" t="n">
        <v>43037956500</v>
      </c>
      <c r="AB142" s="31" t="n">
        <v>53201578960</v>
      </c>
      <c r="AC142" s="36" t="n">
        <v>0.007589028476942091</v>
      </c>
      <c r="AD142" s="29" t="inlineStr">
        <is>
          <t>yfinance_download</t>
        </is>
      </c>
      <c r="AE142" s="29" t="inlineStr">
        <is>
          <t>042700.KS</t>
        </is>
      </c>
    </row>
    <row r="143" ht="24" customHeight="1">
      <c r="A143" s="24" t="inlineStr">
        <is>
          <t>2024-01-04</t>
        </is>
      </c>
      <c r="B143" s="30" t="n">
        <v>59300</v>
      </c>
      <c r="C143" s="30" t="n">
        <v>60000</v>
      </c>
      <c r="D143" s="30" t="n">
        <v>58200</v>
      </c>
      <c r="E143" s="30" t="n">
        <v>59000</v>
      </c>
      <c r="F143" s="30" t="n">
        <v>58093.86328125</v>
      </c>
      <c r="G143" s="30" t="n">
        <v>657612</v>
      </c>
      <c r="H143" s="35" t="n">
        <v>-0.008403361344537785</v>
      </c>
      <c r="I143" s="35" t="n">
        <v>-0.110105580693816</v>
      </c>
      <c r="J143" s="30" t="n">
        <v>59130</v>
      </c>
      <c r="K143" s="30" t="n">
        <v>59045.83333333334</v>
      </c>
      <c r="L143" s="30" t="n">
        <v>54600</v>
      </c>
      <c r="M143" s="35" t="n">
        <v>0.3416574175742009</v>
      </c>
      <c r="N143" s="35" t="n">
        <v>0.5941804266628838</v>
      </c>
      <c r="O143" s="35" t="n">
        <v>-0.01337792642140467</v>
      </c>
      <c r="P143" s="35" t="n">
        <v>0.1111111111111112</v>
      </c>
      <c r="Q143" s="35" t="n">
        <v>1.010221465076661</v>
      </c>
      <c r="R143" s="35" t="n">
        <v>-0.002198545577541067</v>
      </c>
      <c r="S143" s="35" t="n">
        <v>-0.0007762331522123134</v>
      </c>
      <c r="T143" s="35" t="n">
        <v>0.08058608058608052</v>
      </c>
      <c r="U143" s="30" t="n">
        <v>66300</v>
      </c>
      <c r="V143" s="30" t="n">
        <v>11300</v>
      </c>
      <c r="W143" s="35" t="n">
        <v>-0.110105580693816</v>
      </c>
      <c r="X143" s="35" t="n">
        <v>4.221238938053097</v>
      </c>
      <c r="Y143" s="30" t="n">
        <v>95312200</v>
      </c>
      <c r="Z143" s="30" t="n">
        <v>5623419800000</v>
      </c>
      <c r="AA143" s="30" t="n">
        <v>38799108000</v>
      </c>
      <c r="AB143" s="30" t="n">
        <v>51855386820</v>
      </c>
      <c r="AC143" s="35" t="n">
        <v>0.006899557454344774</v>
      </c>
      <c r="AD143" s="24" t="inlineStr">
        <is>
          <t>yfinance_download</t>
        </is>
      </c>
      <c r="AE143" s="24" t="inlineStr">
        <is>
          <t>042700.KS</t>
        </is>
      </c>
    </row>
    <row r="144" ht="24" customHeight="1">
      <c r="A144" s="29" t="inlineStr">
        <is>
          <t>2024-01-05</t>
        </is>
      </c>
      <c r="B144" s="31" t="n">
        <v>58900</v>
      </c>
      <c r="C144" s="31" t="n">
        <v>59400</v>
      </c>
      <c r="D144" s="31" t="n">
        <v>57900</v>
      </c>
      <c r="E144" s="31" t="n">
        <v>58800</v>
      </c>
      <c r="F144" s="31" t="n">
        <v>57896.9375</v>
      </c>
      <c r="G144" s="31" t="n">
        <v>573749</v>
      </c>
      <c r="H144" s="36" t="n">
        <v>-0.003389830508474523</v>
      </c>
      <c r="I144" s="36" t="n">
        <v>-0.1131221719457014</v>
      </c>
      <c r="J144" s="31" t="n">
        <v>59180</v>
      </c>
      <c r="K144" s="31" t="n">
        <v>59196.66666666666</v>
      </c>
      <c r="L144" s="31" t="n">
        <v>54849.16666666666</v>
      </c>
      <c r="M144" s="36" t="n">
        <v>0.3190802022223864</v>
      </c>
      <c r="N144" s="36" t="n">
        <v>0.578442268991313</v>
      </c>
      <c r="O144" s="36" t="n">
        <v>0.01730103806228378</v>
      </c>
      <c r="P144" s="36" t="n">
        <v>0.1819095477386934</v>
      </c>
      <c r="Q144" s="36" t="n">
        <v>1.034602076124568</v>
      </c>
      <c r="R144" s="36" t="n">
        <v>-0.006421088205474823</v>
      </c>
      <c r="S144" s="36" t="n">
        <v>-0.006700827749310134</v>
      </c>
      <c r="T144" s="36" t="n">
        <v>0.0720308725444021</v>
      </c>
      <c r="U144" s="31" t="n">
        <v>66300</v>
      </c>
      <c r="V144" s="31" t="n">
        <v>11300</v>
      </c>
      <c r="W144" s="36" t="n">
        <v>-0.1131221719457014</v>
      </c>
      <c r="X144" s="36" t="n">
        <v>4.20353982300885</v>
      </c>
      <c r="Y144" s="31" t="n">
        <v>95312200</v>
      </c>
      <c r="Z144" s="31" t="n">
        <v>5604357360000</v>
      </c>
      <c r="AA144" s="31" t="n">
        <v>33736441200</v>
      </c>
      <c r="AB144" s="31" t="n">
        <v>50272038050</v>
      </c>
      <c r="AC144" s="36" t="n">
        <v>0.006019680586535616</v>
      </c>
      <c r="AD144" s="29" t="inlineStr">
        <is>
          <t>yfinance_download</t>
        </is>
      </c>
      <c r="AE144" s="29" t="inlineStr">
        <is>
          <t>042700.KS</t>
        </is>
      </c>
    </row>
    <row r="145" ht="24" customHeight="1">
      <c r="A145" s="24" t="inlineStr">
        <is>
          <t>2024-01-08</t>
        </is>
      </c>
      <c r="B145" s="30" t="n">
        <v>58400</v>
      </c>
      <c r="C145" s="30" t="n">
        <v>59300</v>
      </c>
      <c r="D145" s="30" t="n">
        <v>58000</v>
      </c>
      <c r="E145" s="30" t="n">
        <v>58100</v>
      </c>
      <c r="F145" s="30" t="n">
        <v>57207.6875</v>
      </c>
      <c r="G145" s="30" t="n">
        <v>385856</v>
      </c>
      <c r="H145" s="35" t="n">
        <v>-0.01190476190476186</v>
      </c>
      <c r="I145" s="35" t="n">
        <v>-0.1236802413273002</v>
      </c>
      <c r="J145" s="30" t="n">
        <v>59190</v>
      </c>
      <c r="K145" s="30" t="n">
        <v>59306.66666666666</v>
      </c>
      <c r="L145" s="30" t="n">
        <v>55079.16666666666</v>
      </c>
      <c r="M145" s="35" t="n">
        <v>0.322346093182273</v>
      </c>
      <c r="N145" s="35" t="n">
        <v>0.5754513540351375</v>
      </c>
      <c r="O145" s="35" t="n">
        <v>0.003454231433505983</v>
      </c>
      <c r="P145" s="35" t="n">
        <v>0.1281553398058253</v>
      </c>
      <c r="Q145" s="35" t="n">
        <v>0.9049180327868853</v>
      </c>
      <c r="R145" s="35" t="n">
        <v>-0.01841527285014366</v>
      </c>
      <c r="S145" s="35" t="n">
        <v>-0.02034622302158273</v>
      </c>
      <c r="T145" s="35" t="n">
        <v>0.05484529843407215</v>
      </c>
      <c r="U145" s="30" t="n">
        <v>66300</v>
      </c>
      <c r="V145" s="30" t="n">
        <v>11300</v>
      </c>
      <c r="W145" s="35" t="n">
        <v>-0.1236802413273002</v>
      </c>
      <c r="X145" s="35" t="n">
        <v>4.141592920353983</v>
      </c>
      <c r="Y145" s="30" t="n">
        <v>95312200</v>
      </c>
      <c r="Z145" s="30" t="n">
        <v>5537638820000</v>
      </c>
      <c r="AA145" s="30" t="n">
        <v>22418233600</v>
      </c>
      <c r="AB145" s="30" t="n">
        <v>49652093590</v>
      </c>
      <c r="AC145" s="35" t="n">
        <v>0.004048337988211373</v>
      </c>
      <c r="AD145" s="24" t="inlineStr">
        <is>
          <t>yfinance_download</t>
        </is>
      </c>
      <c r="AE145" s="24" t="inlineStr">
        <is>
          <t>042700.KS</t>
        </is>
      </c>
    </row>
    <row r="146" ht="24" customHeight="1">
      <c r="A146" s="29" t="inlineStr">
        <is>
          <t>2024-01-09</t>
        </is>
      </c>
      <c r="B146" s="31" t="n">
        <v>59900</v>
      </c>
      <c r="C146" s="31" t="n">
        <v>60500</v>
      </c>
      <c r="D146" s="31" t="n">
        <v>58000</v>
      </c>
      <c r="E146" s="31" t="n">
        <v>58700</v>
      </c>
      <c r="F146" s="31" t="n">
        <v>57798.47265625</v>
      </c>
      <c r="G146" s="31" t="n">
        <v>909403</v>
      </c>
      <c r="H146" s="36" t="n">
        <v>0.01032702237521521</v>
      </c>
      <c r="I146" s="36" t="n">
        <v>-0.1146304675716441</v>
      </c>
      <c r="J146" s="31" t="n">
        <v>59180</v>
      </c>
      <c r="K146" s="31" t="n">
        <v>59356.66666666666</v>
      </c>
      <c r="L146" s="31" t="n">
        <v>55304.16666666666</v>
      </c>
      <c r="M146" s="36" t="n">
        <v>0.3184339721786586</v>
      </c>
      <c r="N146" s="36" t="n">
        <v>0.5517706291382724</v>
      </c>
      <c r="O146" s="36" t="n">
        <v>-0.00339558573853993</v>
      </c>
      <c r="P146" s="36" t="n">
        <v>0.05385996409335725</v>
      </c>
      <c r="Q146" s="36" t="n">
        <v>0.8517350157728707</v>
      </c>
      <c r="R146" s="36" t="n">
        <v>-0.00811084825954711</v>
      </c>
      <c r="S146" s="36" t="n">
        <v>-0.01106306508676358</v>
      </c>
      <c r="T146" s="36" t="n">
        <v>0.06140284788668726</v>
      </c>
      <c r="U146" s="31" t="n">
        <v>66300</v>
      </c>
      <c r="V146" s="31" t="n">
        <v>11300</v>
      </c>
      <c r="W146" s="36" t="n">
        <v>-0.1146304675716441</v>
      </c>
      <c r="X146" s="36" t="n">
        <v>4.194690265486726</v>
      </c>
      <c r="Y146" s="31" t="n">
        <v>95312200</v>
      </c>
      <c r="Z146" s="31" t="n">
        <v>5594826140000</v>
      </c>
      <c r="AA146" s="31" t="n">
        <v>53381956100</v>
      </c>
      <c r="AB146" s="31" t="n">
        <v>50302717845</v>
      </c>
      <c r="AC146" s="36" t="n">
        <v>0.009541307408705287</v>
      </c>
      <c r="AD146" s="29" t="inlineStr">
        <is>
          <t>yfinance_download</t>
        </is>
      </c>
      <c r="AE146" s="29" t="inlineStr">
        <is>
          <t>042700.KS</t>
        </is>
      </c>
    </row>
    <row r="147" ht="24" customHeight="1">
      <c r="A147" s="24" t="inlineStr">
        <is>
          <t>2024-01-10</t>
        </is>
      </c>
      <c r="B147" s="30" t="n">
        <v>58700</v>
      </c>
      <c r="C147" s="30" t="n">
        <v>58800</v>
      </c>
      <c r="D147" s="30" t="n">
        <v>57200</v>
      </c>
      <c r="E147" s="30" t="n">
        <v>58400</v>
      </c>
      <c r="F147" s="30" t="n">
        <v>57503.078125</v>
      </c>
      <c r="G147" s="30" t="n">
        <v>542206</v>
      </c>
      <c r="H147" s="35" t="n">
        <v>-0.005110732538330498</v>
      </c>
      <c r="I147" s="35" t="n">
        <v>-0.1191553544494721</v>
      </c>
      <c r="J147" s="30" t="n">
        <v>59085</v>
      </c>
      <c r="K147" s="30" t="n">
        <v>59375</v>
      </c>
      <c r="L147" s="30" t="n">
        <v>55447.5</v>
      </c>
      <c r="M147" s="35" t="n">
        <v>0.3061255655164258</v>
      </c>
      <c r="N147" s="35" t="n">
        <v>0.5489834702096404</v>
      </c>
      <c r="O147" s="35" t="n">
        <v>-0.03150912106135983</v>
      </c>
      <c r="P147" s="35" t="n">
        <v>0.01919720767888311</v>
      </c>
      <c r="Q147" s="35" t="n">
        <v>0.4174757281553398</v>
      </c>
      <c r="R147" s="35" t="n">
        <v>-0.01159346703901154</v>
      </c>
      <c r="S147" s="35" t="n">
        <v>-0.016421052631579</v>
      </c>
      <c r="T147" s="35" t="n">
        <v>0.05324856846566561</v>
      </c>
      <c r="U147" s="30" t="n">
        <v>66300</v>
      </c>
      <c r="V147" s="30" t="n">
        <v>11300</v>
      </c>
      <c r="W147" s="35" t="n">
        <v>-0.1191553544494721</v>
      </c>
      <c r="X147" s="35" t="n">
        <v>4.168141592920354</v>
      </c>
      <c r="Y147" s="30" t="n">
        <v>95312200</v>
      </c>
      <c r="Z147" s="30" t="n">
        <v>5566232480000</v>
      </c>
      <c r="AA147" s="30" t="n">
        <v>31664830400</v>
      </c>
      <c r="AB147" s="30" t="n">
        <v>49661314480</v>
      </c>
      <c r="AC147" s="35" t="n">
        <v>0.005688736594056165</v>
      </c>
      <c r="AD147" s="24" t="inlineStr">
        <is>
          <t>yfinance_download</t>
        </is>
      </c>
      <c r="AE147" s="24" t="inlineStr">
        <is>
          <t>042700.KS</t>
        </is>
      </c>
    </row>
    <row r="148" ht="24" customHeight="1">
      <c r="A148" s="29" t="inlineStr">
        <is>
          <t>2024-01-11</t>
        </is>
      </c>
      <c r="B148" s="31" t="n">
        <v>58600</v>
      </c>
      <c r="C148" s="31" t="n">
        <v>59000</v>
      </c>
      <c r="D148" s="31" t="n">
        <v>58100</v>
      </c>
      <c r="E148" s="31" t="n">
        <v>59000</v>
      </c>
      <c r="F148" s="31" t="n">
        <v>58093.86328125</v>
      </c>
      <c r="G148" s="31" t="n">
        <v>387304</v>
      </c>
      <c r="H148" s="36" t="n">
        <v>0.01027397260273966</v>
      </c>
      <c r="I148" s="36" t="n">
        <v>-0.110105580693816</v>
      </c>
      <c r="J148" s="31" t="n">
        <v>59090</v>
      </c>
      <c r="K148" s="31" t="n">
        <v>59385</v>
      </c>
      <c r="L148" s="31" t="n">
        <v>55549.16666666666</v>
      </c>
      <c r="M148" s="36" t="n">
        <v>0.2974690273812877</v>
      </c>
      <c r="N148" s="36" t="n">
        <v>0.5480176929416266</v>
      </c>
      <c r="O148" s="36" t="n">
        <v>0.001697792869269854</v>
      </c>
      <c r="P148" s="36" t="n">
        <v>0.01027397260273966</v>
      </c>
      <c r="Q148" s="36" t="n">
        <v>0.2606837606837606</v>
      </c>
      <c r="R148" s="36" t="n">
        <v>-0.00152310035539005</v>
      </c>
      <c r="S148" s="36" t="n">
        <v>-0.006483118632651386</v>
      </c>
      <c r="T148" s="36" t="n">
        <v>0.06212214404656535</v>
      </c>
      <c r="U148" s="31" t="n">
        <v>66300</v>
      </c>
      <c r="V148" s="31" t="n">
        <v>11750</v>
      </c>
      <c r="W148" s="36" t="n">
        <v>-0.110105580693816</v>
      </c>
      <c r="X148" s="36" t="n">
        <v>4.021276595744681</v>
      </c>
      <c r="Y148" s="31" t="n">
        <v>95312200</v>
      </c>
      <c r="Z148" s="31" t="n">
        <v>5623419800000</v>
      </c>
      <c r="AA148" s="31" t="n">
        <v>22850936000</v>
      </c>
      <c r="AB148" s="31" t="n">
        <v>49316774695</v>
      </c>
      <c r="AC148" s="36" t="n">
        <v>0.00406353016717692</v>
      </c>
      <c r="AD148" s="29" t="inlineStr">
        <is>
          <t>yfinance_download</t>
        </is>
      </c>
      <c r="AE148" s="29" t="inlineStr">
        <is>
          <t>042700.KS</t>
        </is>
      </c>
    </row>
    <row r="149" ht="24" customHeight="1">
      <c r="A149" s="24" t="inlineStr">
        <is>
          <t>2024-01-12</t>
        </is>
      </c>
      <c r="B149" s="30" t="n">
        <v>58800</v>
      </c>
      <c r="C149" s="30" t="n">
        <v>58900</v>
      </c>
      <c r="D149" s="30" t="n">
        <v>57100</v>
      </c>
      <c r="E149" s="30" t="n">
        <v>57100</v>
      </c>
      <c r="F149" s="30" t="n">
        <v>56223.04296875</v>
      </c>
      <c r="G149" s="30" t="n">
        <v>530923</v>
      </c>
      <c r="H149" s="35" t="n">
        <v>-0.03220338983050852</v>
      </c>
      <c r="I149" s="35" t="n">
        <v>-0.1387631975867269</v>
      </c>
      <c r="J149" s="30" t="n">
        <v>59000</v>
      </c>
      <c r="K149" s="30" t="n">
        <v>59355</v>
      </c>
      <c r="L149" s="30" t="n">
        <v>55612.5</v>
      </c>
      <c r="M149" s="35" t="n">
        <v>0.3190075262699522</v>
      </c>
      <c r="N149" s="35" t="n">
        <v>0.5518939338891142</v>
      </c>
      <c r="O149" s="35" t="n">
        <v>-0.03056027164685904</v>
      </c>
      <c r="P149" s="35" t="n">
        <v>-0.03056027164685904</v>
      </c>
      <c r="Q149" s="35" t="n">
        <v>0.1535353535353536</v>
      </c>
      <c r="R149" s="35" t="n">
        <v>-0.03220338983050852</v>
      </c>
      <c r="S149" s="35" t="n">
        <v>-0.03799174458765053</v>
      </c>
      <c r="T149" s="35" t="n">
        <v>0.02674758372668018</v>
      </c>
      <c r="U149" s="30" t="n">
        <v>66300</v>
      </c>
      <c r="V149" s="30" t="n">
        <v>12350</v>
      </c>
      <c r="W149" s="35" t="n">
        <v>-0.1387631975867269</v>
      </c>
      <c r="X149" s="35" t="n">
        <v>3.623481781376518</v>
      </c>
      <c r="Y149" s="30" t="n">
        <v>95312200</v>
      </c>
      <c r="Z149" s="30" t="n">
        <v>5442326620000</v>
      </c>
      <c r="AA149" s="30" t="n">
        <v>30315703300</v>
      </c>
      <c r="AB149" s="30" t="n">
        <v>49307568180</v>
      </c>
      <c r="AC149" s="35" t="n">
        <v>0.005570357205058744</v>
      </c>
      <c r="AD149" s="24" t="inlineStr">
        <is>
          <t>yfinance_download</t>
        </is>
      </c>
      <c r="AE149" s="24" t="inlineStr">
        <is>
          <t>042700.KS</t>
        </is>
      </c>
    </row>
    <row r="150" ht="24" customHeight="1">
      <c r="A150" s="29" t="inlineStr">
        <is>
          <t>2024-01-15</t>
        </is>
      </c>
      <c r="B150" s="31" t="n">
        <v>57200</v>
      </c>
      <c r="C150" s="31" t="n">
        <v>57700</v>
      </c>
      <c r="D150" s="31" t="n">
        <v>56600</v>
      </c>
      <c r="E150" s="31" t="n">
        <v>56200</v>
      </c>
      <c r="F150" s="31" t="n">
        <v>55336.8671875</v>
      </c>
      <c r="G150" s="31" t="n">
        <v>58752</v>
      </c>
      <c r="H150" s="36" t="n">
        <v>-0.01576182136602455</v>
      </c>
      <c r="I150" s="36" t="n">
        <v>-0.1523378582202112</v>
      </c>
      <c r="J150" s="31" t="n">
        <v>58880</v>
      </c>
      <c r="K150" s="31" t="n">
        <v>59316.66666666666</v>
      </c>
      <c r="L150" s="31" t="n">
        <v>55667.91666666666</v>
      </c>
      <c r="M150" s="36" t="n">
        <v>0.3228862397531274</v>
      </c>
      <c r="N150" s="36" t="n">
        <v>0.5526768112014623</v>
      </c>
      <c r="O150" s="36" t="n">
        <v>-0.04095563139931746</v>
      </c>
      <c r="P150" s="36" t="n">
        <v>-0.03931623931623929</v>
      </c>
      <c r="Q150" s="36" t="n">
        <v>0.1342078708375378</v>
      </c>
      <c r="R150" s="36" t="n">
        <v>-0.04551630434782605</v>
      </c>
      <c r="S150" s="36" t="n">
        <v>-0.05254284911491991</v>
      </c>
      <c r="T150" s="36" t="n">
        <v>0.009558168603998496</v>
      </c>
      <c r="U150" s="31" t="n">
        <v>66300</v>
      </c>
      <c r="V150" s="31" t="n">
        <v>12350</v>
      </c>
      <c r="W150" s="36" t="n">
        <v>-0.1523378582202112</v>
      </c>
      <c r="X150" s="36" t="n">
        <v>3.550607287449393</v>
      </c>
      <c r="Y150" s="31" t="n">
        <v>95312200</v>
      </c>
      <c r="Z150" s="31" t="n">
        <v>5356545640000</v>
      </c>
      <c r="AA150" s="31" t="n">
        <v>3301862400</v>
      </c>
      <c r="AB150" s="31" t="n">
        <v>47977737210</v>
      </c>
      <c r="AC150" s="36" t="n">
        <v>0.0006164163664252845</v>
      </c>
      <c r="AD150" s="29" t="inlineStr">
        <is>
          <t>yfinance_download</t>
        </is>
      </c>
      <c r="AE150" s="29" t="inlineStr">
        <is>
          <t>042700.KS</t>
        </is>
      </c>
    </row>
    <row r="151" ht="24" customHeight="1">
      <c r="A151" s="24" t="inlineStr">
        <is>
          <t>2024-01-16</t>
        </is>
      </c>
      <c r="B151" s="30" t="n">
        <v>55900</v>
      </c>
      <c r="C151" s="30" t="n">
        <v>56200</v>
      </c>
      <c r="D151" s="30" t="n">
        <v>51100</v>
      </c>
      <c r="E151" s="30" t="n">
        <v>52700</v>
      </c>
      <c r="F151" s="30" t="n">
        <v>51890.62109375</v>
      </c>
      <c r="G151" s="30" t="n">
        <v>2130287</v>
      </c>
      <c r="H151" s="35" t="n">
        <v>-0.06227758007117434</v>
      </c>
      <c r="I151" s="35" t="n">
        <v>-0.2051282051282052</v>
      </c>
      <c r="J151" s="30" t="n">
        <v>58555</v>
      </c>
      <c r="K151" s="30" t="n">
        <v>59216.66666666666</v>
      </c>
      <c r="L151" s="30" t="n">
        <v>55744.58333333334</v>
      </c>
      <c r="M151" s="35" t="n">
        <v>0.3836283616779484</v>
      </c>
      <c r="N151" s="35" t="n">
        <v>0.5671180230428537</v>
      </c>
      <c r="O151" s="35" t="n">
        <v>-0.1097972972972973</v>
      </c>
      <c r="P151" s="35" t="n">
        <v>-0.1022146507666098</v>
      </c>
      <c r="Q151" s="35" t="n">
        <v>0.2114942528735633</v>
      </c>
      <c r="R151" s="35" t="n">
        <v>-0.09999146101955425</v>
      </c>
      <c r="S151" s="35" t="n">
        <v>-0.1100478468899521</v>
      </c>
      <c r="T151" s="35" t="n">
        <v>-0.05461666679124288</v>
      </c>
      <c r="U151" s="30" t="n">
        <v>66300</v>
      </c>
      <c r="V151" s="30" t="n">
        <v>12650</v>
      </c>
      <c r="W151" s="35" t="n">
        <v>-0.2051282051282052</v>
      </c>
      <c r="X151" s="35" t="n">
        <v>3.16600790513834</v>
      </c>
      <c r="Y151" s="30" t="n">
        <v>95312200</v>
      </c>
      <c r="Z151" s="30" t="n">
        <v>5022952940000</v>
      </c>
      <c r="AA151" s="30" t="n">
        <v>112266124900</v>
      </c>
      <c r="AB151" s="30" t="n">
        <v>50265279215</v>
      </c>
      <c r="AC151" s="35" t="n">
        <v>0.02235062248064781</v>
      </c>
      <c r="AD151" s="24" t="inlineStr">
        <is>
          <t>yfinance_download</t>
        </is>
      </c>
      <c r="AE151" s="24" t="inlineStr">
        <is>
          <t>042700.KS</t>
        </is>
      </c>
    </row>
    <row r="152" ht="24" customHeight="1">
      <c r="A152" s="29" t="inlineStr">
        <is>
          <t>2024-01-17</t>
        </is>
      </c>
      <c r="B152" s="31" t="n">
        <v>53300</v>
      </c>
      <c r="C152" s="31" t="n">
        <v>53800</v>
      </c>
      <c r="D152" s="31" t="n">
        <v>52100</v>
      </c>
      <c r="E152" s="31" t="n">
        <v>52400</v>
      </c>
      <c r="F152" s="31" t="n">
        <v>51595.2265625</v>
      </c>
      <c r="G152" s="31" t="n">
        <v>756016</v>
      </c>
      <c r="H152" s="36" t="n">
        <v>-0.005692599620493399</v>
      </c>
      <c r="I152" s="36" t="n">
        <v>-0.2096530920060332</v>
      </c>
      <c r="J152" s="31" t="n">
        <v>58260</v>
      </c>
      <c r="K152" s="31" t="n">
        <v>59115</v>
      </c>
      <c r="L152" s="31" t="n">
        <v>55798.33333333334</v>
      </c>
      <c r="M152" s="36" t="n">
        <v>0.3819270206304512</v>
      </c>
      <c r="N152" s="36" t="n">
        <v>0.5671760127647165</v>
      </c>
      <c r="O152" s="36" t="n">
        <v>-0.1012006861063465</v>
      </c>
      <c r="P152" s="36" t="n">
        <v>-0.1042735042735042</v>
      </c>
      <c r="Q152" s="36" t="n">
        <v>0.1403699673558216</v>
      </c>
      <c r="R152" s="36" t="n">
        <v>-0.1005835907998627</v>
      </c>
      <c r="S152" s="36" t="n">
        <v>-0.1135921508923285</v>
      </c>
      <c r="T152" s="36" t="n">
        <v>-0.06090385017473643</v>
      </c>
      <c r="U152" s="31" t="n">
        <v>66300</v>
      </c>
      <c r="V152" s="31" t="n">
        <v>12750</v>
      </c>
      <c r="W152" s="36" t="n">
        <v>-0.2096530920060332</v>
      </c>
      <c r="X152" s="36" t="n">
        <v>3.109803921568627</v>
      </c>
      <c r="Y152" s="31" t="n">
        <v>95312200</v>
      </c>
      <c r="Z152" s="31" t="n">
        <v>4994359280000</v>
      </c>
      <c r="AA152" s="31" t="n">
        <v>39615238400</v>
      </c>
      <c r="AB152" s="31" t="n">
        <v>49058182560</v>
      </c>
      <c r="AC152" s="36" t="n">
        <v>0.007931996113823834</v>
      </c>
      <c r="AD152" s="29" t="inlineStr">
        <is>
          <t>yfinance_download</t>
        </is>
      </c>
      <c r="AE152" s="29" t="inlineStr">
        <is>
          <t>042700.KS</t>
        </is>
      </c>
    </row>
    <row r="153" ht="24" customHeight="1">
      <c r="A153" s="24" t="inlineStr">
        <is>
          <t>2024-01-18</t>
        </is>
      </c>
      <c r="B153" s="30" t="n">
        <v>52400</v>
      </c>
      <c r="C153" s="30" t="n">
        <v>56500</v>
      </c>
      <c r="D153" s="30" t="n">
        <v>51800</v>
      </c>
      <c r="E153" s="30" t="n">
        <v>56200</v>
      </c>
      <c r="F153" s="30" t="n">
        <v>55336.8671875</v>
      </c>
      <c r="G153" s="30" t="n">
        <v>1364180</v>
      </c>
      <c r="H153" s="35" t="n">
        <v>0.0725190839694656</v>
      </c>
      <c r="I153" s="35" t="n">
        <v>-0.1523378582202112</v>
      </c>
      <c r="J153" s="30" t="n">
        <v>58155</v>
      </c>
      <c r="K153" s="30" t="n">
        <v>59128.33333333334</v>
      </c>
      <c r="L153" s="30" t="n">
        <v>55891.66666666666</v>
      </c>
      <c r="M153" s="35" t="n">
        <v>0.4709992813080465</v>
      </c>
      <c r="N153" s="35" t="n">
        <v>0.5764736546507266</v>
      </c>
      <c r="O153" s="35" t="n">
        <v>-0.03602058319039447</v>
      </c>
      <c r="P153" s="35" t="n">
        <v>0.01444043321299637</v>
      </c>
      <c r="Q153" s="35" t="n">
        <v>0.2488888888888889</v>
      </c>
      <c r="R153" s="35" t="n">
        <v>-0.0336170578626086</v>
      </c>
      <c r="S153" s="35" t="n">
        <v>-0.04952504439496019</v>
      </c>
      <c r="T153" s="35" t="n">
        <v>0.005516624422245542</v>
      </c>
      <c r="U153" s="30" t="n">
        <v>66300</v>
      </c>
      <c r="V153" s="30" t="n">
        <v>13050</v>
      </c>
      <c r="W153" s="35" t="n">
        <v>-0.1523378582202112</v>
      </c>
      <c r="X153" s="35" t="n">
        <v>3.306513409961686</v>
      </c>
      <c r="Y153" s="30" t="n">
        <v>95312200</v>
      </c>
      <c r="Z153" s="30" t="n">
        <v>5356545640000</v>
      </c>
      <c r="AA153" s="30" t="n">
        <v>76666916000</v>
      </c>
      <c r="AB153" s="30" t="n">
        <v>50823574890</v>
      </c>
      <c r="AC153" s="35" t="n">
        <v>0.01431275324669874</v>
      </c>
      <c r="AD153" s="24" t="inlineStr">
        <is>
          <t>yfinance_download</t>
        </is>
      </c>
      <c r="AE153" s="24" t="inlineStr">
        <is>
          <t>042700.KS</t>
        </is>
      </c>
    </row>
    <row r="154" ht="24" customHeight="1">
      <c r="A154" s="29" t="inlineStr">
        <is>
          <t>2024-01-19</t>
        </is>
      </c>
      <c r="B154" s="31" t="n">
        <v>58100</v>
      </c>
      <c r="C154" s="31" t="n">
        <v>58400</v>
      </c>
      <c r="D154" s="31" t="n">
        <v>56300</v>
      </c>
      <c r="E154" s="31" t="n">
        <v>57700</v>
      </c>
      <c r="F154" s="31" t="n">
        <v>56813.83203125</v>
      </c>
      <c r="G154" s="31" t="n">
        <v>1278997</v>
      </c>
      <c r="H154" s="36" t="n">
        <v>0.02669039145907481</v>
      </c>
      <c r="I154" s="36" t="n">
        <v>-0.1297134238310709</v>
      </c>
      <c r="J154" s="31" t="n">
        <v>58095</v>
      </c>
      <c r="K154" s="31" t="n">
        <v>59113.33333333334</v>
      </c>
      <c r="L154" s="31" t="n">
        <v>55979.16666666666</v>
      </c>
      <c r="M154" s="36" t="n">
        <v>0.4799204652288356</v>
      </c>
      <c r="N154" s="36" t="n">
        <v>0.5668175827225045</v>
      </c>
      <c r="O154" s="36" t="n">
        <v>-0.02037351443123936</v>
      </c>
      <c r="P154" s="36" t="n">
        <v>-0.01535836177474403</v>
      </c>
      <c r="Q154" s="36" t="n">
        <v>0.222457627118644</v>
      </c>
      <c r="R154" s="36" t="n">
        <v>-0.006799208193476236</v>
      </c>
      <c r="S154" s="36" t="n">
        <v>-0.02390887560618027</v>
      </c>
      <c r="T154" s="36" t="n">
        <v>0.03074060290286562</v>
      </c>
      <c r="U154" s="31" t="n">
        <v>66300</v>
      </c>
      <c r="V154" s="31" t="n">
        <v>13050</v>
      </c>
      <c r="W154" s="36" t="n">
        <v>-0.1297134238310709</v>
      </c>
      <c r="X154" s="36" t="n">
        <v>3.421455938697318</v>
      </c>
      <c r="Y154" s="31" t="n">
        <v>95312200</v>
      </c>
      <c r="Z154" s="31" t="n">
        <v>5499513940000</v>
      </c>
      <c r="AA154" s="31" t="n">
        <v>73798126900</v>
      </c>
      <c r="AB154" s="31" t="n">
        <v>52772255875</v>
      </c>
      <c r="AC154" s="36" t="n">
        <v>0.01341902715497072</v>
      </c>
      <c r="AD154" s="29" t="inlineStr">
        <is>
          <t>yfinance_download</t>
        </is>
      </c>
      <c r="AE154" s="29" t="inlineStr">
        <is>
          <t>042700.KS</t>
        </is>
      </c>
    </row>
    <row r="155" ht="24" customHeight="1">
      <c r="A155" s="24" t="inlineStr">
        <is>
          <t>2024-01-22</t>
        </is>
      </c>
      <c r="B155" s="30" t="n">
        <v>59000</v>
      </c>
      <c r="C155" s="30" t="n">
        <v>59200</v>
      </c>
      <c r="D155" s="30" t="n">
        <v>56700</v>
      </c>
      <c r="E155" s="30" t="n">
        <v>57700</v>
      </c>
      <c r="F155" s="30" t="n">
        <v>56813.83203125</v>
      </c>
      <c r="G155" s="30" t="n">
        <v>1271136</v>
      </c>
      <c r="H155" s="35" t="n">
        <v>0</v>
      </c>
      <c r="I155" s="35" t="n">
        <v>-0.1297134238310709</v>
      </c>
      <c r="J155" s="30" t="n">
        <v>58045</v>
      </c>
      <c r="K155" s="30" t="n">
        <v>59083.33333333334</v>
      </c>
      <c r="L155" s="30" t="n">
        <v>56074.16666666666</v>
      </c>
      <c r="M155" s="35" t="n">
        <v>0.4798095585015346</v>
      </c>
      <c r="N155" s="35" t="n">
        <v>0.5659567114433782</v>
      </c>
      <c r="O155" s="35" t="n">
        <v>-0.01703577512776833</v>
      </c>
      <c r="P155" s="35" t="n">
        <v>-0.03025210084033614</v>
      </c>
      <c r="Q155" s="35" t="n">
        <v>0.2462203023758098</v>
      </c>
      <c r="R155" s="35" t="n">
        <v>-0.005943664398311621</v>
      </c>
      <c r="S155" s="35" t="n">
        <v>-0.02341325811001416</v>
      </c>
      <c r="T155" s="35" t="n">
        <v>0.02899433785611327</v>
      </c>
      <c r="U155" s="30" t="n">
        <v>66300</v>
      </c>
      <c r="V155" s="30" t="n">
        <v>13050</v>
      </c>
      <c r="W155" s="35" t="n">
        <v>-0.1297134238310709</v>
      </c>
      <c r="X155" s="35" t="n">
        <v>3.421455938697318</v>
      </c>
      <c r="Y155" s="30" t="n">
        <v>95312200</v>
      </c>
      <c r="Z155" s="30" t="n">
        <v>5499513940000</v>
      </c>
      <c r="AA155" s="30" t="n">
        <v>73344547200</v>
      </c>
      <c r="AB155" s="30" t="n">
        <v>54622967710</v>
      </c>
      <c r="AC155" s="35" t="n">
        <v>0.01333655082979933</v>
      </c>
      <c r="AD155" s="24" t="inlineStr">
        <is>
          <t>yfinance_download</t>
        </is>
      </c>
      <c r="AE155" s="24" t="inlineStr">
        <is>
          <t>042700.KS</t>
        </is>
      </c>
    </row>
    <row r="156" ht="24" customHeight="1">
      <c r="A156" s="29" t="inlineStr">
        <is>
          <t>2024-01-23</t>
        </is>
      </c>
      <c r="B156" s="31" t="n">
        <v>57700</v>
      </c>
      <c r="C156" s="31" t="n">
        <v>60100</v>
      </c>
      <c r="D156" s="31" t="n">
        <v>56500</v>
      </c>
      <c r="E156" s="31" t="n">
        <v>57700</v>
      </c>
      <c r="F156" s="31" t="n">
        <v>56813.83203125</v>
      </c>
      <c r="G156" s="31" t="n">
        <v>1182327</v>
      </c>
      <c r="H156" s="36" t="n">
        <v>0</v>
      </c>
      <c r="I156" s="36" t="n">
        <v>-0.1297134238310709</v>
      </c>
      <c r="J156" s="31" t="n">
        <v>57970</v>
      </c>
      <c r="K156" s="31" t="n">
        <v>59076.66666666666</v>
      </c>
      <c r="L156" s="31" t="n">
        <v>56190</v>
      </c>
      <c r="M156" s="36" t="n">
        <v>0.4786537080411197</v>
      </c>
      <c r="N156" s="36" t="n">
        <v>0.5638077155810064</v>
      </c>
      <c r="O156" s="36" t="n">
        <v>-0.02533783783783783</v>
      </c>
      <c r="P156" s="36" t="n">
        <v>-0.006884681583476771</v>
      </c>
      <c r="Q156" s="36" t="n">
        <v>0.317351598173516</v>
      </c>
      <c r="R156" s="36" t="n">
        <v>-0.004657581507676367</v>
      </c>
      <c r="S156" s="36" t="n">
        <v>-0.02330305253060994</v>
      </c>
      <c r="T156" s="36" t="n">
        <v>0.02687310909414498</v>
      </c>
      <c r="U156" s="31" t="n">
        <v>66300</v>
      </c>
      <c r="V156" s="31" t="n">
        <v>13100</v>
      </c>
      <c r="W156" s="36" t="n">
        <v>-0.1297134238310709</v>
      </c>
      <c r="X156" s="36" t="n">
        <v>3.404580152671755</v>
      </c>
      <c r="Y156" s="31" t="n">
        <v>95312200</v>
      </c>
      <c r="Z156" s="31" t="n">
        <v>5499513940000</v>
      </c>
      <c r="AA156" s="31" t="n">
        <v>68220267900</v>
      </c>
      <c r="AB156" s="31" t="n">
        <v>56463103185</v>
      </c>
      <c r="AC156" s="36" t="n">
        <v>0.01240478133963963</v>
      </c>
      <c r="AD156" s="29" t="inlineStr">
        <is>
          <t>yfinance_download</t>
        </is>
      </c>
      <c r="AE156" s="29" t="inlineStr">
        <is>
          <t>042700.KS</t>
        </is>
      </c>
    </row>
    <row r="157" ht="24" customHeight="1">
      <c r="A157" s="24" t="inlineStr">
        <is>
          <t>2024-01-24</t>
        </is>
      </c>
      <c r="B157" s="30" t="n">
        <v>58500</v>
      </c>
      <c r="C157" s="30" t="n">
        <v>59500</v>
      </c>
      <c r="D157" s="30" t="n">
        <v>57800</v>
      </c>
      <c r="E157" s="30" t="n">
        <v>59200</v>
      </c>
      <c r="F157" s="30" t="n">
        <v>58290.79296875</v>
      </c>
      <c r="G157" s="30" t="n">
        <v>1325890</v>
      </c>
      <c r="H157" s="35" t="n">
        <v>0.02599653379549394</v>
      </c>
      <c r="I157" s="35" t="n">
        <v>-0.1070889894419306</v>
      </c>
      <c r="J157" s="30" t="n">
        <v>58000</v>
      </c>
      <c r="K157" s="30" t="n">
        <v>59110</v>
      </c>
      <c r="L157" s="30" t="n">
        <v>56300.83333333334</v>
      </c>
      <c r="M157" s="35" t="n">
        <v>0.4864834804459049</v>
      </c>
      <c r="N157" s="35" t="n">
        <v>0.5651879022453169</v>
      </c>
      <c r="O157" s="35" t="n">
        <v>0.01023890784982928</v>
      </c>
      <c r="P157" s="35" t="n">
        <v>0.034965034965035</v>
      </c>
      <c r="Q157" s="35" t="n">
        <v>0.289760348583878</v>
      </c>
      <c r="R157" s="35" t="n">
        <v>0.02068965517241383</v>
      </c>
      <c r="S157" s="35" t="n">
        <v>0.001522585010996558</v>
      </c>
      <c r="T157" s="35" t="n">
        <v>0.05149420523674886</v>
      </c>
      <c r="U157" s="30" t="n">
        <v>66300</v>
      </c>
      <c r="V157" s="30" t="n">
        <v>13100</v>
      </c>
      <c r="W157" s="35" t="n">
        <v>-0.1070889894419306</v>
      </c>
      <c r="X157" s="35" t="n">
        <v>3.519083969465649</v>
      </c>
      <c r="Y157" s="30" t="n">
        <v>95312200</v>
      </c>
      <c r="Z157" s="30" t="n">
        <v>5642482240000</v>
      </c>
      <c r="AA157" s="30" t="n">
        <v>78492688000</v>
      </c>
      <c r="AB157" s="30" t="n">
        <v>58637355585</v>
      </c>
      <c r="AC157" s="35" t="n">
        <v>0.01391102083468853</v>
      </c>
      <c r="AD157" s="24" t="inlineStr">
        <is>
          <t>yfinance_download</t>
        </is>
      </c>
      <c r="AE157" s="24" t="inlineStr">
        <is>
          <t>042700.KS</t>
        </is>
      </c>
    </row>
    <row r="158" ht="24" customHeight="1">
      <c r="A158" s="29" t="inlineStr">
        <is>
          <t>2024-01-25</t>
        </is>
      </c>
      <c r="B158" s="31" t="n">
        <v>59900</v>
      </c>
      <c r="C158" s="31" t="n">
        <v>60300</v>
      </c>
      <c r="D158" s="31" t="n">
        <v>57500</v>
      </c>
      <c r="E158" s="31" t="n">
        <v>57700</v>
      </c>
      <c r="F158" s="31" t="n">
        <v>56813.83203125</v>
      </c>
      <c r="G158" s="31" t="n">
        <v>1016644</v>
      </c>
      <c r="H158" s="36" t="n">
        <v>-0.02533783783783783</v>
      </c>
      <c r="I158" s="36" t="n">
        <v>-0.1297134238310709</v>
      </c>
      <c r="J158" s="31" t="n">
        <v>58005</v>
      </c>
      <c r="K158" s="31" t="n">
        <v>59121.66666666666</v>
      </c>
      <c r="L158" s="31" t="n">
        <v>56388.75</v>
      </c>
      <c r="M158" s="36" t="n">
        <v>0.4914080143792845</v>
      </c>
      <c r="N158" s="36" t="n">
        <v>0.5677301851781021</v>
      </c>
      <c r="O158" s="36" t="n">
        <v>0.00173611111111116</v>
      </c>
      <c r="P158" s="36" t="n">
        <v>0.012280701754386</v>
      </c>
      <c r="Q158" s="36" t="n">
        <v>0.2237539766702015</v>
      </c>
      <c r="R158" s="36" t="n">
        <v>-0.005258167399362135</v>
      </c>
      <c r="S158" s="36" t="n">
        <v>-0.02404645786936543</v>
      </c>
      <c r="T158" s="36" t="n">
        <v>0.02325375185653167</v>
      </c>
      <c r="U158" s="31" t="n">
        <v>66300</v>
      </c>
      <c r="V158" s="31" t="n">
        <v>13100</v>
      </c>
      <c r="W158" s="36" t="n">
        <v>-0.1297134238310709</v>
      </c>
      <c r="X158" s="36" t="n">
        <v>3.404580152671755</v>
      </c>
      <c r="Y158" s="31" t="n">
        <v>95312200</v>
      </c>
      <c r="Z158" s="31" t="n">
        <v>5499513940000</v>
      </c>
      <c r="AA158" s="31" t="n">
        <v>58660358800</v>
      </c>
      <c r="AB158" s="31" t="n">
        <v>59200349525</v>
      </c>
      <c r="AC158" s="36" t="n">
        <v>0.01066646242558665</v>
      </c>
      <c r="AD158" s="29" t="inlineStr">
        <is>
          <t>yfinance_download</t>
        </is>
      </c>
      <c r="AE158" s="29" t="inlineStr">
        <is>
          <t>042700.KS</t>
        </is>
      </c>
    </row>
    <row r="159" ht="24" customHeight="1">
      <c r="A159" s="24" t="inlineStr">
        <is>
          <t>2024-01-26</t>
        </is>
      </c>
      <c r="B159" s="30" t="n">
        <v>57600</v>
      </c>
      <c r="C159" s="30" t="n">
        <v>59100</v>
      </c>
      <c r="D159" s="30" t="n">
        <v>57300</v>
      </c>
      <c r="E159" s="30" t="n">
        <v>58700</v>
      </c>
      <c r="F159" s="30" t="n">
        <v>57798.47265625</v>
      </c>
      <c r="G159" s="30" t="n">
        <v>833854</v>
      </c>
      <c r="H159" s="35" t="n">
        <v>0.01733102253032937</v>
      </c>
      <c r="I159" s="35" t="n">
        <v>-0.1146304675716441</v>
      </c>
      <c r="J159" s="30" t="n">
        <v>57865</v>
      </c>
      <c r="K159" s="30" t="n">
        <v>59225</v>
      </c>
      <c r="L159" s="30" t="n">
        <v>56473.75</v>
      </c>
      <c r="M159" s="35" t="n">
        <v>0.4285963379588921</v>
      </c>
      <c r="N159" s="35" t="n">
        <v>0.5437191643809735</v>
      </c>
      <c r="O159" s="35" t="n">
        <v>-0.04552845528455285</v>
      </c>
      <c r="P159" s="35" t="n">
        <v>0.118095238095238</v>
      </c>
      <c r="Q159" s="35" t="n">
        <v>0.2103092783505154</v>
      </c>
      <c r="R159" s="35" t="n">
        <v>0.01443013911691016</v>
      </c>
      <c r="S159" s="35" t="n">
        <v>-0.008864499788940439</v>
      </c>
      <c r="T159" s="35" t="n">
        <v>0.03942096991965283</v>
      </c>
      <c r="U159" s="30" t="n">
        <v>66300</v>
      </c>
      <c r="V159" s="30" t="n">
        <v>13100</v>
      </c>
      <c r="W159" s="35" t="n">
        <v>-0.1146304675716441</v>
      </c>
      <c r="X159" s="35" t="n">
        <v>3.480916030534351</v>
      </c>
      <c r="Y159" s="30" t="n">
        <v>95312200</v>
      </c>
      <c r="Z159" s="30" t="n">
        <v>5594826140000</v>
      </c>
      <c r="AA159" s="30" t="n">
        <v>48947229800</v>
      </c>
      <c r="AB159" s="30" t="n">
        <v>54738619590</v>
      </c>
      <c r="AC159" s="35" t="n">
        <v>0.008748659667912398</v>
      </c>
      <c r="AD159" s="24" t="inlineStr">
        <is>
          <t>yfinance_download</t>
        </is>
      </c>
      <c r="AE159" s="24" t="inlineStr">
        <is>
          <t>042700.KS</t>
        </is>
      </c>
    </row>
    <row r="160" ht="24" customHeight="1">
      <c r="A160" s="29" t="inlineStr">
        <is>
          <t>2024-01-29</t>
        </is>
      </c>
      <c r="B160" s="31" t="n">
        <v>58600</v>
      </c>
      <c r="C160" s="31" t="n">
        <v>62000</v>
      </c>
      <c r="D160" s="31" t="n">
        <v>57900</v>
      </c>
      <c r="E160" s="31" t="n">
        <v>59800</v>
      </c>
      <c r="F160" s="31" t="n">
        <v>58881.58203125</v>
      </c>
      <c r="G160" s="31" t="n">
        <v>1888189</v>
      </c>
      <c r="H160" s="36" t="n">
        <v>0.01873935264054505</v>
      </c>
      <c r="I160" s="36" t="n">
        <v>-0.09803921568627449</v>
      </c>
      <c r="J160" s="31" t="n">
        <v>57770</v>
      </c>
      <c r="K160" s="31" t="n">
        <v>59343.33333333334</v>
      </c>
      <c r="L160" s="31" t="n">
        <v>56527.08333333334</v>
      </c>
      <c r="M160" s="36" t="n">
        <v>0.43458910167078</v>
      </c>
      <c r="N160" s="36" t="n">
        <v>0.5447394340482856</v>
      </c>
      <c r="O160" s="36" t="n">
        <v>-0.0307941653160454</v>
      </c>
      <c r="P160" s="36" t="n">
        <v>0.1347248576850095</v>
      </c>
      <c r="Q160" s="36" t="n">
        <v>0.1198501872659177</v>
      </c>
      <c r="R160" s="36" t="n">
        <v>0.03513934568114929</v>
      </c>
      <c r="S160" s="36" t="n">
        <v>0.007695332247374065</v>
      </c>
      <c r="T160" s="36" t="n">
        <v>0.05789997420115722</v>
      </c>
      <c r="U160" s="31" t="n">
        <v>66300</v>
      </c>
      <c r="V160" s="31" t="n">
        <v>13100</v>
      </c>
      <c r="W160" s="36" t="n">
        <v>-0.09803921568627449</v>
      </c>
      <c r="X160" s="36" t="n">
        <v>3.564885496183206</v>
      </c>
      <c r="Y160" s="31" t="n">
        <v>95312200</v>
      </c>
      <c r="Z160" s="31" t="n">
        <v>5699669560000</v>
      </c>
      <c r="AA160" s="31" t="n">
        <v>112913702200</v>
      </c>
      <c r="AB160" s="31" t="n">
        <v>55197926100</v>
      </c>
      <c r="AC160" s="36" t="n">
        <v>0.01981056989556426</v>
      </c>
      <c r="AD160" s="29" t="inlineStr">
        <is>
          <t>yfinance_download</t>
        </is>
      </c>
      <c r="AE160" s="29" t="inlineStr">
        <is>
          <t>042700.KS</t>
        </is>
      </c>
    </row>
    <row r="161" ht="24" customHeight="1">
      <c r="A161" s="24" t="inlineStr">
        <is>
          <t>2024-01-30</t>
        </is>
      </c>
      <c r="B161" s="30" t="n">
        <v>60200</v>
      </c>
      <c r="C161" s="30" t="n">
        <v>60300</v>
      </c>
      <c r="D161" s="30" t="n">
        <v>58800</v>
      </c>
      <c r="E161" s="30" t="n">
        <v>59500</v>
      </c>
      <c r="F161" s="30" t="n">
        <v>58586.1875</v>
      </c>
      <c r="G161" s="30" t="n">
        <v>533216</v>
      </c>
      <c r="H161" s="35" t="n">
        <v>-0.005016722408026753</v>
      </c>
      <c r="I161" s="35" t="n">
        <v>-0.1025641025641025</v>
      </c>
      <c r="J161" s="30" t="n">
        <v>57705</v>
      </c>
      <c r="K161" s="30" t="n">
        <v>59378.33333333334</v>
      </c>
      <c r="L161" s="30" t="n">
        <v>56612.5</v>
      </c>
      <c r="M161" s="35" t="n">
        <v>0.4320017872540512</v>
      </c>
      <c r="N161" s="35" t="n">
        <v>0.514208547837663</v>
      </c>
      <c r="O161" s="35" t="n">
        <v>-0.02138157894736847</v>
      </c>
      <c r="P161" s="35" t="n">
        <v>0.03658536585365857</v>
      </c>
      <c r="Q161" s="35" t="n">
        <v>0.2081218274111676</v>
      </c>
      <c r="R161" s="35" t="n">
        <v>0.0311064899055542</v>
      </c>
      <c r="S161" s="35" t="n">
        <v>0.002049007775002165</v>
      </c>
      <c r="T161" s="35" t="n">
        <v>0.05100463678516221</v>
      </c>
      <c r="U161" s="30" t="n">
        <v>66300</v>
      </c>
      <c r="V161" s="30" t="n">
        <v>13100</v>
      </c>
      <c r="W161" s="35" t="n">
        <v>-0.1025641025641025</v>
      </c>
      <c r="X161" s="35" t="n">
        <v>3.541984732824427</v>
      </c>
      <c r="Y161" s="30" t="n">
        <v>95312200</v>
      </c>
      <c r="Z161" s="30" t="n">
        <v>5671075900000</v>
      </c>
      <c r="AA161" s="30" t="n">
        <v>31726352000</v>
      </c>
      <c r="AB161" s="30" t="n">
        <v>52707928980</v>
      </c>
      <c r="AC161" s="35" t="n">
        <v>0.005594414985699627</v>
      </c>
      <c r="AD161" s="24" t="inlineStr">
        <is>
          <t>yfinance_download</t>
        </is>
      </c>
      <c r="AE161" s="24" t="inlineStr">
        <is>
          <t>042700.KS</t>
        </is>
      </c>
    </row>
    <row r="162" ht="24" customHeight="1">
      <c r="A162" s="29" t="inlineStr">
        <is>
          <t>2024-01-31</t>
        </is>
      </c>
      <c r="B162" s="31" t="n">
        <v>58800</v>
      </c>
      <c r="C162" s="31" t="n">
        <v>60000</v>
      </c>
      <c r="D162" s="31" t="n">
        <v>58400</v>
      </c>
      <c r="E162" s="31" t="n">
        <v>58700</v>
      </c>
      <c r="F162" s="31" t="n">
        <v>57798.47265625</v>
      </c>
      <c r="G162" s="31" t="n">
        <v>554234</v>
      </c>
      <c r="H162" s="36" t="n">
        <v>-0.01344537815126046</v>
      </c>
      <c r="I162" s="36" t="n">
        <v>-0.1146304675716441</v>
      </c>
      <c r="J162" s="31" t="n">
        <v>57665</v>
      </c>
      <c r="K162" s="31" t="n">
        <v>59415</v>
      </c>
      <c r="L162" s="31" t="n">
        <v>56690.83333333334</v>
      </c>
      <c r="M162" s="36" t="n">
        <v>0.4278687074829808</v>
      </c>
      <c r="N162" s="36" t="n">
        <v>0.5139170783210083</v>
      </c>
      <c r="O162" s="36" t="n">
        <v>-0.01344537815126046</v>
      </c>
      <c r="P162" s="36" t="n">
        <v>0.0389380530973451</v>
      </c>
      <c r="Q162" s="36" t="n">
        <v>0.1906693711967546</v>
      </c>
      <c r="R162" s="36" t="n">
        <v>0.01794849562126077</v>
      </c>
      <c r="S162" s="36" t="n">
        <v>-0.01203399814861572</v>
      </c>
      <c r="T162" s="36" t="n">
        <v>0.03544076790780393</v>
      </c>
      <c r="U162" s="31" t="n">
        <v>66300</v>
      </c>
      <c r="V162" s="31" t="n">
        <v>13720</v>
      </c>
      <c r="W162" s="36" t="n">
        <v>-0.1146304675716441</v>
      </c>
      <c r="X162" s="36" t="n">
        <v>3.278425655976676</v>
      </c>
      <c r="Y162" s="31" t="n">
        <v>95312200</v>
      </c>
      <c r="Z162" s="31" t="n">
        <v>5594826140000</v>
      </c>
      <c r="AA162" s="31" t="n">
        <v>32533535800</v>
      </c>
      <c r="AB162" s="31" t="n">
        <v>52182707945</v>
      </c>
      <c r="AC162" s="36" t="n">
        <v>0.005814932401098705</v>
      </c>
      <c r="AD162" s="29" t="inlineStr">
        <is>
          <t>yfinance_download</t>
        </is>
      </c>
      <c r="AE162" s="29" t="inlineStr">
        <is>
          <t>042700.KS</t>
        </is>
      </c>
    </row>
    <row r="163" ht="24" customHeight="1">
      <c r="A163" s="24" t="inlineStr">
        <is>
          <t>2024-02-01</t>
        </is>
      </c>
      <c r="B163" s="30" t="n">
        <v>58200</v>
      </c>
      <c r="C163" s="30" t="n">
        <v>60600</v>
      </c>
      <c r="D163" s="30" t="n">
        <v>56000</v>
      </c>
      <c r="E163" s="30" t="n">
        <v>57400</v>
      </c>
      <c r="F163" s="30" t="n">
        <v>56518.44140625</v>
      </c>
      <c r="G163" s="30" t="n">
        <v>1021369</v>
      </c>
      <c r="H163" s="35" t="n">
        <v>-0.02214650766609882</v>
      </c>
      <c r="I163" s="35" t="n">
        <v>-0.1342383107088989</v>
      </c>
      <c r="J163" s="30" t="n">
        <v>57585</v>
      </c>
      <c r="K163" s="30" t="n">
        <v>59396.66666666666</v>
      </c>
      <c r="L163" s="30" t="n">
        <v>56777.91666666666</v>
      </c>
      <c r="M163" s="35" t="n">
        <v>0.4340431016260097</v>
      </c>
      <c r="N163" s="35" t="n">
        <v>0.5110650545221144</v>
      </c>
      <c r="O163" s="35" t="n">
        <v>-0.02711864406779663</v>
      </c>
      <c r="P163" s="35" t="n">
        <v>-0.01880341880341885</v>
      </c>
      <c r="Q163" s="35" t="n">
        <v>0.222577209797657</v>
      </c>
      <c r="R163" s="35" t="n">
        <v>-0.003212642181123604</v>
      </c>
      <c r="S163" s="35" t="n">
        <v>-0.03361580335596825</v>
      </c>
      <c r="T163" s="35" t="n">
        <v>0.01095643112419009</v>
      </c>
      <c r="U163" s="30" t="n">
        <v>66300</v>
      </c>
      <c r="V163" s="30" t="n">
        <v>13720</v>
      </c>
      <c r="W163" s="35" t="n">
        <v>-0.1342383107088989</v>
      </c>
      <c r="X163" s="35" t="n">
        <v>3.183673469387755</v>
      </c>
      <c r="Y163" s="30" t="n">
        <v>95312200</v>
      </c>
      <c r="Z163" s="30" t="n">
        <v>5470920280000</v>
      </c>
      <c r="AA163" s="30" t="n">
        <v>58626580600</v>
      </c>
      <c r="AB163" s="30" t="n">
        <v>53174081575</v>
      </c>
      <c r="AC163" s="35" t="n">
        <v>0.01071603635211442</v>
      </c>
      <c r="AD163" s="24" t="inlineStr">
        <is>
          <t>yfinance_download</t>
        </is>
      </c>
      <c r="AE163" s="24" t="inlineStr">
        <is>
          <t>042700.KS</t>
        </is>
      </c>
    </row>
    <row r="164" ht="24" customHeight="1">
      <c r="A164" s="29" t="inlineStr">
        <is>
          <t>2024-02-02</t>
        </is>
      </c>
      <c r="B164" s="31" t="n">
        <v>58200</v>
      </c>
      <c r="C164" s="31" t="n">
        <v>61200</v>
      </c>
      <c r="D164" s="31" t="n">
        <v>58100</v>
      </c>
      <c r="E164" s="31" t="n">
        <v>59400</v>
      </c>
      <c r="F164" s="31" t="n">
        <v>58487.71875</v>
      </c>
      <c r="G164" s="31" t="n">
        <v>1377716</v>
      </c>
      <c r="H164" s="36" t="n">
        <v>0.03484320557491283</v>
      </c>
      <c r="I164" s="36" t="n">
        <v>-0.1040723981900452</v>
      </c>
      <c r="J164" s="31" t="n">
        <v>57615</v>
      </c>
      <c r="K164" s="31" t="n">
        <v>59343.33333333334</v>
      </c>
      <c r="L164" s="31" t="n">
        <v>56879.58333333334</v>
      </c>
      <c r="M164" s="36" t="n">
        <v>0.4521158162117691</v>
      </c>
      <c r="N164" s="36" t="n">
        <v>0.4953429217543472</v>
      </c>
      <c r="O164" s="36" t="n">
        <v>0.01020408163265296</v>
      </c>
      <c r="P164" s="36" t="n">
        <v>-0.05111821086261981</v>
      </c>
      <c r="Q164" s="36" t="n">
        <v>0.2584745762711864</v>
      </c>
      <c r="R164" s="36" t="n">
        <v>0.03098151523040871</v>
      </c>
      <c r="S164" s="36" t="n">
        <v>0.0009548952423747981</v>
      </c>
      <c r="T164" s="36" t="n">
        <v>0.04431144742914483</v>
      </c>
      <c r="U164" s="31" t="n">
        <v>66300</v>
      </c>
      <c r="V164" s="31" t="n">
        <v>13810</v>
      </c>
      <c r="W164" s="36" t="n">
        <v>-0.1040723981900452</v>
      </c>
      <c r="X164" s="36" t="n">
        <v>3.301230992034758</v>
      </c>
      <c r="Y164" s="31" t="n">
        <v>95312200</v>
      </c>
      <c r="Z164" s="31" t="n">
        <v>5661544680000</v>
      </c>
      <c r="AA164" s="31" t="n">
        <v>81836330400</v>
      </c>
      <c r="AB164" s="31" t="n">
        <v>55579076035</v>
      </c>
      <c r="AC164" s="36" t="n">
        <v>0.01445477074288496</v>
      </c>
      <c r="AD164" s="29" t="inlineStr">
        <is>
          <t>yfinance_download</t>
        </is>
      </c>
      <c r="AE164" s="29" t="inlineStr">
        <is>
          <t>042700.KS</t>
        </is>
      </c>
    </row>
    <row r="165" ht="24" customHeight="1">
      <c r="A165" s="24" t="inlineStr">
        <is>
          <t>2024-02-05</t>
        </is>
      </c>
      <c r="B165" s="30" t="n">
        <v>59800</v>
      </c>
      <c r="C165" s="30" t="n">
        <v>60400</v>
      </c>
      <c r="D165" s="30" t="n">
        <v>58800</v>
      </c>
      <c r="E165" s="30" t="n">
        <v>58800</v>
      </c>
      <c r="F165" s="30" t="n">
        <v>57896.9375</v>
      </c>
      <c r="G165" s="30" t="n">
        <v>533151</v>
      </c>
      <c r="H165" s="35" t="n">
        <v>-0.01010101010101006</v>
      </c>
      <c r="I165" s="35" t="n">
        <v>-0.1131221719457014</v>
      </c>
      <c r="J165" s="30" t="n">
        <v>57650</v>
      </c>
      <c r="K165" s="30" t="n">
        <v>59310</v>
      </c>
      <c r="L165" s="30" t="n">
        <v>56972.08333333334</v>
      </c>
      <c r="M165" s="35" t="n">
        <v>0.4514836214445425</v>
      </c>
      <c r="N165" s="35" t="n">
        <v>0.4922459282988031</v>
      </c>
      <c r="O165" s="35" t="n">
        <v>0.01204819277108427</v>
      </c>
      <c r="P165" s="35" t="n">
        <v>-0.03289473684210531</v>
      </c>
      <c r="Q165" s="35" t="n">
        <v>0.2327044025157232</v>
      </c>
      <c r="R165" s="35" t="n">
        <v>0.01994796183868175</v>
      </c>
      <c r="S165" s="35" t="n">
        <v>-0.008598887202832528</v>
      </c>
      <c r="T165" s="35" t="n">
        <v>0.0320844273145473</v>
      </c>
      <c r="U165" s="30" t="n">
        <v>66300</v>
      </c>
      <c r="V165" s="30" t="n">
        <v>13860</v>
      </c>
      <c r="W165" s="35" t="n">
        <v>-0.1131221719457014</v>
      </c>
      <c r="X165" s="35" t="n">
        <v>3.242424242424242</v>
      </c>
      <c r="Y165" s="30" t="n">
        <v>95312200</v>
      </c>
      <c r="Z165" s="30" t="n">
        <v>5604357360000</v>
      </c>
      <c r="AA165" s="30" t="n">
        <v>31349278800</v>
      </c>
      <c r="AB165" s="30" t="n">
        <v>56025628295</v>
      </c>
      <c r="AC165" s="35" t="n">
        <v>0.005593733016339986</v>
      </c>
      <c r="AD165" s="24" t="inlineStr">
        <is>
          <t>yfinance_download</t>
        </is>
      </c>
      <c r="AE165" s="24" t="inlineStr">
        <is>
          <t>042700.KS</t>
        </is>
      </c>
    </row>
    <row r="166" ht="24" customHeight="1">
      <c r="A166" s="29" t="inlineStr">
        <is>
          <t>2024-02-06</t>
        </is>
      </c>
      <c r="B166" s="31" t="n">
        <v>59500</v>
      </c>
      <c r="C166" s="31" t="n">
        <v>61500</v>
      </c>
      <c r="D166" s="31" t="n">
        <v>58400</v>
      </c>
      <c r="E166" s="31" t="n">
        <v>61000</v>
      </c>
      <c r="F166" s="31" t="n">
        <v>60063.1484375</v>
      </c>
      <c r="G166" s="31" t="n">
        <v>1099905</v>
      </c>
      <c r="H166" s="36" t="n">
        <v>0.03741496598639449</v>
      </c>
      <c r="I166" s="36" t="n">
        <v>-0.07993966817496234</v>
      </c>
      <c r="J166" s="31" t="n">
        <v>57765</v>
      </c>
      <c r="K166" s="31" t="n">
        <v>59301.66666666666</v>
      </c>
      <c r="L166" s="31" t="n">
        <v>57090.83333333334</v>
      </c>
      <c r="M166" s="36" t="n">
        <v>0.4688262633692041</v>
      </c>
      <c r="N166" s="36" t="n">
        <v>0.4976829510766892</v>
      </c>
      <c r="O166" s="36" t="n">
        <v>0.03918228279386704</v>
      </c>
      <c r="P166" s="36" t="n">
        <v>-0.008130081300813052</v>
      </c>
      <c r="Q166" s="36" t="n">
        <v>0.304812834224599</v>
      </c>
      <c r="R166" s="36" t="n">
        <v>0.05600276984333075</v>
      </c>
      <c r="S166" s="36" t="n">
        <v>0.02863888030128448</v>
      </c>
      <c r="T166" s="36" t="n">
        <v>0.06847275540439934</v>
      </c>
      <c r="U166" s="31" t="n">
        <v>66300</v>
      </c>
      <c r="V166" s="31" t="n">
        <v>14200</v>
      </c>
      <c r="W166" s="36" t="n">
        <v>-0.07993966817496234</v>
      </c>
      <c r="X166" s="36" t="n">
        <v>3.295774647887324</v>
      </c>
      <c r="Y166" s="31" t="n">
        <v>95312200</v>
      </c>
      <c r="Z166" s="31" t="n">
        <v>5814044200000</v>
      </c>
      <c r="AA166" s="31" t="n">
        <v>67094205000</v>
      </c>
      <c r="AB166" s="31" t="n">
        <v>56711240740</v>
      </c>
      <c r="AC166" s="36" t="n">
        <v>0.0115400232079419</v>
      </c>
      <c r="AD166" s="29" t="inlineStr">
        <is>
          <t>yfinance_download</t>
        </is>
      </c>
      <c r="AE166" s="29" t="inlineStr">
        <is>
          <t>042700.KS</t>
        </is>
      </c>
    </row>
    <row r="167" ht="24" customHeight="1">
      <c r="A167" s="24" t="inlineStr">
        <is>
          <t>2024-02-07</t>
        </is>
      </c>
      <c r="B167" s="30" t="n">
        <v>60500</v>
      </c>
      <c r="C167" s="30" t="n">
        <v>60700</v>
      </c>
      <c r="D167" s="30" t="n">
        <v>59600</v>
      </c>
      <c r="E167" s="30" t="n">
        <v>60400</v>
      </c>
      <c r="F167" s="30" t="n">
        <v>59472.36328125</v>
      </c>
      <c r="G167" s="30" t="n">
        <v>698224</v>
      </c>
      <c r="H167" s="35" t="n">
        <v>-0.009836065573770481</v>
      </c>
      <c r="I167" s="35" t="n">
        <v>-0.08898944193061842</v>
      </c>
      <c r="J167" s="30" t="n">
        <v>57865</v>
      </c>
      <c r="K167" s="30" t="n">
        <v>59203.33333333334</v>
      </c>
      <c r="L167" s="30" t="n">
        <v>57204.16666666666</v>
      </c>
      <c r="M167" s="35" t="n">
        <v>0.4701199759909309</v>
      </c>
      <c r="N167" s="35" t="n">
        <v>0.4709560533199011</v>
      </c>
      <c r="O167" s="35" t="n">
        <v>0.03424657534246567</v>
      </c>
      <c r="P167" s="35" t="n">
        <v>-0.08898944193061842</v>
      </c>
      <c r="Q167" s="35" t="n">
        <v>0.2905982905982907</v>
      </c>
      <c r="R167" s="35" t="n">
        <v>0.0438088654627149</v>
      </c>
      <c r="S167" s="35" t="n">
        <v>0.0202128258544001</v>
      </c>
      <c r="T167" s="35" t="n">
        <v>0.05586714254497793</v>
      </c>
      <c r="U167" s="30" t="n">
        <v>66300</v>
      </c>
      <c r="V167" s="30" t="n">
        <v>14200</v>
      </c>
      <c r="W167" s="35" t="n">
        <v>-0.08898944193061842</v>
      </c>
      <c r="X167" s="35" t="n">
        <v>3.253521126760563</v>
      </c>
      <c r="Y167" s="30" t="n">
        <v>95312200</v>
      </c>
      <c r="Z167" s="30" t="n">
        <v>5756856880000</v>
      </c>
      <c r="AA167" s="30" t="n">
        <v>42172729600</v>
      </c>
      <c r="AB167" s="30" t="n">
        <v>57236635700</v>
      </c>
      <c r="AC167" s="35" t="n">
        <v>0.007325651910248636</v>
      </c>
      <c r="AD167" s="24" t="inlineStr">
        <is>
          <t>yfinance_download</t>
        </is>
      </c>
      <c r="AE167" s="24" t="inlineStr">
        <is>
          <t>042700.KS</t>
        </is>
      </c>
    </row>
    <row r="168" ht="24" customHeight="1">
      <c r="A168" s="29" t="inlineStr">
        <is>
          <t>2024-02-08</t>
        </is>
      </c>
      <c r="B168" s="31" t="n">
        <v>61200</v>
      </c>
      <c r="C168" s="31" t="n">
        <v>78500</v>
      </c>
      <c r="D168" s="31" t="n">
        <v>60400</v>
      </c>
      <c r="E168" s="31" t="n">
        <v>78500</v>
      </c>
      <c r="F168" s="31" t="n">
        <v>77294.375</v>
      </c>
      <c r="G168" s="31" t="n">
        <v>12397289</v>
      </c>
      <c r="H168" s="36" t="n">
        <v>0.2996688741721854</v>
      </c>
      <c r="I168" s="36" t="n">
        <v>0</v>
      </c>
      <c r="J168" s="31" t="n">
        <v>58840</v>
      </c>
      <c r="K168" s="31" t="n">
        <v>59548.33333333334</v>
      </c>
      <c r="L168" s="31" t="n">
        <v>57459.58333333334</v>
      </c>
      <c r="M168" s="36" t="n">
        <v>1.157154912140329</v>
      </c>
      <c r="N168" s="36" t="n">
        <v>0.7253822560516526</v>
      </c>
      <c r="O168" s="36" t="n">
        <v>0.3305084745762712</v>
      </c>
      <c r="P168" s="36" t="n">
        <v>0.3581314878892734</v>
      </c>
      <c r="Q168" s="36" t="n">
        <v>0.6405433646812957</v>
      </c>
      <c r="R168" s="36" t="n">
        <v>0.3341264445955132</v>
      </c>
      <c r="S168" s="36" t="n">
        <v>0.3182568781661954</v>
      </c>
      <c r="T168" s="36" t="n">
        <v>0.3661776756125681</v>
      </c>
      <c r="U168" s="31" t="n">
        <v>78500</v>
      </c>
      <c r="V168" s="31" t="n">
        <v>14230</v>
      </c>
      <c r="W168" s="36" t="n">
        <v>0</v>
      </c>
      <c r="X168" s="36" t="n">
        <v>4.516514406184118</v>
      </c>
      <c r="Y168" s="31" t="n">
        <v>95312200</v>
      </c>
      <c r="Z168" s="31" t="n">
        <v>7482007700000</v>
      </c>
      <c r="AA168" s="31" t="n">
        <v>973187186500</v>
      </c>
      <c r="AB168" s="31" t="n">
        <v>104753448225</v>
      </c>
      <c r="AC168" s="36" t="n">
        <v>0.1300703267787335</v>
      </c>
      <c r="AD168" s="29" t="inlineStr">
        <is>
          <t>yfinance_download</t>
        </is>
      </c>
      <c r="AE168" s="29" t="inlineStr">
        <is>
          <t>042700.KS</t>
        </is>
      </c>
    </row>
    <row r="169" ht="24" customHeight="1">
      <c r="A169" s="24" t="inlineStr">
        <is>
          <t>2024-02-13</t>
        </is>
      </c>
      <c r="B169" s="30" t="n">
        <v>82200</v>
      </c>
      <c r="C169" s="30" t="n">
        <v>84000</v>
      </c>
      <c r="D169" s="30" t="n">
        <v>77700</v>
      </c>
      <c r="E169" s="30" t="n">
        <v>81000</v>
      </c>
      <c r="F169" s="30" t="n">
        <v>79755.984375</v>
      </c>
      <c r="G169" s="30" t="n">
        <v>8229650</v>
      </c>
      <c r="H169" s="35" t="n">
        <v>0.03184713375796178</v>
      </c>
      <c r="I169" s="35" t="n">
        <v>0</v>
      </c>
      <c r="J169" s="30" t="n">
        <v>60035</v>
      </c>
      <c r="K169" s="30" t="n">
        <v>59906.66666666666</v>
      </c>
      <c r="L169" s="30" t="n">
        <v>57754.58333333334</v>
      </c>
      <c r="M169" s="35" t="n">
        <v>1.143605151448996</v>
      </c>
      <c r="N169" s="35" t="n">
        <v>0.7257347595722784</v>
      </c>
      <c r="O169" s="35" t="n">
        <v>0.4185639229422067</v>
      </c>
      <c r="P169" s="35" t="n">
        <v>0.3613445378151261</v>
      </c>
      <c r="Q169" s="35" t="n">
        <v>0.7763157894736843</v>
      </c>
      <c r="R169" s="35" t="n">
        <v>0.3492129591071875</v>
      </c>
      <c r="S169" s="35" t="n">
        <v>0.352103271756065</v>
      </c>
      <c r="T169" s="35" t="n">
        <v>0.4024860941772297</v>
      </c>
      <c r="U169" s="30" t="n">
        <v>81000</v>
      </c>
      <c r="V169" s="30" t="n">
        <v>14230</v>
      </c>
      <c r="W169" s="35" t="n">
        <v>0</v>
      </c>
      <c r="X169" s="35" t="n">
        <v>4.692199578355587</v>
      </c>
      <c r="Y169" s="30" t="n">
        <v>95312200</v>
      </c>
      <c r="Z169" s="30" t="n">
        <v>7720288200000</v>
      </c>
      <c r="AA169" s="30" t="n">
        <v>666601650000</v>
      </c>
      <c r="AB169" s="30" t="n">
        <v>136567745560</v>
      </c>
      <c r="AC169" s="35" t="n">
        <v>0.08634414062418033</v>
      </c>
      <c r="AD169" s="24" t="inlineStr">
        <is>
          <t>yfinance_download</t>
        </is>
      </c>
      <c r="AE169" s="24" t="inlineStr">
        <is>
          <t>042700.KS</t>
        </is>
      </c>
    </row>
    <row r="170" ht="24" customHeight="1">
      <c r="A170" s="29" t="inlineStr">
        <is>
          <t>2024-02-14</t>
        </is>
      </c>
      <c r="B170" s="31" t="n">
        <v>79400</v>
      </c>
      <c r="C170" s="31" t="n">
        <v>80300</v>
      </c>
      <c r="D170" s="31" t="n">
        <v>76500</v>
      </c>
      <c r="E170" s="31" t="n">
        <v>79000</v>
      </c>
      <c r="F170" s="31" t="n">
        <v>77786.6953125</v>
      </c>
      <c r="G170" s="31" t="n">
        <v>3161333</v>
      </c>
      <c r="H170" s="36" t="n">
        <v>-0.02469135802469136</v>
      </c>
      <c r="I170" s="36" t="n">
        <v>-0.02469135802469136</v>
      </c>
      <c r="J170" s="31" t="n">
        <v>61175</v>
      </c>
      <c r="K170" s="31" t="n">
        <v>60185</v>
      </c>
      <c r="L170" s="31" t="n">
        <v>58011.66666666666</v>
      </c>
      <c r="M170" s="36" t="n">
        <v>1.147716942470097</v>
      </c>
      <c r="N170" s="36" t="n">
        <v>0.7233153777017461</v>
      </c>
      <c r="O170" s="36" t="n">
        <v>0.405693950177936</v>
      </c>
      <c r="P170" s="36" t="n">
        <v>0.2680577849117174</v>
      </c>
      <c r="Q170" s="36" t="n">
        <v>0.6407061266874352</v>
      </c>
      <c r="R170" s="36" t="n">
        <v>0.2913771965672252</v>
      </c>
      <c r="S170" s="36" t="n">
        <v>0.3126194234443798</v>
      </c>
      <c r="T170" s="36" t="n">
        <v>0.3617950412273394</v>
      </c>
      <c r="U170" s="31" t="n">
        <v>81000</v>
      </c>
      <c r="V170" s="31" t="n">
        <v>14230</v>
      </c>
      <c r="W170" s="36" t="n">
        <v>-0.02469135802469136</v>
      </c>
      <c r="X170" s="36" t="n">
        <v>4.551651440618412</v>
      </c>
      <c r="Y170" s="31" t="n">
        <v>95312200</v>
      </c>
      <c r="Z170" s="31" t="n">
        <v>7529663800000</v>
      </c>
      <c r="AA170" s="31" t="n">
        <v>249745307000</v>
      </c>
      <c r="AB170" s="31" t="n">
        <v>148889917790</v>
      </c>
      <c r="AC170" s="36" t="n">
        <v>0.03316818833265836</v>
      </c>
      <c r="AD170" s="29" t="inlineStr">
        <is>
          <t>yfinance_download</t>
        </is>
      </c>
      <c r="AE170" s="29" t="inlineStr">
        <is>
          <t>042700.KS</t>
        </is>
      </c>
    </row>
    <row r="171" ht="24" customHeight="1">
      <c r="A171" s="24" t="inlineStr">
        <is>
          <t>2024-02-15</t>
        </is>
      </c>
      <c r="B171" s="30" t="n">
        <v>80100</v>
      </c>
      <c r="C171" s="30" t="n">
        <v>80300</v>
      </c>
      <c r="D171" s="30" t="n">
        <v>74400</v>
      </c>
      <c r="E171" s="30" t="n">
        <v>75000</v>
      </c>
      <c r="F171" s="30" t="n">
        <v>73848.1328125</v>
      </c>
      <c r="G171" s="30" t="n">
        <v>2849519</v>
      </c>
      <c r="H171" s="35" t="n">
        <v>-0.05063291139240511</v>
      </c>
      <c r="I171" s="35" t="n">
        <v>-0.07407407407407407</v>
      </c>
      <c r="J171" s="30" t="n">
        <v>62290</v>
      </c>
      <c r="K171" s="30" t="n">
        <v>60395</v>
      </c>
      <c r="L171" s="30" t="n">
        <v>58230.41666666666</v>
      </c>
      <c r="M171" s="35" t="n">
        <v>1.137434129875285</v>
      </c>
      <c r="N171" s="35" t="n">
        <v>0.7321893504470995</v>
      </c>
      <c r="O171" s="35" t="n">
        <v>0.4231499051233396</v>
      </c>
      <c r="P171" s="35" t="n">
        <v>0.2019230769230769</v>
      </c>
      <c r="Q171" s="35" t="n">
        <v>0.5384615384615385</v>
      </c>
      <c r="R171" s="35" t="n">
        <v>0.2040455931931289</v>
      </c>
      <c r="S171" s="35" t="n">
        <v>0.2418246543588045</v>
      </c>
      <c r="T171" s="35" t="n">
        <v>0.2879866621825651</v>
      </c>
      <c r="U171" s="30" t="n">
        <v>81000</v>
      </c>
      <c r="V171" s="30" t="n">
        <v>14230</v>
      </c>
      <c r="W171" s="35" t="n">
        <v>-0.07407407407407407</v>
      </c>
      <c r="X171" s="35" t="n">
        <v>4.270555165144062</v>
      </c>
      <c r="Y171" s="30" t="n">
        <v>95312200</v>
      </c>
      <c r="Z171" s="30" t="n">
        <v>7148415000000</v>
      </c>
      <c r="AA171" s="30" t="n">
        <v>213713925000</v>
      </c>
      <c r="AB171" s="30" t="n">
        <v>153962307795</v>
      </c>
      <c r="AC171" s="35" t="n">
        <v>0.0298966868879325</v>
      </c>
      <c r="AD171" s="24" t="inlineStr">
        <is>
          <t>yfinance_download</t>
        </is>
      </c>
      <c r="AE171" s="24" t="inlineStr">
        <is>
          <t>042700.KS</t>
        </is>
      </c>
    </row>
    <row r="172" ht="24" customHeight="1">
      <c r="A172" s="29" t="inlineStr">
        <is>
          <t>2024-02-16</t>
        </is>
      </c>
      <c r="B172" s="31" t="n">
        <v>75500</v>
      </c>
      <c r="C172" s="31" t="n">
        <v>78100</v>
      </c>
      <c r="D172" s="31" t="n">
        <v>74500</v>
      </c>
      <c r="E172" s="31" t="n">
        <v>75400</v>
      </c>
      <c r="F172" s="31" t="n">
        <v>74241.9921875</v>
      </c>
      <c r="G172" s="31" t="n">
        <v>2283900</v>
      </c>
      <c r="H172" s="36" t="n">
        <v>0.005333333333333412</v>
      </c>
      <c r="I172" s="36" t="n">
        <v>-0.06913580246913575</v>
      </c>
      <c r="J172" s="31" t="n">
        <v>63440</v>
      </c>
      <c r="K172" s="31" t="n">
        <v>60605</v>
      </c>
      <c r="L172" s="31" t="n">
        <v>58377.08333333334</v>
      </c>
      <c r="M172" s="36" t="n">
        <v>1.134813087831019</v>
      </c>
      <c r="N172" s="36" t="n">
        <v>0.732177505563227</v>
      </c>
      <c r="O172" s="36" t="n">
        <v>0.4389312977099236</v>
      </c>
      <c r="P172" s="36" t="n">
        <v>0.2006369426751593</v>
      </c>
      <c r="Q172" s="36" t="n">
        <v>0.3044982698961938</v>
      </c>
      <c r="R172" s="36" t="n">
        <v>0.1885245901639345</v>
      </c>
      <c r="S172" s="36" t="n">
        <v>0.2441217721310123</v>
      </c>
      <c r="T172" s="36" t="n">
        <v>0.2916027265265335</v>
      </c>
      <c r="U172" s="31" t="n">
        <v>81000</v>
      </c>
      <c r="V172" s="31" t="n">
        <v>14230</v>
      </c>
      <c r="W172" s="36" t="n">
        <v>-0.06913580246913575</v>
      </c>
      <c r="X172" s="36" t="n">
        <v>4.298664792691497</v>
      </c>
      <c r="Y172" s="31" t="n">
        <v>95312200</v>
      </c>
      <c r="Z172" s="31" t="n">
        <v>7186539880000</v>
      </c>
      <c r="AA172" s="31" t="n">
        <v>172206060000</v>
      </c>
      <c r="AB172" s="31" t="n">
        <v>160591848875</v>
      </c>
      <c r="AC172" s="36" t="n">
        <v>0.02396230493053355</v>
      </c>
      <c r="AD172" s="29" t="inlineStr">
        <is>
          <t>yfinance_download</t>
        </is>
      </c>
      <c r="AE172" s="29" t="inlineStr">
        <is>
          <t>042700.KS</t>
        </is>
      </c>
    </row>
    <row r="173" ht="24" customHeight="1">
      <c r="A173" s="24" t="inlineStr">
        <is>
          <t>2024-02-19</t>
        </is>
      </c>
      <c r="B173" s="30" t="n">
        <v>74800</v>
      </c>
      <c r="C173" s="30" t="n">
        <v>77000</v>
      </c>
      <c r="D173" s="30" t="n">
        <v>73500</v>
      </c>
      <c r="E173" s="30" t="n">
        <v>74500</v>
      </c>
      <c r="F173" s="30" t="n">
        <v>73355.8046875</v>
      </c>
      <c r="G173" s="30" t="n">
        <v>1447091</v>
      </c>
      <c r="H173" s="35" t="n">
        <v>-0.01193633952254647</v>
      </c>
      <c r="I173" s="35" t="n">
        <v>-0.08024691358024694</v>
      </c>
      <c r="J173" s="30" t="n">
        <v>64355</v>
      </c>
      <c r="K173" s="30" t="n">
        <v>60813.33333333334</v>
      </c>
      <c r="L173" s="30" t="n">
        <v>58500.41666666666</v>
      </c>
      <c r="M173" s="35" t="n">
        <v>1.122961625441595</v>
      </c>
      <c r="N173" s="35" t="n">
        <v>0.7321010918479027</v>
      </c>
      <c r="O173" s="35" t="n">
        <v>0.3256227758007118</v>
      </c>
      <c r="P173" s="35" t="n">
        <v>0.2016129032258065</v>
      </c>
      <c r="Q173" s="35" t="n">
        <v>0.2479061976549413</v>
      </c>
      <c r="R173" s="35" t="n">
        <v>0.1576412089192758</v>
      </c>
      <c r="S173" s="35" t="n">
        <v>0.2250602937952202</v>
      </c>
      <c r="T173" s="35" t="n">
        <v>0.2734952030256195</v>
      </c>
      <c r="U173" s="30" t="n">
        <v>81000</v>
      </c>
      <c r="V173" s="30" t="n">
        <v>14230</v>
      </c>
      <c r="W173" s="35" t="n">
        <v>-0.08024691358024694</v>
      </c>
      <c r="X173" s="35" t="n">
        <v>4.235418130709768</v>
      </c>
      <c r="Y173" s="30" t="n">
        <v>95312200</v>
      </c>
      <c r="Z173" s="30" t="n">
        <v>7100758900000</v>
      </c>
      <c r="AA173" s="30" t="n">
        <v>107808279500</v>
      </c>
      <c r="AB173" s="30" t="n">
        <v>162148917050</v>
      </c>
      <c r="AC173" s="35" t="n">
        <v>0.01518264188634823</v>
      </c>
      <c r="AD173" s="24" t="inlineStr">
        <is>
          <t>yfinance_download</t>
        </is>
      </c>
      <c r="AE173" s="24" t="inlineStr">
        <is>
          <t>042700.KS</t>
        </is>
      </c>
    </row>
    <row r="174" ht="24" customHeight="1">
      <c r="A174" s="29" t="inlineStr">
        <is>
          <t>2024-02-20</t>
        </is>
      </c>
      <c r="B174" s="31" t="n">
        <v>75600</v>
      </c>
      <c r="C174" s="31" t="n">
        <v>77900</v>
      </c>
      <c r="D174" s="31" t="n">
        <v>73600</v>
      </c>
      <c r="E174" s="31" t="n">
        <v>74500</v>
      </c>
      <c r="F174" s="31" t="n">
        <v>73355.8046875</v>
      </c>
      <c r="G174" s="31" t="n">
        <v>1612602</v>
      </c>
      <c r="H174" s="36" t="n">
        <v>0</v>
      </c>
      <c r="I174" s="36" t="n">
        <v>-0.08024691358024694</v>
      </c>
      <c r="J174" s="31" t="n">
        <v>65195</v>
      </c>
      <c r="K174" s="31" t="n">
        <v>61030</v>
      </c>
      <c r="L174" s="31" t="n">
        <v>58656.25</v>
      </c>
      <c r="M174" s="36" t="n">
        <v>1.123662360709131</v>
      </c>
      <c r="N174" s="36" t="n">
        <v>0.7317203524204761</v>
      </c>
      <c r="O174" s="36" t="n">
        <v>0.291161178509532</v>
      </c>
      <c r="P174" s="36" t="n">
        <v>0.2113821138211383</v>
      </c>
      <c r="Q174" s="36" t="n">
        <v>0.3351254480286738</v>
      </c>
      <c r="R174" s="36" t="n">
        <v>0.1427256691464069</v>
      </c>
      <c r="S174" s="36" t="n">
        <v>0.2207111256758971</v>
      </c>
      <c r="T174" s="36" t="n">
        <v>0.2701118806606286</v>
      </c>
      <c r="U174" s="31" t="n">
        <v>81000</v>
      </c>
      <c r="V174" s="31" t="n">
        <v>14230</v>
      </c>
      <c r="W174" s="36" t="n">
        <v>-0.08024691358024694</v>
      </c>
      <c r="X174" s="36" t="n">
        <v>4.235418130709768</v>
      </c>
      <c r="Y174" s="31" t="n">
        <v>95312200</v>
      </c>
      <c r="Z174" s="31" t="n">
        <v>7100758900000</v>
      </c>
      <c r="AA174" s="31" t="n">
        <v>120138849000</v>
      </c>
      <c r="AB174" s="31" t="n">
        <v>164465953155</v>
      </c>
      <c r="AC174" s="36" t="n">
        <v>0.01691915620455723</v>
      </c>
      <c r="AD174" s="29" t="inlineStr">
        <is>
          <t>yfinance_download</t>
        </is>
      </c>
      <c r="AE174" s="29" t="inlineStr">
        <is>
          <t>042700.KS</t>
        </is>
      </c>
    </row>
    <row r="175" ht="24" customHeight="1">
      <c r="A175" s="24" t="inlineStr">
        <is>
          <t>2024-02-21</t>
        </is>
      </c>
      <c r="B175" s="30" t="n">
        <v>72700</v>
      </c>
      <c r="C175" s="30" t="n">
        <v>74400</v>
      </c>
      <c r="D175" s="30" t="n">
        <v>70700</v>
      </c>
      <c r="E175" s="30" t="n">
        <v>71600</v>
      </c>
      <c r="F175" s="30" t="n">
        <v>70500.3515625</v>
      </c>
      <c r="G175" s="30" t="n">
        <v>1474118</v>
      </c>
      <c r="H175" s="35" t="n">
        <v>-0.03892617449664426</v>
      </c>
      <c r="I175" s="35" t="n">
        <v>-0.1160493827160494</v>
      </c>
      <c r="J175" s="30" t="n">
        <v>65890</v>
      </c>
      <c r="K175" s="30" t="n">
        <v>61195</v>
      </c>
      <c r="L175" s="30" t="n">
        <v>58777.91666666666</v>
      </c>
      <c r="M175" s="35" t="n">
        <v>1.138901242813405</v>
      </c>
      <c r="N175" s="35" t="n">
        <v>0.737021751793816</v>
      </c>
      <c r="O175" s="35" t="n">
        <v>0.2409012131715771</v>
      </c>
      <c r="P175" s="35" t="n">
        <v>0.160453808752026</v>
      </c>
      <c r="Q175" s="35" t="n">
        <v>0.2561403508771929</v>
      </c>
      <c r="R175" s="35" t="n">
        <v>0.08665958415541053</v>
      </c>
      <c r="S175" s="35" t="n">
        <v>0.1700302312280415</v>
      </c>
      <c r="T175" s="35" t="n">
        <v>0.2181445696016786</v>
      </c>
      <c r="U175" s="30" t="n">
        <v>81000</v>
      </c>
      <c r="V175" s="30" t="n">
        <v>14230</v>
      </c>
      <c r="W175" s="35" t="n">
        <v>-0.1160493827160494</v>
      </c>
      <c r="X175" s="35" t="n">
        <v>4.031623330990865</v>
      </c>
      <c r="Y175" s="30" t="n">
        <v>95312200</v>
      </c>
      <c r="Z175" s="30" t="n">
        <v>6824353520000</v>
      </c>
      <c r="AA175" s="30" t="n">
        <v>105546848800</v>
      </c>
      <c r="AB175" s="30" t="n">
        <v>166076068235</v>
      </c>
      <c r="AC175" s="35" t="n">
        <v>0.01546620474608707</v>
      </c>
      <c r="AD175" s="24" t="inlineStr">
        <is>
          <t>yfinance_download</t>
        </is>
      </c>
      <c r="AE175" s="24" t="inlineStr">
        <is>
          <t>042700.KS</t>
        </is>
      </c>
    </row>
    <row r="176" ht="24" customHeight="1">
      <c r="A176" s="29" t="inlineStr">
        <is>
          <t>2024-02-22</t>
        </is>
      </c>
      <c r="B176" s="31" t="n">
        <v>75700</v>
      </c>
      <c r="C176" s="31" t="n">
        <v>76700</v>
      </c>
      <c r="D176" s="31" t="n">
        <v>73500</v>
      </c>
      <c r="E176" s="31" t="n">
        <v>76400</v>
      </c>
      <c r="F176" s="31" t="n">
        <v>75226.6328125</v>
      </c>
      <c r="G176" s="31" t="n">
        <v>2925823</v>
      </c>
      <c r="H176" s="36" t="n">
        <v>0.06703910614525133</v>
      </c>
      <c r="I176" s="36" t="n">
        <v>-0.05679012345679013</v>
      </c>
      <c r="J176" s="31" t="n">
        <v>66825</v>
      </c>
      <c r="K176" s="31" t="n">
        <v>61473.33333333334</v>
      </c>
      <c r="L176" s="31" t="n">
        <v>58952.08333333334</v>
      </c>
      <c r="M176" s="36" t="n">
        <v>1.153553309544875</v>
      </c>
      <c r="N176" s="36" t="n">
        <v>0.7445115573047971</v>
      </c>
      <c r="O176" s="36" t="n">
        <v>0.3240901213171576</v>
      </c>
      <c r="P176" s="36" t="n">
        <v>0.2797319932998326</v>
      </c>
      <c r="Q176" s="36" t="n">
        <v>0.3765765765765765</v>
      </c>
      <c r="R176" s="36" t="n">
        <v>0.1432846988402543</v>
      </c>
      <c r="S176" s="36" t="n">
        <v>0.2428153128727903</v>
      </c>
      <c r="T176" s="36" t="n">
        <v>0.2959677704350283</v>
      </c>
      <c r="U176" s="31" t="n">
        <v>81000</v>
      </c>
      <c r="V176" s="31" t="n">
        <v>14230</v>
      </c>
      <c r="W176" s="36" t="n">
        <v>-0.05679012345679013</v>
      </c>
      <c r="X176" s="36" t="n">
        <v>4.368938861560085</v>
      </c>
      <c r="Y176" s="31" t="n">
        <v>95312200</v>
      </c>
      <c r="Z176" s="31" t="n">
        <v>7281852080000</v>
      </c>
      <c r="AA176" s="31" t="n">
        <v>223532877200</v>
      </c>
      <c r="AB176" s="31" t="n">
        <v>173841698700</v>
      </c>
      <c r="AC176" s="36" t="n">
        <v>0.03069725596513353</v>
      </c>
      <c r="AD176" s="29" t="inlineStr">
        <is>
          <t>yfinance_download</t>
        </is>
      </c>
      <c r="AE176" s="29" t="inlineStr">
        <is>
          <t>042700.KS</t>
        </is>
      </c>
    </row>
    <row r="177" ht="24" customHeight="1">
      <c r="A177" s="24" t="inlineStr">
        <is>
          <t>2024-02-23</t>
        </is>
      </c>
      <c r="B177" s="30" t="n">
        <v>79100</v>
      </c>
      <c r="C177" s="30" t="n">
        <v>79300</v>
      </c>
      <c r="D177" s="30" t="n">
        <v>72800</v>
      </c>
      <c r="E177" s="30" t="n">
        <v>73800</v>
      </c>
      <c r="F177" s="30" t="n">
        <v>72666.5625</v>
      </c>
      <c r="G177" s="30" t="n">
        <v>2230652</v>
      </c>
      <c r="H177" s="35" t="n">
        <v>-0.03403141361256545</v>
      </c>
      <c r="I177" s="35" t="n">
        <v>-0.08888888888888891</v>
      </c>
      <c r="J177" s="30" t="n">
        <v>67555</v>
      </c>
      <c r="K177" s="30" t="n">
        <v>61690</v>
      </c>
      <c r="L177" s="30" t="n">
        <v>59113.75</v>
      </c>
      <c r="M177" s="35" t="n">
        <v>1.166472854211725</v>
      </c>
      <c r="N177" s="35" t="n">
        <v>0.7482475517012468</v>
      </c>
      <c r="O177" s="35" t="n">
        <v>0.2466216216216217</v>
      </c>
      <c r="P177" s="35" t="n">
        <v>0.2138157894736843</v>
      </c>
      <c r="Q177" s="35" t="n">
        <v>0.3566176470588236</v>
      </c>
      <c r="R177" s="35" t="n">
        <v>0.09244319443416482</v>
      </c>
      <c r="S177" s="35" t="n">
        <v>0.1963041011509159</v>
      </c>
      <c r="T177" s="35" t="n">
        <v>0.2484405066503139</v>
      </c>
      <c r="U177" s="30" t="n">
        <v>81000</v>
      </c>
      <c r="V177" s="30" t="n">
        <v>14230</v>
      </c>
      <c r="W177" s="35" t="n">
        <v>-0.08888888888888891</v>
      </c>
      <c r="X177" s="35" t="n">
        <v>4.186226282501757</v>
      </c>
      <c r="Y177" s="30" t="n">
        <v>95312200</v>
      </c>
      <c r="Z177" s="30" t="n">
        <v>7034040360000</v>
      </c>
      <c r="AA177" s="30" t="n">
        <v>164622117600</v>
      </c>
      <c r="AB177" s="30" t="n">
        <v>178148170180</v>
      </c>
      <c r="AC177" s="35" t="n">
        <v>0.02340363563111543</v>
      </c>
      <c r="AD177" s="24" t="inlineStr">
        <is>
          <t>yfinance_download</t>
        </is>
      </c>
      <c r="AE177" s="24" t="inlineStr">
        <is>
          <t>042700.KS</t>
        </is>
      </c>
    </row>
    <row r="178" ht="24" customHeight="1">
      <c r="A178" s="29" t="inlineStr">
        <is>
          <t>2024-02-26</t>
        </is>
      </c>
      <c r="B178" s="31" t="n">
        <v>74000</v>
      </c>
      <c r="C178" s="31" t="n">
        <v>85200</v>
      </c>
      <c r="D178" s="31" t="n">
        <v>73800</v>
      </c>
      <c r="E178" s="31" t="n">
        <v>77700</v>
      </c>
      <c r="F178" s="31" t="n">
        <v>76506.6640625</v>
      </c>
      <c r="G178" s="31" t="n">
        <v>7478453</v>
      </c>
      <c r="H178" s="36" t="n">
        <v>0.05284552845528445</v>
      </c>
      <c r="I178" s="36" t="n">
        <v>-0.04074074074074074</v>
      </c>
      <c r="J178" s="31" t="n">
        <v>68555</v>
      </c>
      <c r="K178" s="31" t="n">
        <v>61990</v>
      </c>
      <c r="L178" s="31" t="n">
        <v>59302.91666666666</v>
      </c>
      <c r="M178" s="36" t="n">
        <v>1.165132850250505</v>
      </c>
      <c r="N178" s="36" t="n">
        <v>0.7533243903210575</v>
      </c>
      <c r="O178" s="36" t="n">
        <v>0.3466204506065858</v>
      </c>
      <c r="P178" s="36" t="n">
        <v>0.3015075376884422</v>
      </c>
      <c r="Q178" s="36" t="n">
        <v>0.4127272727272728</v>
      </c>
      <c r="R178" s="36" t="n">
        <v>0.1333965429217416</v>
      </c>
      <c r="S178" s="36" t="n">
        <v>0.2534279722535893</v>
      </c>
      <c r="T178" s="36" t="n">
        <v>0.3102222347130201</v>
      </c>
      <c r="U178" s="31" t="n">
        <v>81000</v>
      </c>
      <c r="V178" s="31" t="n">
        <v>14230</v>
      </c>
      <c r="W178" s="36" t="n">
        <v>-0.04074074074074074</v>
      </c>
      <c r="X178" s="36" t="n">
        <v>4.460295151089248</v>
      </c>
      <c r="Y178" s="31" t="n">
        <v>95312200</v>
      </c>
      <c r="Z178" s="31" t="n">
        <v>7405757940000</v>
      </c>
      <c r="AA178" s="31" t="n">
        <v>581075798100</v>
      </c>
      <c r="AB178" s="31" t="n">
        <v>204268942145</v>
      </c>
      <c r="AC178" s="36" t="n">
        <v>0.07846270466949666</v>
      </c>
      <c r="AD178" s="29" t="inlineStr">
        <is>
          <t>yfinance_download</t>
        </is>
      </c>
      <c r="AE178" s="29" t="inlineStr">
        <is>
          <t>042700.KS</t>
        </is>
      </c>
    </row>
    <row r="179" ht="24" customHeight="1">
      <c r="A179" s="24" t="inlineStr">
        <is>
          <t>2024-02-27</t>
        </is>
      </c>
      <c r="B179" s="30" t="n">
        <v>76700</v>
      </c>
      <c r="C179" s="30" t="n">
        <v>84300</v>
      </c>
      <c r="D179" s="30" t="n">
        <v>76600</v>
      </c>
      <c r="E179" s="30" t="n">
        <v>82700</v>
      </c>
      <c r="F179" s="30" t="n">
        <v>81429.875</v>
      </c>
      <c r="G179" s="30" t="n">
        <v>5274478</v>
      </c>
      <c r="H179" s="35" t="n">
        <v>0.0643500643500643</v>
      </c>
      <c r="I179" s="35" t="n">
        <v>0</v>
      </c>
      <c r="J179" s="30" t="n">
        <v>69755</v>
      </c>
      <c r="K179" s="30" t="n">
        <v>62341.66666666666</v>
      </c>
      <c r="L179" s="30" t="n">
        <v>59531.25</v>
      </c>
      <c r="M179" s="35" t="n">
        <v>1.177087638754938</v>
      </c>
      <c r="N179" s="35" t="n">
        <v>0.7611083453653136</v>
      </c>
      <c r="O179" s="35" t="n">
        <v>0.4088586030664396</v>
      </c>
      <c r="P179" s="35" t="n">
        <v>0.3425324675324675</v>
      </c>
      <c r="Q179" s="35" t="n">
        <v>0.4954792043399638</v>
      </c>
      <c r="R179" s="35" t="n">
        <v>0.1855780947602323</v>
      </c>
      <c r="S179" s="35" t="n">
        <v>0.3265606202379361</v>
      </c>
      <c r="T179" s="35" t="n">
        <v>0.3891863517060368</v>
      </c>
      <c r="U179" s="30" t="n">
        <v>82700</v>
      </c>
      <c r="V179" s="30" t="n">
        <v>14230</v>
      </c>
      <c r="W179" s="35" t="n">
        <v>0</v>
      </c>
      <c r="X179" s="35" t="n">
        <v>4.811665495432186</v>
      </c>
      <c r="Y179" s="30" t="n">
        <v>95312200</v>
      </c>
      <c r="Z179" s="30" t="n">
        <v>7882318940000</v>
      </c>
      <c r="AA179" s="30" t="n">
        <v>436199330600</v>
      </c>
      <c r="AB179" s="30" t="n">
        <v>223631547185</v>
      </c>
      <c r="AC179" s="35" t="n">
        <v>0.05533895975541431</v>
      </c>
      <c r="AD179" s="24" t="inlineStr">
        <is>
          <t>yfinance_download</t>
        </is>
      </c>
      <c r="AE179" s="24" t="inlineStr">
        <is>
          <t>042700.KS</t>
        </is>
      </c>
    </row>
    <row r="180" ht="24" customHeight="1">
      <c r="A180" s="29" t="inlineStr">
        <is>
          <t>2024-02-28</t>
        </is>
      </c>
      <c r="B180" s="31" t="n">
        <v>82100</v>
      </c>
      <c r="C180" s="31" t="n">
        <v>91300</v>
      </c>
      <c r="D180" s="31" t="n">
        <v>80100</v>
      </c>
      <c r="E180" s="31" t="n">
        <v>90100</v>
      </c>
      <c r="F180" s="31" t="n">
        <v>88716.234375</v>
      </c>
      <c r="G180" s="31" t="n">
        <v>5765035</v>
      </c>
      <c r="H180" s="36" t="n">
        <v>0.08948004836759371</v>
      </c>
      <c r="I180" s="36" t="n">
        <v>0</v>
      </c>
      <c r="J180" s="31" t="n">
        <v>71270</v>
      </c>
      <c r="K180" s="31" t="n">
        <v>62825</v>
      </c>
      <c r="L180" s="31" t="n">
        <v>59806.25</v>
      </c>
      <c r="M180" s="36" t="n">
        <v>1.202928855389254</v>
      </c>
      <c r="N180" s="36" t="n">
        <v>0.7794746423210838</v>
      </c>
      <c r="O180" s="36" t="n">
        <v>0.5066889632107023</v>
      </c>
      <c r="P180" s="36" t="n">
        <v>0.474631751227496</v>
      </c>
      <c r="Q180" s="36" t="n">
        <v>0.5779334500875657</v>
      </c>
      <c r="R180" s="36" t="n">
        <v>0.2642065385155044</v>
      </c>
      <c r="S180" s="36" t="n">
        <v>0.434142459212097</v>
      </c>
      <c r="T180" s="36" t="n">
        <v>0.5065315079945658</v>
      </c>
      <c r="U180" s="31" t="n">
        <v>90100</v>
      </c>
      <c r="V180" s="31" t="n">
        <v>14230</v>
      </c>
      <c r="W180" s="36" t="n">
        <v>0</v>
      </c>
      <c r="X180" s="36" t="n">
        <v>5.331693605059733</v>
      </c>
      <c r="Y180" s="31" t="n">
        <v>95312200</v>
      </c>
      <c r="Z180" s="31" t="n">
        <v>8587629220000</v>
      </c>
      <c r="AA180" s="31" t="n">
        <v>519429653500</v>
      </c>
      <c r="AB180" s="31" t="n">
        <v>243957344750</v>
      </c>
      <c r="AC180" s="36" t="n">
        <v>0.06048580349629953</v>
      </c>
      <c r="AD180" s="29" t="inlineStr">
        <is>
          <t>yfinance_download</t>
        </is>
      </c>
      <c r="AE180" s="29" t="inlineStr">
        <is>
          <t>042700.KS</t>
        </is>
      </c>
    </row>
    <row r="181" ht="24" customHeight="1">
      <c r="A181" s="24" t="inlineStr">
        <is>
          <t>2024-02-29</t>
        </is>
      </c>
      <c r="B181" s="30" t="n">
        <v>87700</v>
      </c>
      <c r="C181" s="30" t="n">
        <v>88700</v>
      </c>
      <c r="D181" s="30" t="n">
        <v>84500</v>
      </c>
      <c r="E181" s="30" t="n">
        <v>84800</v>
      </c>
      <c r="F181" s="30" t="n">
        <v>83497.6171875</v>
      </c>
      <c r="G181" s="30" t="n">
        <v>2639987</v>
      </c>
      <c r="H181" s="35" t="n">
        <v>-0.05882352941176472</v>
      </c>
      <c r="I181" s="35" t="n">
        <v>-0.05882352941176472</v>
      </c>
      <c r="J181" s="30" t="n">
        <v>72535</v>
      </c>
      <c r="K181" s="30" t="n">
        <v>63178.33333333334</v>
      </c>
      <c r="L181" s="30" t="n">
        <v>60014.58333333334</v>
      </c>
      <c r="M181" s="35" t="n">
        <v>1.234363020339236</v>
      </c>
      <c r="N181" s="35" t="n">
        <v>0.7879970146093613</v>
      </c>
      <c r="O181" s="35" t="n">
        <v>0.4252100840336135</v>
      </c>
      <c r="P181" s="35" t="n">
        <v>0.3333333333333333</v>
      </c>
      <c r="Q181" s="35" t="n">
        <v>0.4180602006688963</v>
      </c>
      <c r="R181" s="35" t="n">
        <v>0.1690907837595643</v>
      </c>
      <c r="S181" s="35" t="n">
        <v>0.3422323053789538</v>
      </c>
      <c r="T181" s="35" t="n">
        <v>0.4129898982886104</v>
      </c>
      <c r="U181" s="30" t="n">
        <v>90100</v>
      </c>
      <c r="V181" s="30" t="n">
        <v>14230</v>
      </c>
      <c r="W181" s="35" t="n">
        <v>-0.05882352941176472</v>
      </c>
      <c r="X181" s="35" t="n">
        <v>4.959241040056219</v>
      </c>
      <c r="Y181" s="30" t="n">
        <v>95312200</v>
      </c>
      <c r="Z181" s="30" t="n">
        <v>8082474560000</v>
      </c>
      <c r="AA181" s="30" t="n">
        <v>223870897600</v>
      </c>
      <c r="AB181" s="30" t="n">
        <v>253564572030</v>
      </c>
      <c r="AC181" s="35" t="n">
        <v>0.02769831144386553</v>
      </c>
      <c r="AD181" s="24" t="inlineStr">
        <is>
          <t>yfinance_download</t>
        </is>
      </c>
      <c r="AE181" s="24" t="inlineStr">
        <is>
          <t>042700.KS</t>
        </is>
      </c>
    </row>
    <row r="182" ht="24" customHeight="1">
      <c r="A182" s="29" t="inlineStr">
        <is>
          <t>2024-03-04</t>
        </is>
      </c>
      <c r="B182" s="31" t="n">
        <v>87900</v>
      </c>
      <c r="C182" s="31" t="n">
        <v>101500</v>
      </c>
      <c r="D182" s="31" t="n">
        <v>87500</v>
      </c>
      <c r="E182" s="31" t="n">
        <v>95400</v>
      </c>
      <c r="F182" s="31" t="n">
        <v>93934.828125</v>
      </c>
      <c r="G182" s="31" t="n">
        <v>9385190</v>
      </c>
      <c r="H182" s="36" t="n">
        <v>0.125</v>
      </c>
      <c r="I182" s="36" t="n">
        <v>0</v>
      </c>
      <c r="J182" s="31" t="n">
        <v>74370</v>
      </c>
      <c r="K182" s="31" t="n">
        <v>63735</v>
      </c>
      <c r="L182" s="31" t="n">
        <v>60322.08333333334</v>
      </c>
      <c r="M182" s="36" t="n">
        <v>1.280943519677079</v>
      </c>
      <c r="N182" s="36" t="n">
        <v>0.8220754158895416</v>
      </c>
      <c r="O182" s="36" t="n">
        <v>0.625212947189097</v>
      </c>
      <c r="P182" s="36" t="n">
        <v>0.5387096774193549</v>
      </c>
      <c r="Q182" s="36" t="n">
        <v>0.6307692307692307</v>
      </c>
      <c r="R182" s="36" t="n">
        <v>0.2827753126260588</v>
      </c>
      <c r="S182" s="36" t="n">
        <v>0.4968227818310191</v>
      </c>
      <c r="T182" s="36" t="n">
        <v>0.5815103645016682</v>
      </c>
      <c r="U182" s="31" t="n">
        <v>95400</v>
      </c>
      <c r="V182" s="31" t="n">
        <v>14230</v>
      </c>
      <c r="W182" s="36" t="n">
        <v>0</v>
      </c>
      <c r="X182" s="36" t="n">
        <v>5.704146170063247</v>
      </c>
      <c r="Y182" s="31" t="n">
        <v>95312200</v>
      </c>
      <c r="Z182" s="31" t="n">
        <v>9092783880000</v>
      </c>
      <c r="AA182" s="31" t="n">
        <v>895347126000</v>
      </c>
      <c r="AB182" s="31" t="n">
        <v>296705251540</v>
      </c>
      <c r="AC182" s="36" t="n">
        <v>0.09846787714479363</v>
      </c>
      <c r="AD182" s="29" t="inlineStr">
        <is>
          <t>yfinance_download</t>
        </is>
      </c>
      <c r="AE182" s="29" t="inlineStr">
        <is>
          <t>042700.KS</t>
        </is>
      </c>
    </row>
    <row r="183" ht="24" customHeight="1">
      <c r="A183" s="24" t="inlineStr">
        <is>
          <t>2024-03-05</t>
        </is>
      </c>
      <c r="B183" s="30" t="n">
        <v>96000</v>
      </c>
      <c r="C183" s="30" t="n">
        <v>97600</v>
      </c>
      <c r="D183" s="30" t="n">
        <v>93500</v>
      </c>
      <c r="E183" s="30" t="n">
        <v>94800</v>
      </c>
      <c r="F183" s="30" t="n">
        <v>93344.0390625</v>
      </c>
      <c r="G183" s="30" t="n">
        <v>2547467</v>
      </c>
      <c r="H183" s="35" t="n">
        <v>-0.006289308176100628</v>
      </c>
      <c r="I183" s="35" t="n">
        <v>-0.006289308176100628</v>
      </c>
      <c r="J183" s="30" t="n">
        <v>76240</v>
      </c>
      <c r="K183" s="30" t="n">
        <v>64318.33333333334</v>
      </c>
      <c r="L183" s="30" t="n">
        <v>60627.08333333334</v>
      </c>
      <c r="M183" s="35" t="n">
        <v>1.274037317146961</v>
      </c>
      <c r="N183" s="35" t="n">
        <v>0.8175844451142038</v>
      </c>
      <c r="O183" s="35" t="n">
        <v>0.6515679442508711</v>
      </c>
      <c r="P183" s="35" t="n">
        <v>0.5852842809364549</v>
      </c>
      <c r="Q183" s="35" t="n">
        <v>0.6288659793814433</v>
      </c>
      <c r="R183" s="35" t="n">
        <v>0.2434417628541448</v>
      </c>
      <c r="S183" s="35" t="n">
        <v>0.473918789355031</v>
      </c>
      <c r="T183" s="35" t="n">
        <v>0.5636576062678258</v>
      </c>
      <c r="U183" s="30" t="n">
        <v>95400</v>
      </c>
      <c r="V183" s="30" t="n">
        <v>14230</v>
      </c>
      <c r="W183" s="35" t="n">
        <v>-0.006289308176100628</v>
      </c>
      <c r="X183" s="35" t="n">
        <v>5.661981728742094</v>
      </c>
      <c r="Y183" s="30" t="n">
        <v>95312200</v>
      </c>
      <c r="Z183" s="30" t="n">
        <v>9035596560000</v>
      </c>
      <c r="AA183" s="30" t="n">
        <v>241499871600</v>
      </c>
      <c r="AB183" s="30" t="n">
        <v>305848916090</v>
      </c>
      <c r="AC183" s="35" t="n">
        <v>0.02672760674918846</v>
      </c>
      <c r="AD183" s="24" t="inlineStr">
        <is>
          <t>yfinance_download</t>
        </is>
      </c>
      <c r="AE183" s="24" t="inlineStr">
        <is>
          <t>042700.KS</t>
        </is>
      </c>
    </row>
    <row r="184" ht="24" customHeight="1">
      <c r="A184" s="29" t="inlineStr">
        <is>
          <t>2024-03-06</t>
        </is>
      </c>
      <c r="B184" s="31" t="n">
        <v>94300</v>
      </c>
      <c r="C184" s="31" t="n">
        <v>101500</v>
      </c>
      <c r="D184" s="31" t="n">
        <v>92100</v>
      </c>
      <c r="E184" s="31" t="n">
        <v>101400</v>
      </c>
      <c r="F184" s="31" t="n">
        <v>100286.984375</v>
      </c>
      <c r="G184" s="31" t="n">
        <v>3566477</v>
      </c>
      <c r="H184" s="36" t="n">
        <v>0.06962025316455689</v>
      </c>
      <c r="I184" s="36" t="n">
        <v>0</v>
      </c>
      <c r="J184" s="31" t="n">
        <v>78340</v>
      </c>
      <c r="K184" s="31" t="n">
        <v>65045</v>
      </c>
      <c r="L184" s="31" t="n">
        <v>60982.08333333334</v>
      </c>
      <c r="M184" s="36" t="n">
        <v>1.282421600491339</v>
      </c>
      <c r="N184" s="36" t="n">
        <v>0.8220656349362054</v>
      </c>
      <c r="O184" s="36" t="n">
        <v>0.707070707070707</v>
      </c>
      <c r="P184" s="36" t="n">
        <v>0.7543252595155709</v>
      </c>
      <c r="Q184" s="36" t="n">
        <v>0.7244897959183674</v>
      </c>
      <c r="R184" s="36" t="n">
        <v>0.2943579269849375</v>
      </c>
      <c r="S184" s="36" t="n">
        <v>0.5589207471750326</v>
      </c>
      <c r="T184" s="36" t="n">
        <v>0.662783467821833</v>
      </c>
      <c r="U184" s="31" t="n">
        <v>101400</v>
      </c>
      <c r="V184" s="31" t="n">
        <v>14230</v>
      </c>
      <c r="W184" s="36" t="n">
        <v>0</v>
      </c>
      <c r="X184" s="36" t="n">
        <v>6.125790583274772</v>
      </c>
      <c r="Y184" s="31" t="n">
        <v>95312200</v>
      </c>
      <c r="Z184" s="31" t="n">
        <v>9664657080000</v>
      </c>
      <c r="AA184" s="31" t="n">
        <v>361640767800</v>
      </c>
      <c r="AB184" s="31" t="n">
        <v>319839137960</v>
      </c>
      <c r="AC184" s="36" t="n">
        <v>0.03741889285946605</v>
      </c>
      <c r="AD184" s="29" t="inlineStr">
        <is>
          <t>yfinance_download</t>
        </is>
      </c>
      <c r="AE184" s="29" t="inlineStr">
        <is>
          <t>042700.KS</t>
        </is>
      </c>
    </row>
    <row r="185" ht="24" customHeight="1">
      <c r="A185" s="24" t="inlineStr">
        <is>
          <t>2024-03-07</t>
        </is>
      </c>
      <c r="B185" s="30" t="n">
        <v>101400</v>
      </c>
      <c r="C185" s="30" t="n">
        <v>107800</v>
      </c>
      <c r="D185" s="30" t="n">
        <v>96500</v>
      </c>
      <c r="E185" s="30" t="n">
        <v>98700</v>
      </c>
      <c r="F185" s="30" t="n">
        <v>97616.625</v>
      </c>
      <c r="G185" s="30" t="n">
        <v>3422841</v>
      </c>
      <c r="H185" s="35" t="n">
        <v>-0.02662721893491127</v>
      </c>
      <c r="I185" s="35" t="n">
        <v>-0.02662721893491127</v>
      </c>
      <c r="J185" s="30" t="n">
        <v>80335</v>
      </c>
      <c r="K185" s="30" t="n">
        <v>65725</v>
      </c>
      <c r="L185" s="30" t="n">
        <v>61325.41666666666</v>
      </c>
      <c r="M185" s="35" t="n">
        <v>1.290568625998174</v>
      </c>
      <c r="N185" s="35" t="n">
        <v>0.8254199991897515</v>
      </c>
      <c r="O185" s="35" t="n">
        <v>0.6785714285714286</v>
      </c>
      <c r="P185" s="35" t="n">
        <v>0.7046632124352332</v>
      </c>
      <c r="Q185" s="35" t="n">
        <v>0.7165217391304348</v>
      </c>
      <c r="R185" s="35" t="n">
        <v>0.228605215659426</v>
      </c>
      <c r="S185" s="35" t="n">
        <v>0.501711677443895</v>
      </c>
      <c r="T185" s="35" t="n">
        <v>0.6094468715391255</v>
      </c>
      <c r="U185" s="30" t="n">
        <v>101400</v>
      </c>
      <c r="V185" s="30" t="n">
        <v>14230</v>
      </c>
      <c r="W185" s="35" t="n">
        <v>-0.02662721893491127</v>
      </c>
      <c r="X185" s="35" t="n">
        <v>5.936050597329586</v>
      </c>
      <c r="Y185" s="30" t="n">
        <v>95312200</v>
      </c>
      <c r="Z185" s="30" t="n">
        <v>9407314140000</v>
      </c>
      <c r="AA185" s="30" t="n">
        <v>337834406700</v>
      </c>
      <c r="AB185" s="30" t="n">
        <v>335163394355</v>
      </c>
      <c r="AC185" s="35" t="n">
        <v>0.03591188746036709</v>
      </c>
      <c r="AD185" s="24" t="inlineStr">
        <is>
          <t>yfinance_download</t>
        </is>
      </c>
      <c r="AE185" s="24" t="inlineStr">
        <is>
          <t>042700.KS</t>
        </is>
      </c>
    </row>
    <row r="186" ht="24" customHeight="1">
      <c r="A186" s="29" t="inlineStr">
        <is>
          <t>2024-03-08</t>
        </is>
      </c>
      <c r="B186" s="31" t="n">
        <v>102600</v>
      </c>
      <c r="C186" s="31" t="n">
        <v>105000</v>
      </c>
      <c r="D186" s="31" t="n">
        <v>98100</v>
      </c>
      <c r="E186" s="31" t="n">
        <v>100100</v>
      </c>
      <c r="F186" s="31" t="n">
        <v>99001.2578125</v>
      </c>
      <c r="G186" s="31" t="n">
        <v>3084238</v>
      </c>
      <c r="H186" s="36" t="n">
        <v>0.01418439716312059</v>
      </c>
      <c r="I186" s="36" t="n">
        <v>-0.01282051282051277</v>
      </c>
      <c r="J186" s="31" t="n">
        <v>82290</v>
      </c>
      <c r="K186" s="31" t="n">
        <v>66411.66666666667</v>
      </c>
      <c r="L186" s="31" t="n">
        <v>61682.08333333334</v>
      </c>
      <c r="M186" s="36" t="n">
        <v>1.291203472091856</v>
      </c>
      <c r="N186" s="36" t="n">
        <v>0.8253301471585083</v>
      </c>
      <c r="O186" s="36" t="n">
        <v>0.6409836065573771</v>
      </c>
      <c r="P186" s="36" t="n">
        <v>0.699490662139219</v>
      </c>
      <c r="Q186" s="36" t="n">
        <v>0.7469458987783595</v>
      </c>
      <c r="R186" s="36" t="n">
        <v>0.2164296998420221</v>
      </c>
      <c r="S186" s="36" t="n">
        <v>0.5072652897332295</v>
      </c>
      <c r="T186" s="36" t="n">
        <v>0.6228375338597782</v>
      </c>
      <c r="U186" s="31" t="n">
        <v>101400</v>
      </c>
      <c r="V186" s="31" t="n">
        <v>14230</v>
      </c>
      <c r="W186" s="36" t="n">
        <v>-0.01282051282051277</v>
      </c>
      <c r="X186" s="36" t="n">
        <v>6.034434293745607</v>
      </c>
      <c r="Y186" s="31" t="n">
        <v>95312200</v>
      </c>
      <c r="Z186" s="31" t="n">
        <v>9540751220000</v>
      </c>
      <c r="AA186" s="31" t="n">
        <v>308732223800</v>
      </c>
      <c r="AB186" s="31" t="n">
        <v>347245295295</v>
      </c>
      <c r="AC186" s="36" t="n">
        <v>0.03235932021294231</v>
      </c>
      <c r="AD186" s="29" t="inlineStr">
        <is>
          <t>yfinance_download</t>
        </is>
      </c>
      <c r="AE186" s="29" t="inlineStr">
        <is>
          <t>042700.KS</t>
        </is>
      </c>
    </row>
    <row r="187" ht="24" customHeight="1">
      <c r="A187" s="24" t="inlineStr">
        <is>
          <t>2024-03-11</t>
        </is>
      </c>
      <c r="B187" s="30" t="n">
        <v>94700</v>
      </c>
      <c r="C187" s="30" t="n">
        <v>99900</v>
      </c>
      <c r="D187" s="30" t="n">
        <v>93700</v>
      </c>
      <c r="E187" s="30" t="n">
        <v>97400</v>
      </c>
      <c r="F187" s="30" t="n">
        <v>96330.890625</v>
      </c>
      <c r="G187" s="30" t="n">
        <v>2329995</v>
      </c>
      <c r="H187" s="35" t="n">
        <v>-0.02697302697302695</v>
      </c>
      <c r="I187" s="35" t="n">
        <v>-0.03944773175542404</v>
      </c>
      <c r="J187" s="30" t="n">
        <v>84140</v>
      </c>
      <c r="K187" s="30" t="n">
        <v>67030</v>
      </c>
      <c r="L187" s="30" t="n">
        <v>62042.08333333334</v>
      </c>
      <c r="M187" s="35" t="n">
        <v>1.299250215162259</v>
      </c>
      <c r="N187" s="35" t="n">
        <v>0.8282806886809263</v>
      </c>
      <c r="O187" s="35" t="n">
        <v>0.6125827814569536</v>
      </c>
      <c r="P187" s="35" t="n">
        <v>0.615257048092869</v>
      </c>
      <c r="Q187" s="35" t="n">
        <v>0.7970479704797049</v>
      </c>
      <c r="R187" s="35" t="n">
        <v>0.157594485381507</v>
      </c>
      <c r="S187" s="35" t="n">
        <v>0.4530807101297927</v>
      </c>
      <c r="T187" s="35" t="n">
        <v>0.5699021497505052</v>
      </c>
      <c r="U187" s="30" t="n">
        <v>101400</v>
      </c>
      <c r="V187" s="30" t="n">
        <v>14230</v>
      </c>
      <c r="W187" s="35" t="n">
        <v>-0.03944773175542404</v>
      </c>
      <c r="X187" s="35" t="n">
        <v>5.844694307800421</v>
      </c>
      <c r="Y187" s="30" t="n">
        <v>95312200</v>
      </c>
      <c r="Z187" s="30" t="n">
        <v>9283408280000</v>
      </c>
      <c r="AA187" s="30" t="n">
        <v>226941513000</v>
      </c>
      <c r="AB187" s="30" t="n">
        <v>356483734465</v>
      </c>
      <c r="AC187" s="35" t="n">
        <v>0.02444592612488223</v>
      </c>
      <c r="AD187" s="24" t="inlineStr">
        <is>
          <t>yfinance_download</t>
        </is>
      </c>
      <c r="AE187" s="24" t="inlineStr">
        <is>
          <t>042700.KS</t>
        </is>
      </c>
    </row>
    <row r="188" ht="24" customHeight="1">
      <c r="A188" s="29" t="inlineStr">
        <is>
          <t>2024-03-12</t>
        </is>
      </c>
      <c r="B188" s="31" t="n">
        <v>97700</v>
      </c>
      <c r="C188" s="31" t="n">
        <v>100100</v>
      </c>
      <c r="D188" s="31" t="n">
        <v>96400</v>
      </c>
      <c r="E188" s="31" t="n">
        <v>98100</v>
      </c>
      <c r="F188" s="31" t="n">
        <v>97023.203125</v>
      </c>
      <c r="G188" s="31" t="n">
        <v>1233354</v>
      </c>
      <c r="H188" s="36" t="n">
        <v>0.007186858316221789</v>
      </c>
      <c r="I188" s="36" t="n">
        <v>-0.03254437869822491</v>
      </c>
      <c r="J188" s="31" t="n">
        <v>85120</v>
      </c>
      <c r="K188" s="31" t="n">
        <v>67683.33333333333</v>
      </c>
      <c r="L188" s="31" t="n">
        <v>62415.41666666666</v>
      </c>
      <c r="M188" s="36" t="n">
        <v>0.8066000550174981</v>
      </c>
      <c r="N188" s="36" t="n">
        <v>0.8255324242014969</v>
      </c>
      <c r="O188" s="36" t="n">
        <v>0.2496815286624203</v>
      </c>
      <c r="P188" s="36" t="n">
        <v>0.6655348047538201</v>
      </c>
      <c r="Q188" s="36" t="n">
        <v>0.8405253283302063</v>
      </c>
      <c r="R188" s="36" t="n">
        <v>0.1524906015037595</v>
      </c>
      <c r="S188" s="36" t="n">
        <v>0.4493967003201182</v>
      </c>
      <c r="T188" s="36" t="n">
        <v>0.5717270706355935</v>
      </c>
      <c r="U188" s="31" t="n">
        <v>101400</v>
      </c>
      <c r="V188" s="31" t="n">
        <v>14230</v>
      </c>
      <c r="W188" s="36" t="n">
        <v>-0.03254437869822491</v>
      </c>
      <c r="X188" s="36" t="n">
        <v>5.893886156008433</v>
      </c>
      <c r="Y188" s="31" t="n">
        <v>95312200</v>
      </c>
      <c r="Z188" s="31" t="n">
        <v>9350126820000</v>
      </c>
      <c r="AA188" s="31" t="n">
        <v>120992027400</v>
      </c>
      <c r="AB188" s="31" t="n">
        <v>313873976510</v>
      </c>
      <c r="AC188" s="36" t="n">
        <v>0.01294014827063062</v>
      </c>
      <c r="AD188" s="29" t="inlineStr">
        <is>
          <t>yfinance_download</t>
        </is>
      </c>
      <c r="AE188" s="29" t="inlineStr">
        <is>
          <t>042700.KS</t>
        </is>
      </c>
    </row>
    <row r="189" ht="24" customHeight="1">
      <c r="A189" s="24" t="inlineStr">
        <is>
          <t>2024-03-13</t>
        </is>
      </c>
      <c r="B189" s="30" t="n">
        <v>102000</v>
      </c>
      <c r="C189" s="30" t="n">
        <v>102500</v>
      </c>
      <c r="D189" s="30" t="n">
        <v>98000</v>
      </c>
      <c r="E189" s="30" t="n">
        <v>100100</v>
      </c>
      <c r="F189" s="30" t="n">
        <v>99001.2578125</v>
      </c>
      <c r="G189" s="30" t="n">
        <v>1974063</v>
      </c>
      <c r="H189" s="35" t="n">
        <v>0.0203873598369011</v>
      </c>
      <c r="I189" s="35" t="n">
        <v>-0.01282051282051277</v>
      </c>
      <c r="J189" s="30" t="n">
        <v>86075</v>
      </c>
      <c r="K189" s="30" t="n">
        <v>68370</v>
      </c>
      <c r="L189" s="30" t="n">
        <v>62809.58333333334</v>
      </c>
      <c r="M189" s="35" t="n">
        <v>0.8039564889417348</v>
      </c>
      <c r="N189" s="35" t="n">
        <v>0.8255625667326147</v>
      </c>
      <c r="O189" s="35" t="n">
        <v>0.2358024691358025</v>
      </c>
      <c r="P189" s="35" t="n">
        <v>0.699490662139219</v>
      </c>
      <c r="Q189" s="35" t="n">
        <v>0.8958333333333333</v>
      </c>
      <c r="R189" s="35" t="n">
        <v>0.1629392971246006</v>
      </c>
      <c r="S189" s="35" t="n">
        <v>0.4640924382038907</v>
      </c>
      <c r="T189" s="35" t="n">
        <v>0.5937058437207696</v>
      </c>
      <c r="U189" s="30" t="n">
        <v>101400</v>
      </c>
      <c r="V189" s="30" t="n">
        <v>14230</v>
      </c>
      <c r="W189" s="35" t="n">
        <v>-0.01282051282051277</v>
      </c>
      <c r="X189" s="35" t="n">
        <v>6.034434293745607</v>
      </c>
      <c r="Y189" s="30" t="n">
        <v>95312200</v>
      </c>
      <c r="Z189" s="30" t="n">
        <v>9540751220000</v>
      </c>
      <c r="AA189" s="30" t="n">
        <v>197603706300</v>
      </c>
      <c r="AB189" s="30" t="n">
        <v>290424079325</v>
      </c>
      <c r="AC189" s="35" t="n">
        <v>0.02071154584617709</v>
      </c>
      <c r="AD189" s="24" t="inlineStr">
        <is>
          <t>yfinance_download</t>
        </is>
      </c>
      <c r="AE189" s="24" t="inlineStr">
        <is>
          <t>042700.KS</t>
        </is>
      </c>
    </row>
    <row r="190" ht="24" customHeight="1">
      <c r="A190" s="29" t="inlineStr">
        <is>
          <t>2024-03-14</t>
        </is>
      </c>
      <c r="B190" s="31" t="n">
        <v>99000</v>
      </c>
      <c r="C190" s="31" t="n">
        <v>100800</v>
      </c>
      <c r="D190" s="31" t="n">
        <v>98200</v>
      </c>
      <c r="E190" s="31" t="n">
        <v>98900</v>
      </c>
      <c r="F190" s="31" t="n">
        <v>97814.421875</v>
      </c>
      <c r="G190" s="31" t="n">
        <v>876614</v>
      </c>
      <c r="H190" s="36" t="n">
        <v>-0.01198801198801203</v>
      </c>
      <c r="I190" s="36" t="n">
        <v>-0.02465483234714005</v>
      </c>
      <c r="J190" s="31" t="n">
        <v>87070</v>
      </c>
      <c r="K190" s="31" t="n">
        <v>69041.66666666667</v>
      </c>
      <c r="L190" s="31" t="n">
        <v>63191.25</v>
      </c>
      <c r="M190" s="36" t="n">
        <v>0.797542731477335</v>
      </c>
      <c r="N190" s="36" t="n">
        <v>0.826224384090203</v>
      </c>
      <c r="O190" s="36" t="n">
        <v>0.2518987341772152</v>
      </c>
      <c r="P190" s="36" t="n">
        <v>0.6877133105802047</v>
      </c>
      <c r="Q190" s="36" t="n">
        <v>0.8625235404896421</v>
      </c>
      <c r="R190" s="36" t="n">
        <v>0.1358676926610773</v>
      </c>
      <c r="S190" s="36" t="n">
        <v>0.432468316234158</v>
      </c>
      <c r="T190" s="36" t="n">
        <v>0.5650901034557791</v>
      </c>
      <c r="U190" s="31" t="n">
        <v>101400</v>
      </c>
      <c r="V190" s="31" t="n">
        <v>14230</v>
      </c>
      <c r="W190" s="36" t="n">
        <v>-0.02465483234714005</v>
      </c>
      <c r="X190" s="36" t="n">
        <v>5.950105411103303</v>
      </c>
      <c r="Y190" s="31" t="n">
        <v>95312200</v>
      </c>
      <c r="Z190" s="31" t="n">
        <v>9426376580000</v>
      </c>
      <c r="AA190" s="31" t="n">
        <v>86697124600</v>
      </c>
      <c r="AB190" s="31" t="n">
        <v>282271670205</v>
      </c>
      <c r="AC190" s="36" t="n">
        <v>0.009197290588193326</v>
      </c>
      <c r="AD190" s="29" t="inlineStr">
        <is>
          <t>yfinance_download</t>
        </is>
      </c>
      <c r="AE190" s="29" t="inlineStr">
        <is>
          <t>042700.KS</t>
        </is>
      </c>
    </row>
    <row r="191" ht="24" customHeight="1">
      <c r="A191" s="24" t="inlineStr">
        <is>
          <t>2024-03-15</t>
        </is>
      </c>
      <c r="B191" s="30" t="n">
        <v>97000</v>
      </c>
      <c r="C191" s="30" t="n">
        <v>98500</v>
      </c>
      <c r="D191" s="30" t="n">
        <v>95700</v>
      </c>
      <c r="E191" s="30" t="n">
        <v>96200</v>
      </c>
      <c r="F191" s="30" t="n">
        <v>95144.0625</v>
      </c>
      <c r="G191" s="30" t="n">
        <v>1693924</v>
      </c>
      <c r="H191" s="35" t="n">
        <v>-0.02730030333670375</v>
      </c>
      <c r="I191" s="35" t="n">
        <v>-0.05128205128205132</v>
      </c>
      <c r="J191" s="30" t="n">
        <v>88130</v>
      </c>
      <c r="K191" s="30" t="n">
        <v>69658.33333333333</v>
      </c>
      <c r="L191" s="30" t="n">
        <v>63544.58333333334</v>
      </c>
      <c r="M191" s="35" t="n">
        <v>0.7770997586784788</v>
      </c>
      <c r="N191" s="35" t="n">
        <v>0.8297450399543604</v>
      </c>
      <c r="O191" s="35" t="n">
        <v>0.2826666666666666</v>
      </c>
      <c r="P191" s="35" t="n">
        <v>0.625</v>
      </c>
      <c r="Q191" s="35" t="n">
        <v>0.7881040892193309</v>
      </c>
      <c r="R191" s="35" t="n">
        <v>0.09156927266538073</v>
      </c>
      <c r="S191" s="35" t="n">
        <v>0.381026438569207</v>
      </c>
      <c r="T191" s="35" t="n">
        <v>0.5138977227274812</v>
      </c>
      <c r="U191" s="30" t="n">
        <v>101400</v>
      </c>
      <c r="V191" s="30" t="n">
        <v>14230</v>
      </c>
      <c r="W191" s="35" t="n">
        <v>-0.05128205128205132</v>
      </c>
      <c r="X191" s="35" t="n">
        <v>5.760365425158117</v>
      </c>
      <c r="Y191" s="30" t="n">
        <v>95312200</v>
      </c>
      <c r="Z191" s="30" t="n">
        <v>9169033640000</v>
      </c>
      <c r="AA191" s="30" t="n">
        <v>162955488800</v>
      </c>
      <c r="AB191" s="30" t="n">
        <v>279733748395</v>
      </c>
      <c r="AC191" s="35" t="n">
        <v>0.01777237331632257</v>
      </c>
      <c r="AD191" s="24" t="inlineStr">
        <is>
          <t>yfinance_download</t>
        </is>
      </c>
      <c r="AE191" s="24" t="inlineStr">
        <is>
          <t>042700.KS</t>
        </is>
      </c>
    </row>
    <row r="192" ht="24" customHeight="1">
      <c r="A192" s="29" t="inlineStr">
        <is>
          <t>2024-03-18</t>
        </is>
      </c>
      <c r="B192" s="31" t="n">
        <v>97000</v>
      </c>
      <c r="C192" s="31" t="n">
        <v>98500</v>
      </c>
      <c r="D192" s="31" t="n">
        <v>96200</v>
      </c>
      <c r="E192" s="31" t="n">
        <v>98300</v>
      </c>
      <c r="F192" s="31" t="n">
        <v>97221.015625</v>
      </c>
      <c r="G192" s="31" t="n">
        <v>759938</v>
      </c>
      <c r="H192" s="36" t="n">
        <v>0.02182952182952191</v>
      </c>
      <c r="I192" s="36" t="n">
        <v>-0.03057199211045369</v>
      </c>
      <c r="J192" s="31" t="n">
        <v>89275</v>
      </c>
      <c r="K192" s="31" t="n">
        <v>70325</v>
      </c>
      <c r="L192" s="31" t="n">
        <v>63912.91666666666</v>
      </c>
      <c r="M192" s="36" t="n">
        <v>0.7769709229898319</v>
      </c>
      <c r="N192" s="36" t="n">
        <v>0.8285370294550195</v>
      </c>
      <c r="O192" s="36" t="n">
        <v>0.3037135278514589</v>
      </c>
      <c r="P192" s="36" t="n">
        <v>0.6861063464837049</v>
      </c>
      <c r="Q192" s="36" t="n">
        <v>0.8170055452865064</v>
      </c>
      <c r="R192" s="36" t="n">
        <v>0.1010921310557267</v>
      </c>
      <c r="S192" s="36" t="n">
        <v>0.3977959473871311</v>
      </c>
      <c r="T192" s="36" t="n">
        <v>0.5380302625317002</v>
      </c>
      <c r="U192" s="31" t="n">
        <v>101400</v>
      </c>
      <c r="V192" s="31" t="n">
        <v>14230</v>
      </c>
      <c r="W192" s="36" t="n">
        <v>-0.03057199211045369</v>
      </c>
      <c r="X192" s="36" t="n">
        <v>5.907940969782151</v>
      </c>
      <c r="Y192" s="31" t="n">
        <v>95312200</v>
      </c>
      <c r="Z192" s="31" t="n">
        <v>9369189260000</v>
      </c>
      <c r="AA192" s="31" t="n">
        <v>74701905400</v>
      </c>
      <c r="AB192" s="31" t="n">
        <v>274858540665</v>
      </c>
      <c r="AC192" s="36" t="n">
        <v>0.007973145095800957</v>
      </c>
      <c r="AD192" s="29" t="inlineStr">
        <is>
          <t>yfinance_download</t>
        </is>
      </c>
      <c r="AE192" s="29" t="inlineStr">
        <is>
          <t>042700.KS</t>
        </is>
      </c>
    </row>
    <row r="193" ht="24" customHeight="1">
      <c r="A193" s="24" t="inlineStr">
        <is>
          <t>2024-03-19</t>
        </is>
      </c>
      <c r="B193" s="30" t="n">
        <v>96500</v>
      </c>
      <c r="C193" s="30" t="n">
        <v>97500</v>
      </c>
      <c r="D193" s="30" t="n">
        <v>93100</v>
      </c>
      <c r="E193" s="30" t="n">
        <v>93400</v>
      </c>
      <c r="F193" s="30" t="n">
        <v>92374.796875</v>
      </c>
      <c r="G193" s="30" t="n">
        <v>1271874</v>
      </c>
      <c r="H193" s="35" t="n">
        <v>-0.04984740590030523</v>
      </c>
      <c r="I193" s="35" t="n">
        <v>-0.07889546351084809</v>
      </c>
      <c r="J193" s="30" t="n">
        <v>90220</v>
      </c>
      <c r="K193" s="30" t="n">
        <v>70910</v>
      </c>
      <c r="L193" s="30" t="n">
        <v>64272.08333333334</v>
      </c>
      <c r="M193" s="35" t="n">
        <v>0.8051892529778066</v>
      </c>
      <c r="N193" s="35" t="n">
        <v>0.8373460286128168</v>
      </c>
      <c r="O193" s="35" t="n">
        <v>0.2536912751677853</v>
      </c>
      <c r="P193" s="35" t="n">
        <v>0.6020583190394511</v>
      </c>
      <c r="Q193" s="35" t="n">
        <v>0.856858846918489</v>
      </c>
      <c r="R193" s="35" t="n">
        <v>0.03524717357570384</v>
      </c>
      <c r="S193" s="35" t="n">
        <v>0.317162600479481</v>
      </c>
      <c r="T193" s="35" t="n">
        <v>0.4531970204793423</v>
      </c>
      <c r="U193" s="30" t="n">
        <v>101400</v>
      </c>
      <c r="V193" s="30" t="n">
        <v>14230</v>
      </c>
      <c r="W193" s="35" t="n">
        <v>-0.07889546351084809</v>
      </c>
      <c r="X193" s="35" t="n">
        <v>5.563598032326071</v>
      </c>
      <c r="Y193" s="30" t="n">
        <v>95312200</v>
      </c>
      <c r="Z193" s="30" t="n">
        <v>8902159480000</v>
      </c>
      <c r="AA193" s="30" t="n">
        <v>118793031600</v>
      </c>
      <c r="AB193" s="30" t="n">
        <v>275407778270</v>
      </c>
      <c r="AC193" s="35" t="n">
        <v>0.01334429380499034</v>
      </c>
      <c r="AD193" s="24" t="inlineStr">
        <is>
          <t>yfinance_download</t>
        </is>
      </c>
      <c r="AE193" s="24" t="inlineStr">
        <is>
          <t>042700.KS</t>
        </is>
      </c>
    </row>
    <row r="194" ht="24" customHeight="1">
      <c r="A194" s="29" t="inlineStr">
        <is>
          <t>2024-03-20</t>
        </is>
      </c>
      <c r="B194" s="31" t="n">
        <v>94200</v>
      </c>
      <c r="C194" s="31" t="n">
        <v>95000</v>
      </c>
      <c r="D194" s="31" t="n">
        <v>92000</v>
      </c>
      <c r="E194" s="31" t="n">
        <v>93100</v>
      </c>
      <c r="F194" s="31" t="n">
        <v>92078.0859375</v>
      </c>
      <c r="G194" s="31" t="n">
        <v>869893</v>
      </c>
      <c r="H194" s="36" t="n">
        <v>-0.003211991434689532</v>
      </c>
      <c r="I194" s="36" t="n">
        <v>-0.0818540433925049</v>
      </c>
      <c r="J194" s="31" t="n">
        <v>91150</v>
      </c>
      <c r="K194" s="31" t="n">
        <v>71480</v>
      </c>
      <c r="L194" s="31" t="n">
        <v>64635</v>
      </c>
      <c r="M194" s="36" t="n">
        <v>0.8059339378088942</v>
      </c>
      <c r="N194" s="36" t="n">
        <v>0.8377228083458155</v>
      </c>
      <c r="O194" s="36" t="n">
        <v>0.2496644295302013</v>
      </c>
      <c r="P194" s="36" t="n">
        <v>0.5806451612903225</v>
      </c>
      <c r="Q194" s="36" t="n">
        <v>0.8789101917255298</v>
      </c>
      <c r="R194" s="36" t="n">
        <v>0.02139330773450365</v>
      </c>
      <c r="S194" s="36" t="n">
        <v>0.3024622271964186</v>
      </c>
      <c r="T194" s="36" t="n">
        <v>0.4403960702405818</v>
      </c>
      <c r="U194" s="31" t="n">
        <v>101400</v>
      </c>
      <c r="V194" s="31" t="n">
        <v>14230</v>
      </c>
      <c r="W194" s="36" t="n">
        <v>-0.0818540433925049</v>
      </c>
      <c r="X194" s="36" t="n">
        <v>5.542515811665496</v>
      </c>
      <c r="Y194" s="31" t="n">
        <v>95312200</v>
      </c>
      <c r="Z194" s="31" t="n">
        <v>8873565820000</v>
      </c>
      <c r="AA194" s="31" t="n">
        <v>80987038300</v>
      </c>
      <c r="AB194" s="31" t="n">
        <v>273450187735</v>
      </c>
      <c r="AC194" s="36" t="n">
        <v>0.00912677495640642</v>
      </c>
      <c r="AD194" s="29" t="inlineStr">
        <is>
          <t>yfinance_download</t>
        </is>
      </c>
      <c r="AE194" s="29" t="inlineStr">
        <is>
          <t>042700.KS</t>
        </is>
      </c>
    </row>
    <row r="195" ht="24" customHeight="1">
      <c r="A195" s="24" t="inlineStr">
        <is>
          <t>2024-03-21</t>
        </is>
      </c>
      <c r="B195" s="30" t="n">
        <v>95100</v>
      </c>
      <c r="C195" s="30" t="n">
        <v>95800</v>
      </c>
      <c r="D195" s="30" t="n">
        <v>92800</v>
      </c>
      <c r="E195" s="30" t="n">
        <v>93800</v>
      </c>
      <c r="F195" s="30" t="n">
        <v>92770.40625</v>
      </c>
      <c r="G195" s="30" t="n">
        <v>1186190</v>
      </c>
      <c r="H195" s="35" t="n">
        <v>0.007518796992481258</v>
      </c>
      <c r="I195" s="35" t="n">
        <v>-0.07495069033530577</v>
      </c>
      <c r="J195" s="30" t="n">
        <v>92260</v>
      </c>
      <c r="K195" s="30" t="n">
        <v>72065</v>
      </c>
      <c r="L195" s="30" t="n">
        <v>65002.5</v>
      </c>
      <c r="M195" s="35" t="n">
        <v>0.7832501009057088</v>
      </c>
      <c r="N195" s="35" t="n">
        <v>0.8373371952679202</v>
      </c>
      <c r="O195" s="35" t="n">
        <v>0.3100558659217878</v>
      </c>
      <c r="P195" s="35" t="n">
        <v>0.5979557069846677</v>
      </c>
      <c r="Q195" s="35" t="n">
        <v>0.8873239436619718</v>
      </c>
      <c r="R195" s="35" t="n">
        <v>0.01669195751138086</v>
      </c>
      <c r="S195" s="35" t="n">
        <v>0.3016027197668771</v>
      </c>
      <c r="T195" s="35" t="n">
        <v>0.4430214222529902</v>
      </c>
      <c r="U195" s="30" t="n">
        <v>101400</v>
      </c>
      <c r="V195" s="30" t="n">
        <v>14230</v>
      </c>
      <c r="W195" s="35" t="n">
        <v>-0.07495069033530577</v>
      </c>
      <c r="X195" s="35" t="n">
        <v>5.591707659873506</v>
      </c>
      <c r="Y195" s="30" t="n">
        <v>95312200</v>
      </c>
      <c r="Z195" s="30" t="n">
        <v>8940284360000</v>
      </c>
      <c r="AA195" s="30" t="n">
        <v>111264622000</v>
      </c>
      <c r="AB195" s="30" t="n">
        <v>273736076395</v>
      </c>
      <c r="AC195" s="35" t="n">
        <v>0.01244531130327492</v>
      </c>
      <c r="AD195" s="24" t="inlineStr">
        <is>
          <t>yfinance_download</t>
        </is>
      </c>
      <c r="AE195" s="24" t="inlineStr">
        <is>
          <t>042700.KS</t>
        </is>
      </c>
    </row>
    <row r="196" ht="24" customHeight="1">
      <c r="A196" s="29" t="inlineStr">
        <is>
          <t>2024-03-22</t>
        </is>
      </c>
      <c r="B196" s="31" t="n">
        <v>94700</v>
      </c>
      <c r="C196" s="31" t="n">
        <v>98300</v>
      </c>
      <c r="D196" s="31" t="n">
        <v>93500</v>
      </c>
      <c r="E196" s="31" t="n">
        <v>93800</v>
      </c>
      <c r="F196" s="31" t="n">
        <v>92770.40625</v>
      </c>
      <c r="G196" s="31" t="n">
        <v>1751216</v>
      </c>
      <c r="H196" s="36" t="n">
        <v>0</v>
      </c>
      <c r="I196" s="36" t="n">
        <v>-0.07495069033530577</v>
      </c>
      <c r="J196" s="31" t="n">
        <v>93130</v>
      </c>
      <c r="K196" s="31" t="n">
        <v>72641.66666666667</v>
      </c>
      <c r="L196" s="31" t="n">
        <v>65380.41666666666</v>
      </c>
      <c r="M196" s="36" t="n">
        <v>0.7596476840138368</v>
      </c>
      <c r="N196" s="36" t="n">
        <v>0.8375435777987221</v>
      </c>
      <c r="O196" s="36" t="n">
        <v>0.2277486910994764</v>
      </c>
      <c r="P196" s="36" t="n">
        <v>0.5844594594594594</v>
      </c>
      <c r="Q196" s="36" t="n">
        <v>0.9360165118679051</v>
      </c>
      <c r="R196" s="36" t="n">
        <v>0.007194244604316502</v>
      </c>
      <c r="S196" s="36" t="n">
        <v>0.2912699323161638</v>
      </c>
      <c r="T196" s="36" t="n">
        <v>0.4346803642782944</v>
      </c>
      <c r="U196" s="31" t="n">
        <v>101400</v>
      </c>
      <c r="V196" s="31" t="n">
        <v>14230</v>
      </c>
      <c r="W196" s="36" t="n">
        <v>-0.07495069033530577</v>
      </c>
      <c r="X196" s="36" t="n">
        <v>5.591707659873506</v>
      </c>
      <c r="Y196" s="31" t="n">
        <v>95312200</v>
      </c>
      <c r="Z196" s="31" t="n">
        <v>8940284360000</v>
      </c>
      <c r="AA196" s="31" t="n">
        <v>164264060800</v>
      </c>
      <c r="AB196" s="31" t="n">
        <v>270772635575</v>
      </c>
      <c r="AC196" s="36" t="n">
        <v>0.01837347160174668</v>
      </c>
      <c r="AD196" s="29" t="inlineStr">
        <is>
          <t>yfinance_download</t>
        </is>
      </c>
      <c r="AE196" s="29" t="inlineStr">
        <is>
          <t>042700.KS</t>
        </is>
      </c>
    </row>
    <row r="197" ht="24" customHeight="1">
      <c r="A197" s="24" t="inlineStr">
        <is>
          <t>2024-03-25</t>
        </is>
      </c>
      <c r="B197" s="30" t="n">
        <v>95700</v>
      </c>
      <c r="C197" s="30" t="n">
        <v>101900</v>
      </c>
      <c r="D197" s="30" t="n">
        <v>95400</v>
      </c>
      <c r="E197" s="30" t="n">
        <v>97400</v>
      </c>
      <c r="F197" s="30" t="n">
        <v>96330.890625</v>
      </c>
      <c r="G197" s="30" t="n">
        <v>3839354</v>
      </c>
      <c r="H197" s="35" t="n">
        <v>0.03837953091684443</v>
      </c>
      <c r="I197" s="35" t="n">
        <v>-0.03944773175542404</v>
      </c>
      <c r="J197" s="30" t="n">
        <v>94310</v>
      </c>
      <c r="K197" s="30" t="n">
        <v>73288.33333333333</v>
      </c>
      <c r="L197" s="30" t="n">
        <v>65777.08333333333</v>
      </c>
      <c r="M197" s="35" t="n">
        <v>0.7456088109217396</v>
      </c>
      <c r="N197" s="35" t="n">
        <v>0.8387251998413596</v>
      </c>
      <c r="O197" s="35" t="n">
        <v>0.3197831978319783</v>
      </c>
      <c r="P197" s="35" t="n">
        <v>0.6621160409556315</v>
      </c>
      <c r="Q197" s="35" t="n">
        <v>0.9558232931726907</v>
      </c>
      <c r="R197" s="35" t="n">
        <v>0.03276428798642783</v>
      </c>
      <c r="S197" s="35" t="n">
        <v>0.3289973392763743</v>
      </c>
      <c r="T197" s="35" t="n">
        <v>0.4807588762550281</v>
      </c>
      <c r="U197" s="30" t="n">
        <v>101400</v>
      </c>
      <c r="V197" s="30" t="n">
        <v>14770</v>
      </c>
      <c r="W197" s="35" t="n">
        <v>-0.03944773175542404</v>
      </c>
      <c r="X197" s="35" t="n">
        <v>5.594448205822613</v>
      </c>
      <c r="Y197" s="30" t="n">
        <v>95312200</v>
      </c>
      <c r="Z197" s="30" t="n">
        <v>9283408280000</v>
      </c>
      <c r="AA197" s="30" t="n">
        <v>373953079600</v>
      </c>
      <c r="AB197" s="30" t="n">
        <v>281239183675</v>
      </c>
      <c r="AC197" s="35" t="n">
        <v>0.04028187367409419</v>
      </c>
      <c r="AD197" s="24" t="inlineStr">
        <is>
          <t>yfinance_download</t>
        </is>
      </c>
      <c r="AE197" s="24" t="inlineStr">
        <is>
          <t>042700.KS</t>
        </is>
      </c>
    </row>
    <row r="198" ht="24" customHeight="1">
      <c r="A198" s="29" t="inlineStr">
        <is>
          <t>2024-03-26</t>
        </is>
      </c>
      <c r="B198" s="31" t="n">
        <v>99000</v>
      </c>
      <c r="C198" s="31" t="n">
        <v>117300</v>
      </c>
      <c r="D198" s="31" t="n">
        <v>98500</v>
      </c>
      <c r="E198" s="31" t="n">
        <v>112500</v>
      </c>
      <c r="F198" s="31" t="n">
        <v>111265.1484375</v>
      </c>
      <c r="G198" s="31" t="n">
        <v>7331386</v>
      </c>
      <c r="H198" s="36" t="n">
        <v>0.1550308008213552</v>
      </c>
      <c r="I198" s="36" t="n">
        <v>0</v>
      </c>
      <c r="J198" s="31" t="n">
        <v>96050</v>
      </c>
      <c r="K198" s="31" t="n">
        <v>74203.33333333333</v>
      </c>
      <c r="L198" s="31" t="n">
        <v>66299.58333333333</v>
      </c>
      <c r="M198" s="36" t="n">
        <v>0.8888876960550641</v>
      </c>
      <c r="N198" s="36" t="n">
        <v>0.8879383899869335</v>
      </c>
      <c r="O198" s="36" t="n">
        <v>0.4478764478764479</v>
      </c>
      <c r="P198" s="36" t="n">
        <v>0.953125</v>
      </c>
      <c r="Q198" s="36" t="n">
        <v>1.259036144578313</v>
      </c>
      <c r="R198" s="36" t="n">
        <v>0.1712649661634564</v>
      </c>
      <c r="S198" s="36" t="n">
        <v>0.516104397825794</v>
      </c>
      <c r="T198" s="36" t="n">
        <v>0.6968432431073601</v>
      </c>
      <c r="U198" s="31" t="n">
        <v>112500</v>
      </c>
      <c r="V198" s="31" t="n">
        <v>15760</v>
      </c>
      <c r="W198" s="36" t="n">
        <v>0</v>
      </c>
      <c r="X198" s="36" t="n">
        <v>6.138324873096447</v>
      </c>
      <c r="Y198" s="31" t="n">
        <v>95312200</v>
      </c>
      <c r="Z198" s="31" t="n">
        <v>10722622500000</v>
      </c>
      <c r="AA198" s="31" t="n">
        <v>824780925000</v>
      </c>
      <c r="AB198" s="31" t="n">
        <v>293424440020</v>
      </c>
      <c r="AC198" s="36" t="n">
        <v>0.07691970178004495</v>
      </c>
      <c r="AD198" s="29" t="inlineStr">
        <is>
          <t>yfinance_download</t>
        </is>
      </c>
      <c r="AE198" s="29" t="inlineStr">
        <is>
          <t>042700.KS</t>
        </is>
      </c>
    </row>
    <row r="199" ht="24" customHeight="1">
      <c r="A199" s="24" t="inlineStr">
        <is>
          <t>2024-03-27</t>
        </is>
      </c>
      <c r="B199" s="30" t="n">
        <v>110300</v>
      </c>
      <c r="C199" s="30" t="n">
        <v>119000</v>
      </c>
      <c r="D199" s="30" t="n">
        <v>109100</v>
      </c>
      <c r="E199" s="30" t="n">
        <v>114400</v>
      </c>
      <c r="F199" s="30" t="n">
        <v>113144.2890625</v>
      </c>
      <c r="G199" s="30" t="n">
        <v>4328075</v>
      </c>
      <c r="H199" s="35" t="n">
        <v>0.01688888888888895</v>
      </c>
      <c r="I199" s="35" t="n">
        <v>0</v>
      </c>
      <c r="J199" s="30" t="n">
        <v>97635</v>
      </c>
      <c r="K199" s="30" t="n">
        <v>75085</v>
      </c>
      <c r="L199" s="30" t="n">
        <v>66832.91666666667</v>
      </c>
      <c r="M199" s="35" t="n">
        <v>0.8733775005564343</v>
      </c>
      <c r="N199" s="35" t="n">
        <v>0.8805479498598804</v>
      </c>
      <c r="O199" s="35" t="n">
        <v>0.3833131801692866</v>
      </c>
      <c r="P199" s="35" t="n">
        <v>0.8601626016260162</v>
      </c>
      <c r="Q199" s="35" t="n">
        <v>1.26984126984127</v>
      </c>
      <c r="R199" s="35" t="n">
        <v>0.171710964305833</v>
      </c>
      <c r="S199" s="35" t="n">
        <v>0.5236065792102285</v>
      </c>
      <c r="T199" s="35" t="n">
        <v>0.711731369896321</v>
      </c>
      <c r="U199" s="30" t="n">
        <v>114400</v>
      </c>
      <c r="V199" s="30" t="n">
        <v>15760</v>
      </c>
      <c r="W199" s="35" t="n">
        <v>0</v>
      </c>
      <c r="X199" s="35" t="n">
        <v>6.258883248730965</v>
      </c>
      <c r="Y199" s="30" t="n">
        <v>95312200</v>
      </c>
      <c r="Z199" s="30" t="n">
        <v>10903715680000</v>
      </c>
      <c r="AA199" s="30" t="n">
        <v>495131780000</v>
      </c>
      <c r="AB199" s="30" t="n">
        <v>296371062490</v>
      </c>
      <c r="AC199" s="35" t="n">
        <v>0.04540945440352862</v>
      </c>
      <c r="AD199" s="24" t="inlineStr">
        <is>
          <t>yfinance_download</t>
        </is>
      </c>
      <c r="AE199" s="24" t="inlineStr">
        <is>
          <t>042700.KS</t>
        </is>
      </c>
    </row>
    <row r="200" ht="24" customHeight="1">
      <c r="A200" s="29" t="inlineStr">
        <is>
          <t>2024-03-28</t>
        </is>
      </c>
      <c r="B200" s="31" t="n">
        <v>115400</v>
      </c>
      <c r="C200" s="31" t="n">
        <v>139100</v>
      </c>
      <c r="D200" s="31" t="n">
        <v>115400</v>
      </c>
      <c r="E200" s="31" t="n">
        <v>134000</v>
      </c>
      <c r="F200" s="31" t="n">
        <v>132529.15625</v>
      </c>
      <c r="G200" s="31" t="n">
        <v>10019335</v>
      </c>
      <c r="H200" s="36" t="n">
        <v>0.1713286713286712</v>
      </c>
      <c r="I200" s="36" t="n">
        <v>0</v>
      </c>
      <c r="J200" s="31" t="n">
        <v>99830</v>
      </c>
      <c r="K200" s="31" t="n">
        <v>76290</v>
      </c>
      <c r="L200" s="31" t="n">
        <v>67510.41666666667</v>
      </c>
      <c r="M200" s="36" t="n">
        <v>1.001496115820668</v>
      </c>
      <c r="N200" s="36" t="n">
        <v>0.9390346720451027</v>
      </c>
      <c r="O200" s="36" t="n">
        <v>0.4872364039955606</v>
      </c>
      <c r="P200" s="36" t="n">
        <v>1.171799027552674</v>
      </c>
      <c r="Q200" s="36" t="n">
        <v>1.5426944971537</v>
      </c>
      <c r="R200" s="36" t="n">
        <v>0.3422818791946309</v>
      </c>
      <c r="S200" s="36" t="n">
        <v>0.7564556298335299</v>
      </c>
      <c r="T200" s="36" t="n">
        <v>0.9848788767165559</v>
      </c>
      <c r="U200" s="31" t="n">
        <v>134000</v>
      </c>
      <c r="V200" s="31" t="n">
        <v>15760</v>
      </c>
      <c r="W200" s="36" t="n">
        <v>0</v>
      </c>
      <c r="X200" s="36" t="n">
        <v>7.50253807106599</v>
      </c>
      <c r="Y200" s="31" t="n">
        <v>95312200</v>
      </c>
      <c r="Z200" s="31" t="n">
        <v>12771834800000</v>
      </c>
      <c r="AA200" s="31" t="n">
        <v>1342590890000</v>
      </c>
      <c r="AB200" s="31" t="n">
        <v>337529124315</v>
      </c>
      <c r="AC200" s="36" t="n">
        <v>0.1051212226766353</v>
      </c>
      <c r="AD200" s="29" t="inlineStr">
        <is>
          <t>yfinance_download</t>
        </is>
      </c>
      <c r="AE200" s="29" t="inlineStr">
        <is>
          <t>042700.KS</t>
        </is>
      </c>
    </row>
    <row r="201" ht="24" customHeight="1">
      <c r="A201" s="24" t="inlineStr">
        <is>
          <t>2024-03-29</t>
        </is>
      </c>
      <c r="B201" s="30" t="n">
        <v>134400</v>
      </c>
      <c r="C201" s="30" t="n">
        <v>139100</v>
      </c>
      <c r="D201" s="30" t="n">
        <v>128700</v>
      </c>
      <c r="E201" s="30" t="n">
        <v>133700</v>
      </c>
      <c r="F201" s="30" t="n">
        <v>132232.453125</v>
      </c>
      <c r="G201" s="30" t="n">
        <v>4188468</v>
      </c>
      <c r="H201" s="35" t="n">
        <v>-0.002238805970149249</v>
      </c>
      <c r="I201" s="35" t="n">
        <v>-0.002238805970149249</v>
      </c>
      <c r="J201" s="30" t="n">
        <v>102275</v>
      </c>
      <c r="K201" s="30" t="n">
        <v>77505</v>
      </c>
      <c r="L201" s="30" t="n">
        <v>68172.91666666667</v>
      </c>
      <c r="M201" s="35" t="n">
        <v>0.960364934135347</v>
      </c>
      <c r="N201" s="35" t="n">
        <v>0.9377372054100498</v>
      </c>
      <c r="O201" s="35" t="n">
        <v>0.5766509433962264</v>
      </c>
      <c r="P201" s="35" t="n">
        <v>1.199013157894737</v>
      </c>
      <c r="Q201" s="35" t="n">
        <v>1.466789667896679</v>
      </c>
      <c r="R201" s="35" t="n">
        <v>0.3072598386702519</v>
      </c>
      <c r="S201" s="35" t="n">
        <v>0.7250499967744017</v>
      </c>
      <c r="T201" s="35" t="n">
        <v>0.9611893775020626</v>
      </c>
      <c r="U201" s="30" t="n">
        <v>134000</v>
      </c>
      <c r="V201" s="30" t="n">
        <v>16170</v>
      </c>
      <c r="W201" s="35" t="n">
        <v>-0.002238805970149249</v>
      </c>
      <c r="X201" s="35" t="n">
        <v>7.268398268398268</v>
      </c>
      <c r="Y201" s="30" t="n">
        <v>95312200</v>
      </c>
      <c r="Z201" s="30" t="n">
        <v>12743241140000</v>
      </c>
      <c r="AA201" s="30" t="n">
        <v>559998171600</v>
      </c>
      <c r="AB201" s="30" t="n">
        <v>354335488015</v>
      </c>
      <c r="AC201" s="35" t="n">
        <v>0.04394472061289111</v>
      </c>
      <c r="AD201" s="24" t="inlineStr">
        <is>
          <t>yfinance_download</t>
        </is>
      </c>
      <c r="AE201" s="24" t="inlineStr">
        <is>
          <t>042700.KS</t>
        </is>
      </c>
    </row>
    <row r="202" ht="24" customHeight="1">
      <c r="A202" s="29" t="inlineStr">
        <is>
          <t>2024-04-01</t>
        </is>
      </c>
      <c r="B202" s="31" t="n">
        <v>134100</v>
      </c>
      <c r="C202" s="31" t="n">
        <v>146300</v>
      </c>
      <c r="D202" s="31" t="n">
        <v>134100</v>
      </c>
      <c r="E202" s="31" t="n">
        <v>142300</v>
      </c>
      <c r="F202" s="31" t="n">
        <v>140738.046875</v>
      </c>
      <c r="G202" s="31" t="n">
        <v>4896898</v>
      </c>
      <c r="H202" s="36" t="n">
        <v>0.06432311144353031</v>
      </c>
      <c r="I202" s="36" t="n">
        <v>0</v>
      </c>
      <c r="J202" s="31" t="n">
        <v>104620</v>
      </c>
      <c r="K202" s="31" t="n">
        <v>78885</v>
      </c>
      <c r="L202" s="31" t="n">
        <v>68916.25</v>
      </c>
      <c r="M202" s="36" t="n">
        <v>0.8984228015795186</v>
      </c>
      <c r="N202" s="36" t="n">
        <v>0.9400691232490471</v>
      </c>
      <c r="O202" s="36" t="n">
        <v>0.4916142557651992</v>
      </c>
      <c r="P202" s="36" t="n">
        <v>1.391596638655462</v>
      </c>
      <c r="Q202" s="36" t="n">
        <v>1.67984934086629</v>
      </c>
      <c r="R202" s="36" t="n">
        <v>0.3601605811508315</v>
      </c>
      <c r="S202" s="36" t="n">
        <v>0.8038917411421689</v>
      </c>
      <c r="T202" s="36" t="n">
        <v>1.06482505940181</v>
      </c>
      <c r="U202" s="31" t="n">
        <v>142300</v>
      </c>
      <c r="V202" s="31" t="n">
        <v>16360</v>
      </c>
      <c r="W202" s="36" t="n">
        <v>0</v>
      </c>
      <c r="X202" s="36" t="n">
        <v>7.698044009779951</v>
      </c>
      <c r="Y202" s="31" t="n">
        <v>95312200</v>
      </c>
      <c r="Z202" s="31" t="n">
        <v>13562926060000</v>
      </c>
      <c r="AA202" s="31" t="n">
        <v>696828585400</v>
      </c>
      <c r="AB202" s="31" t="n">
        <v>344409560985</v>
      </c>
      <c r="AC202" s="36" t="n">
        <v>0.05137745220443973</v>
      </c>
      <c r="AD202" s="29" t="inlineStr">
        <is>
          <t>yfinance_download</t>
        </is>
      </c>
      <c r="AE202" s="29" t="inlineStr">
        <is>
          <t>042700.KS</t>
        </is>
      </c>
    </row>
    <row r="203" ht="24" customHeight="1">
      <c r="A203" s="24" t="inlineStr">
        <is>
          <t>2024-04-02</t>
        </is>
      </c>
      <c r="B203" s="30" t="n">
        <v>145000</v>
      </c>
      <c r="C203" s="30" t="n">
        <v>152800</v>
      </c>
      <c r="D203" s="30" t="n">
        <v>140300</v>
      </c>
      <c r="E203" s="30" t="n">
        <v>145500</v>
      </c>
      <c r="F203" s="30" t="n">
        <v>143902.921875</v>
      </c>
      <c r="G203" s="30" t="n">
        <v>4892203</v>
      </c>
      <c r="H203" s="35" t="n">
        <v>0.02248770203794792</v>
      </c>
      <c r="I203" s="35" t="n">
        <v>0</v>
      </c>
      <c r="J203" s="30" t="n">
        <v>107155</v>
      </c>
      <c r="K203" s="30" t="n">
        <v>80326.66666666667</v>
      </c>
      <c r="L203" s="30" t="n">
        <v>69686.25</v>
      </c>
      <c r="M203" s="35" t="n">
        <v>0.8923568974178275</v>
      </c>
      <c r="N203" s="35" t="n">
        <v>0.9387461896719207</v>
      </c>
      <c r="O203" s="35" t="n">
        <v>0.5348101265822784</v>
      </c>
      <c r="P203" s="35" t="n">
        <v>1.466101694915254</v>
      </c>
      <c r="Q203" s="35" t="n">
        <v>1.740112994350282</v>
      </c>
      <c r="R203" s="35" t="n">
        <v>0.3578461107741122</v>
      </c>
      <c r="S203" s="35" t="n">
        <v>0.8113536393061664</v>
      </c>
      <c r="T203" s="35" t="n">
        <v>1.087929828337728</v>
      </c>
      <c r="U203" s="30" t="n">
        <v>145500</v>
      </c>
      <c r="V203" s="30" t="n">
        <v>19080</v>
      </c>
      <c r="W203" s="35" t="n">
        <v>0</v>
      </c>
      <c r="X203" s="35" t="n">
        <v>6.625786163522013</v>
      </c>
      <c r="Y203" s="30" t="n">
        <v>95312200</v>
      </c>
      <c r="Z203" s="30" t="n">
        <v>13867925100000</v>
      </c>
      <c r="AA203" s="30" t="n">
        <v>711815536500</v>
      </c>
      <c r="AB203" s="30" t="n">
        <v>367925344230</v>
      </c>
      <c r="AC203" s="35" t="n">
        <v>0.05132819303300102</v>
      </c>
      <c r="AD203" s="24" t="inlineStr">
        <is>
          <t>yfinance_download</t>
        </is>
      </c>
      <c r="AE203" s="24" t="inlineStr">
        <is>
          <t>042700.KS</t>
        </is>
      </c>
    </row>
    <row r="204" ht="24" customHeight="1">
      <c r="A204" s="29" t="inlineStr">
        <is>
          <t>2024-04-03</t>
        </is>
      </c>
      <c r="B204" s="31" t="n">
        <v>141300</v>
      </c>
      <c r="C204" s="31" t="n">
        <v>146800</v>
      </c>
      <c r="D204" s="31" t="n">
        <v>138100</v>
      </c>
      <c r="E204" s="31" t="n">
        <v>144900</v>
      </c>
      <c r="F204" s="31" t="n">
        <v>143309.5</v>
      </c>
      <c r="G204" s="31" t="n">
        <v>2830113</v>
      </c>
      <c r="H204" s="36" t="n">
        <v>-0.004123711340206171</v>
      </c>
      <c r="I204" s="36" t="n">
        <v>-0.004123711340206171</v>
      </c>
      <c r="J204" s="31" t="n">
        <v>109330</v>
      </c>
      <c r="K204" s="31" t="n">
        <v>81761.66666666667</v>
      </c>
      <c r="L204" s="31" t="n">
        <v>70479.16666666667</v>
      </c>
      <c r="M204" s="36" t="n">
        <v>0.8796141746370327</v>
      </c>
      <c r="N204" s="36" t="n">
        <v>0.9388145359342646</v>
      </c>
      <c r="O204" s="36" t="n">
        <v>0.4289940828402368</v>
      </c>
      <c r="P204" s="36" t="n">
        <v>1.464285714285714</v>
      </c>
      <c r="Q204" s="36" t="n">
        <v>1.912562814070352</v>
      </c>
      <c r="R204" s="36" t="n">
        <v>0.3253452849172231</v>
      </c>
      <c r="S204" s="36" t="n">
        <v>0.7722241474203477</v>
      </c>
      <c r="T204" s="36" t="n">
        <v>1.055926692284954</v>
      </c>
      <c r="U204" s="31" t="n">
        <v>145500</v>
      </c>
      <c r="V204" s="31" t="n">
        <v>19080</v>
      </c>
      <c r="W204" s="36" t="n">
        <v>-0.004123711340206171</v>
      </c>
      <c r="X204" s="36" t="n">
        <v>6.59433962264151</v>
      </c>
      <c r="Y204" s="31" t="n">
        <v>95312200</v>
      </c>
      <c r="Z204" s="31" t="n">
        <v>13810737780000</v>
      </c>
      <c r="AA204" s="31" t="n">
        <v>410083373700</v>
      </c>
      <c r="AB204" s="31" t="n">
        <v>370347474525</v>
      </c>
      <c r="AC204" s="36" t="n">
        <v>0.02969308231265252</v>
      </c>
      <c r="AD204" s="29" t="inlineStr">
        <is>
          <t>yfinance_download</t>
        </is>
      </c>
      <c r="AE204" s="29" t="inlineStr">
        <is>
          <t>042700.KS</t>
        </is>
      </c>
    </row>
    <row r="205" ht="24" customHeight="1">
      <c r="A205" s="24" t="inlineStr">
        <is>
          <t>2024-04-04</t>
        </is>
      </c>
      <c r="B205" s="30" t="n">
        <v>148600</v>
      </c>
      <c r="C205" s="30" t="n">
        <v>151400</v>
      </c>
      <c r="D205" s="30" t="n">
        <v>135300</v>
      </c>
      <c r="E205" s="30" t="n">
        <v>137300</v>
      </c>
      <c r="F205" s="30" t="n">
        <v>135792.9375</v>
      </c>
      <c r="G205" s="30" t="n">
        <v>3851647</v>
      </c>
      <c r="H205" s="35" t="n">
        <v>-0.05244996549344372</v>
      </c>
      <c r="I205" s="35" t="n">
        <v>-0.05635738831615122</v>
      </c>
      <c r="J205" s="30" t="n">
        <v>111260</v>
      </c>
      <c r="K205" s="30" t="n">
        <v>83081.66666666667</v>
      </c>
      <c r="L205" s="30" t="n">
        <v>71194.16666666667</v>
      </c>
      <c r="M205" s="35" t="n">
        <v>0.902011414747693</v>
      </c>
      <c r="N205" s="35" t="n">
        <v>0.9477271455264313</v>
      </c>
      <c r="O205" s="35" t="n">
        <v>0.3910840932117527</v>
      </c>
      <c r="P205" s="35" t="n">
        <v>1.363166953528399</v>
      </c>
      <c r="Q205" s="35" t="n">
        <v>1.666019417475728</v>
      </c>
      <c r="R205" s="35" t="n">
        <v>0.2340463778536761</v>
      </c>
      <c r="S205" s="35" t="n">
        <v>0.6525908242893537</v>
      </c>
      <c r="T205" s="35" t="n">
        <v>0.9285287886413913</v>
      </c>
      <c r="U205" s="30" t="n">
        <v>145500</v>
      </c>
      <c r="V205" s="30" t="n">
        <v>19080</v>
      </c>
      <c r="W205" s="35" t="n">
        <v>-0.05635738831615122</v>
      </c>
      <c r="X205" s="35" t="n">
        <v>6.19601677148847</v>
      </c>
      <c r="Y205" s="30" t="n">
        <v>95312200</v>
      </c>
      <c r="Z205" s="30" t="n">
        <v>13086365060000</v>
      </c>
      <c r="AA205" s="30" t="n">
        <v>528831133100</v>
      </c>
      <c r="AB205" s="30" t="n">
        <v>379897310845</v>
      </c>
      <c r="AC205" s="35" t="n">
        <v>0.04041084981775681</v>
      </c>
      <c r="AD205" s="24" t="inlineStr">
        <is>
          <t>yfinance_download</t>
        </is>
      </c>
      <c r="AE205" s="24" t="inlineStr">
        <is>
          <t>042700.KS</t>
        </is>
      </c>
    </row>
    <row r="206" ht="24" customHeight="1">
      <c r="A206" s="29" t="inlineStr">
        <is>
          <t>2024-04-05</t>
        </is>
      </c>
      <c r="B206" s="31" t="n">
        <v>131400</v>
      </c>
      <c r="C206" s="31" t="n">
        <v>138500</v>
      </c>
      <c r="D206" s="31" t="n">
        <v>129300</v>
      </c>
      <c r="E206" s="31" t="n">
        <v>135700</v>
      </c>
      <c r="F206" s="31" t="n">
        <v>134210.484375</v>
      </c>
      <c r="G206" s="31" t="n">
        <v>3082059</v>
      </c>
      <c r="H206" s="36" t="n">
        <v>-0.01165331391114344</v>
      </c>
      <c r="I206" s="36" t="n">
        <v>-0.06735395189003435</v>
      </c>
      <c r="J206" s="31" t="n">
        <v>113040</v>
      </c>
      <c r="K206" s="31" t="n">
        <v>84365</v>
      </c>
      <c r="L206" s="31" t="n">
        <v>71860.83333333333</v>
      </c>
      <c r="M206" s="36" t="n">
        <v>0.9081297978239197</v>
      </c>
      <c r="N206" s="36" t="n">
        <v>0.949361292823822</v>
      </c>
      <c r="O206" s="36" t="n">
        <v>0.3556443556443556</v>
      </c>
      <c r="P206" s="36" t="n">
        <v>1.31175468483816</v>
      </c>
      <c r="Q206" s="36" t="n">
        <v>1.436265709156194</v>
      </c>
      <c r="R206" s="36" t="n">
        <v>0.2004600141542816</v>
      </c>
      <c r="S206" s="36" t="n">
        <v>0.6084869317845079</v>
      </c>
      <c r="T206" s="36" t="n">
        <v>0.8883722008975683</v>
      </c>
      <c r="U206" s="31" t="n">
        <v>145500</v>
      </c>
      <c r="V206" s="31" t="n">
        <v>19080</v>
      </c>
      <c r="W206" s="36" t="n">
        <v>-0.06735395189003435</v>
      </c>
      <c r="X206" s="36" t="n">
        <v>6.112159329140461</v>
      </c>
      <c r="Y206" s="31" t="n">
        <v>95312200</v>
      </c>
      <c r="Z206" s="31" t="n">
        <v>12933865540000</v>
      </c>
      <c r="AA206" s="31" t="n">
        <v>418235406300</v>
      </c>
      <c r="AB206" s="31" t="n">
        <v>385372469970</v>
      </c>
      <c r="AC206" s="36" t="n">
        <v>0.03233645850163987</v>
      </c>
      <c r="AD206" s="29" t="inlineStr">
        <is>
          <t>yfinance_download</t>
        </is>
      </c>
      <c r="AE206" s="29" t="inlineStr">
        <is>
          <t>042700.KS</t>
        </is>
      </c>
    </row>
    <row r="207" ht="24" customHeight="1">
      <c r="A207" s="24" t="inlineStr">
        <is>
          <t>2024-04-08</t>
        </is>
      </c>
      <c r="B207" s="30" t="n">
        <v>137900</v>
      </c>
      <c r="C207" s="30" t="n">
        <v>139700</v>
      </c>
      <c r="D207" s="30" t="n">
        <v>130800</v>
      </c>
      <c r="E207" s="30" t="n">
        <v>132500</v>
      </c>
      <c r="F207" s="30" t="n">
        <v>131045.609375</v>
      </c>
      <c r="G207" s="30" t="n">
        <v>1758457</v>
      </c>
      <c r="H207" s="35" t="n">
        <v>-0.02358142962417098</v>
      </c>
      <c r="I207" s="35" t="n">
        <v>-0.0893470790378007</v>
      </c>
      <c r="J207" s="30" t="n">
        <v>114795</v>
      </c>
      <c r="K207" s="30" t="n">
        <v>85600</v>
      </c>
      <c r="L207" s="30" t="n">
        <v>72487.5</v>
      </c>
      <c r="M207" s="35" t="n">
        <v>0.9060399936671113</v>
      </c>
      <c r="N207" s="35" t="n">
        <v>0.9518391351842911</v>
      </c>
      <c r="O207" s="35" t="n">
        <v>0.3603696098562628</v>
      </c>
      <c r="P207" s="35" t="n">
        <v>1.268835616438356</v>
      </c>
      <c r="Q207" s="35" t="n">
        <v>1.31239092495637</v>
      </c>
      <c r="R207" s="35" t="n">
        <v>0.1542314560738709</v>
      </c>
      <c r="S207" s="35" t="n">
        <v>0.5478971962616823</v>
      </c>
      <c r="T207" s="35" t="n">
        <v>0.8279013623038456</v>
      </c>
      <c r="U207" s="30" t="n">
        <v>145500</v>
      </c>
      <c r="V207" s="30" t="n">
        <v>19080</v>
      </c>
      <c r="W207" s="35" t="n">
        <v>-0.0893470790378007</v>
      </c>
      <c r="X207" s="35" t="n">
        <v>5.944444444444445</v>
      </c>
      <c r="Y207" s="30" t="n">
        <v>95312200</v>
      </c>
      <c r="Z207" s="30" t="n">
        <v>12628866500000</v>
      </c>
      <c r="AA207" s="30" t="n">
        <v>232995552500</v>
      </c>
      <c r="AB207" s="30" t="n">
        <v>385675171945</v>
      </c>
      <c r="AC207" s="35" t="n">
        <v>0.01844944298841072</v>
      </c>
      <c r="AD207" s="24" t="inlineStr">
        <is>
          <t>yfinance_download</t>
        </is>
      </c>
      <c r="AE207" s="24" t="inlineStr">
        <is>
          <t>042700.KS</t>
        </is>
      </c>
    </row>
    <row r="208" ht="24" customHeight="1">
      <c r="A208" s="29" t="inlineStr">
        <is>
          <t>2024-04-09</t>
        </is>
      </c>
      <c r="B208" s="31" t="n">
        <v>132000</v>
      </c>
      <c r="C208" s="31" t="n">
        <v>137600</v>
      </c>
      <c r="D208" s="31" t="n">
        <v>130100</v>
      </c>
      <c r="E208" s="31" t="n">
        <v>132900</v>
      </c>
      <c r="F208" s="31" t="n">
        <v>131441.234375</v>
      </c>
      <c r="G208" s="31" t="n">
        <v>1618483</v>
      </c>
      <c r="H208" s="36" t="n">
        <v>0.003018867924528212</v>
      </c>
      <c r="I208" s="36" t="n">
        <v>-0.08659793814432992</v>
      </c>
      <c r="J208" s="31" t="n">
        <v>116535</v>
      </c>
      <c r="K208" s="31" t="n">
        <v>86831.66666666667</v>
      </c>
      <c r="L208" s="31" t="n">
        <v>73108.33333333333</v>
      </c>
      <c r="M208" s="36" t="n">
        <v>0.9067560861443118</v>
      </c>
      <c r="N208" s="36" t="n">
        <v>0.9521206908744209</v>
      </c>
      <c r="O208" s="36" t="n">
        <v>0.3547400611620795</v>
      </c>
      <c r="P208" s="36" t="n">
        <v>1.252542372881356</v>
      </c>
      <c r="Q208" s="36" t="n">
        <v>1.275684931506849</v>
      </c>
      <c r="R208" s="36" t="n">
        <v>0.1404299137598146</v>
      </c>
      <c r="S208" s="36" t="n">
        <v>0.5305476112785272</v>
      </c>
      <c r="T208" s="36" t="n">
        <v>0.8178502222728827</v>
      </c>
      <c r="U208" s="31" t="n">
        <v>145500</v>
      </c>
      <c r="V208" s="31" t="n">
        <v>19080</v>
      </c>
      <c r="W208" s="36" t="n">
        <v>-0.08659793814432992</v>
      </c>
      <c r="X208" s="36" t="n">
        <v>5.965408805031447</v>
      </c>
      <c r="Y208" s="31" t="n">
        <v>95312200</v>
      </c>
      <c r="Z208" s="31" t="n">
        <v>12666991380000</v>
      </c>
      <c r="AA208" s="31" t="n">
        <v>215096390700</v>
      </c>
      <c r="AB208" s="31" t="n">
        <v>390380390110</v>
      </c>
      <c r="AC208" s="36" t="n">
        <v>0.01698085869385032</v>
      </c>
      <c r="AD208" s="29" t="inlineStr">
        <is>
          <t>yfinance_download</t>
        </is>
      </c>
      <c r="AE208" s="29" t="inlineStr">
        <is>
          <t>042700.KS</t>
        </is>
      </c>
    </row>
    <row r="209" ht="24" customHeight="1">
      <c r="A209" s="24" t="inlineStr">
        <is>
          <t>2024-04-11</t>
        </is>
      </c>
      <c r="B209" s="30" t="n">
        <v>134900</v>
      </c>
      <c r="C209" s="30" t="n">
        <v>147400</v>
      </c>
      <c r="D209" s="30" t="n">
        <v>131400</v>
      </c>
      <c r="E209" s="30" t="n">
        <v>141700</v>
      </c>
      <c r="F209" s="30" t="n">
        <v>140144.640625</v>
      </c>
      <c r="G209" s="30" t="n">
        <v>4690540</v>
      </c>
      <c r="H209" s="35" t="n">
        <v>0.06621519939804354</v>
      </c>
      <c r="I209" s="35" t="n">
        <v>-0.02611683848797253</v>
      </c>
      <c r="J209" s="30" t="n">
        <v>118615</v>
      </c>
      <c r="K209" s="30" t="n">
        <v>88241.66666666667</v>
      </c>
      <c r="L209" s="30" t="n">
        <v>73798.33333333333</v>
      </c>
      <c r="M209" s="35" t="n">
        <v>0.9236357493837956</v>
      </c>
      <c r="N209" s="35" t="n">
        <v>0.9525400758064283</v>
      </c>
      <c r="O209" s="35" t="n">
        <v>0.4155844155844155</v>
      </c>
      <c r="P209" s="35" t="n">
        <v>1.481611208406305</v>
      </c>
      <c r="Q209" s="35" t="n">
        <v>1.405772495755518</v>
      </c>
      <c r="R209" s="35" t="n">
        <v>0.1946212536357121</v>
      </c>
      <c r="S209" s="35" t="n">
        <v>0.6058173576352819</v>
      </c>
      <c r="T209" s="35" t="n">
        <v>0.9200975631789337</v>
      </c>
      <c r="U209" s="30" t="n">
        <v>145500</v>
      </c>
      <c r="V209" s="30" t="n">
        <v>19080</v>
      </c>
      <c r="W209" s="35" t="n">
        <v>-0.02611683848797253</v>
      </c>
      <c r="X209" s="35" t="n">
        <v>6.426624737945493</v>
      </c>
      <c r="Y209" s="30" t="n">
        <v>95312200</v>
      </c>
      <c r="Z209" s="30" t="n">
        <v>13505738740000</v>
      </c>
      <c r="AA209" s="30" t="n">
        <v>664649518000</v>
      </c>
      <c r="AB209" s="30" t="n">
        <v>413732680695</v>
      </c>
      <c r="AC209" s="35" t="n">
        <v>0.04921237784879585</v>
      </c>
      <c r="AD209" s="24" t="inlineStr">
        <is>
          <t>yfinance_download</t>
        </is>
      </c>
      <c r="AE209" s="24" t="inlineStr">
        <is>
          <t>042700.KS</t>
        </is>
      </c>
    </row>
    <row r="210" ht="24" customHeight="1">
      <c r="A210" s="29" t="inlineStr">
        <is>
          <t>2024-04-12</t>
        </is>
      </c>
      <c r="B210" s="31" t="n">
        <v>149700</v>
      </c>
      <c r="C210" s="31" t="n">
        <v>153200</v>
      </c>
      <c r="D210" s="31" t="n">
        <v>145300</v>
      </c>
      <c r="E210" s="31" t="n">
        <v>145500</v>
      </c>
      <c r="F210" s="31" t="n">
        <v>143902.921875</v>
      </c>
      <c r="G210" s="31" t="n">
        <v>4339460</v>
      </c>
      <c r="H210" s="36" t="n">
        <v>0.02681721947776983</v>
      </c>
      <c r="I210" s="36" t="n">
        <v>0</v>
      </c>
      <c r="J210" s="31" t="n">
        <v>120945</v>
      </c>
      <c r="K210" s="31" t="n">
        <v>89730</v>
      </c>
      <c r="L210" s="31" t="n">
        <v>74523.33333333333</v>
      </c>
      <c r="M210" s="36" t="n">
        <v>0.9165951208774629</v>
      </c>
      <c r="N210" s="36" t="n">
        <v>0.9503030480929971</v>
      </c>
      <c r="O210" s="36" t="n">
        <v>0.4711830131445904</v>
      </c>
      <c r="P210" s="36" t="n">
        <v>1.588967971530249</v>
      </c>
      <c r="Q210" s="36" t="n">
        <v>1.487179487179487</v>
      </c>
      <c r="R210" s="36" t="n">
        <v>0.203026168919757</v>
      </c>
      <c r="S210" s="36" t="n">
        <v>0.6215312604480108</v>
      </c>
      <c r="T210" s="36" t="n">
        <v>0.9524086415887643</v>
      </c>
      <c r="U210" s="31" t="n">
        <v>145500</v>
      </c>
      <c r="V210" s="31" t="n">
        <v>19080</v>
      </c>
      <c r="W210" s="36" t="n">
        <v>0</v>
      </c>
      <c r="X210" s="36" t="n">
        <v>6.625786163522013</v>
      </c>
      <c r="Y210" s="31" t="n">
        <v>95312200</v>
      </c>
      <c r="Z210" s="31" t="n">
        <v>13867925100000</v>
      </c>
      <c r="AA210" s="31" t="n">
        <v>631391430000</v>
      </c>
      <c r="AB210" s="31" t="n">
        <v>440967395965</v>
      </c>
      <c r="AC210" s="36" t="n">
        <v>0.04552890395982886</v>
      </c>
      <c r="AD210" s="29" t="inlineStr">
        <is>
          <t>yfinance_download</t>
        </is>
      </c>
      <c r="AE210" s="29" t="inlineStr">
        <is>
          <t>042700.KS</t>
        </is>
      </c>
    </row>
    <row r="211" ht="24" customHeight="1">
      <c r="A211" s="24" t="inlineStr">
        <is>
          <t>2024-04-15</t>
        </is>
      </c>
      <c r="B211" s="30" t="n">
        <v>144900</v>
      </c>
      <c r="C211" s="30" t="n">
        <v>148500</v>
      </c>
      <c r="D211" s="30" t="n">
        <v>142500</v>
      </c>
      <c r="E211" s="30" t="n">
        <v>146300</v>
      </c>
      <c r="F211" s="30" t="n">
        <v>144694.125</v>
      </c>
      <c r="G211" s="30" t="n">
        <v>2189099</v>
      </c>
      <c r="H211" s="35" t="n">
        <v>0.005498281786941561</v>
      </c>
      <c r="I211" s="35" t="n">
        <v>0</v>
      </c>
      <c r="J211" s="30" t="n">
        <v>123450</v>
      </c>
      <c r="K211" s="30" t="n">
        <v>91290</v>
      </c>
      <c r="L211" s="30" t="n">
        <v>75253.33333333333</v>
      </c>
      <c r="M211" s="35" t="n">
        <v>0.9009457608625528</v>
      </c>
      <c r="N211" s="35" t="n">
        <v>0.9360185611808923</v>
      </c>
      <c r="O211" s="35" t="n">
        <v>0.5207900207900207</v>
      </c>
      <c r="P211" s="35" t="n">
        <v>1.776091081593928</v>
      </c>
      <c r="Q211" s="35" t="n">
        <v>1.492333901192504</v>
      </c>
      <c r="R211" s="35" t="n">
        <v>0.185095180234913</v>
      </c>
      <c r="S211" s="35" t="n">
        <v>0.6025851681454706</v>
      </c>
      <c r="T211" s="35" t="n">
        <v>0.9440999291282779</v>
      </c>
      <c r="U211" s="30" t="n">
        <v>146300</v>
      </c>
      <c r="V211" s="30" t="n">
        <v>19480</v>
      </c>
      <c r="W211" s="35" t="n">
        <v>0</v>
      </c>
      <c r="X211" s="35" t="n">
        <v>6.510266940451745</v>
      </c>
      <c r="Y211" s="30" t="n">
        <v>95312200</v>
      </c>
      <c r="Z211" s="30" t="n">
        <v>13944174860000</v>
      </c>
      <c r="AA211" s="30" t="n">
        <v>320265183700</v>
      </c>
      <c r="AB211" s="30" t="n">
        <v>448832880710</v>
      </c>
      <c r="AC211" s="35" t="n">
        <v>0.02296766835725122</v>
      </c>
      <c r="AD211" s="24" t="inlineStr">
        <is>
          <t>yfinance_download</t>
        </is>
      </c>
      <c r="AE211" s="24" t="inlineStr">
        <is>
          <t>042700.KS</t>
        </is>
      </c>
    </row>
    <row r="212" ht="24" customHeight="1">
      <c r="A212" s="29" t="inlineStr">
        <is>
          <t>2024-04-16</t>
        </is>
      </c>
      <c r="B212" s="31" t="n">
        <v>143000</v>
      </c>
      <c r="C212" s="31" t="n">
        <v>146300</v>
      </c>
      <c r="D212" s="31" t="n">
        <v>138500</v>
      </c>
      <c r="E212" s="31" t="n">
        <v>140300</v>
      </c>
      <c r="F212" s="31" t="n">
        <v>138760</v>
      </c>
      <c r="G212" s="31" t="n">
        <v>2168419</v>
      </c>
      <c r="H212" s="36" t="n">
        <v>-0.04101161995898839</v>
      </c>
      <c r="I212" s="36" t="n">
        <v>-0.04101161995898839</v>
      </c>
      <c r="J212" s="31" t="n">
        <v>125550</v>
      </c>
      <c r="K212" s="31" t="n">
        <v>92755</v>
      </c>
      <c r="L212" s="31" t="n">
        <v>75935</v>
      </c>
      <c r="M212" s="36" t="n">
        <v>0.9288510590618004</v>
      </c>
      <c r="N212" s="36" t="n">
        <v>0.9427268954616408</v>
      </c>
      <c r="O212" s="36" t="n">
        <v>0.427263479145473</v>
      </c>
      <c r="P212" s="36" t="n">
        <v>1.677480916030534</v>
      </c>
      <c r="Q212" s="36" t="n">
        <v>1.398290598290598</v>
      </c>
      <c r="R212" s="36" t="n">
        <v>0.1174830744723219</v>
      </c>
      <c r="S212" s="36" t="n">
        <v>0.5125869225378685</v>
      </c>
      <c r="T212" s="36" t="n">
        <v>0.8476328438796339</v>
      </c>
      <c r="U212" s="31" t="n">
        <v>146300</v>
      </c>
      <c r="V212" s="31" t="n">
        <v>19600</v>
      </c>
      <c r="W212" s="36" t="n">
        <v>-0.04101161995898839</v>
      </c>
      <c r="X212" s="36" t="n">
        <v>6.158163265306122</v>
      </c>
      <c r="Y212" s="31" t="n">
        <v>95312200</v>
      </c>
      <c r="Z212" s="31" t="n">
        <v>13372301660000</v>
      </c>
      <c r="AA212" s="31" t="n">
        <v>304229185700</v>
      </c>
      <c r="AB212" s="31" t="n">
        <v>460309244725</v>
      </c>
      <c r="AC212" s="36" t="n">
        <v>0.02275069718252228</v>
      </c>
      <c r="AD212" s="29" t="inlineStr">
        <is>
          <t>yfinance_download</t>
        </is>
      </c>
      <c r="AE212" s="29" t="inlineStr">
        <is>
          <t>042700.KS</t>
        </is>
      </c>
    </row>
    <row r="213" ht="24" customHeight="1">
      <c r="A213" s="24" t="inlineStr">
        <is>
          <t>2024-04-17</t>
        </is>
      </c>
      <c r="B213" s="30" t="n">
        <v>142500</v>
      </c>
      <c r="C213" s="30" t="n">
        <v>144700</v>
      </c>
      <c r="D213" s="30" t="n">
        <v>135700</v>
      </c>
      <c r="E213" s="30" t="n">
        <v>136300</v>
      </c>
      <c r="F213" s="30" t="n">
        <v>134803.90625</v>
      </c>
      <c r="G213" s="30" t="n">
        <v>1959901</v>
      </c>
      <c r="H213" s="35" t="n">
        <v>-0.02851033499643618</v>
      </c>
      <c r="I213" s="35" t="n">
        <v>-0.06835269993164728</v>
      </c>
      <c r="J213" s="30" t="n">
        <v>127695</v>
      </c>
      <c r="K213" s="30" t="n">
        <v>94090</v>
      </c>
      <c r="L213" s="30" t="n">
        <v>76609.16666666667</v>
      </c>
      <c r="M213" s="35" t="n">
        <v>0.9106414157186136</v>
      </c>
      <c r="N213" s="35" t="n">
        <v>0.9405640420260244</v>
      </c>
      <c r="O213" s="35" t="n">
        <v>0.4593147751605995</v>
      </c>
      <c r="P213" s="35" t="n">
        <v>1.425266903914591</v>
      </c>
      <c r="Q213" s="35" t="n">
        <v>1.46028880866426</v>
      </c>
      <c r="R213" s="35" t="n">
        <v>0.06738713340381386</v>
      </c>
      <c r="S213" s="35" t="n">
        <v>0.4486130300775852</v>
      </c>
      <c r="T213" s="35" t="n">
        <v>0.7791604572994963</v>
      </c>
      <c r="U213" s="30" t="n">
        <v>146300</v>
      </c>
      <c r="V213" s="30" t="n">
        <v>19600</v>
      </c>
      <c r="W213" s="35" t="n">
        <v>-0.06835269993164728</v>
      </c>
      <c r="X213" s="35" t="n">
        <v>5.954081632653061</v>
      </c>
      <c r="Y213" s="30" t="n">
        <v>95312200</v>
      </c>
      <c r="Z213" s="30" t="n">
        <v>12991052860000</v>
      </c>
      <c r="AA213" s="30" t="n">
        <v>267134506300</v>
      </c>
      <c r="AB213" s="30" t="n">
        <v>467726318460</v>
      </c>
      <c r="AC213" s="35" t="n">
        <v>0.02056296046046571</v>
      </c>
      <c r="AD213" s="24" t="inlineStr">
        <is>
          <t>yfinance_download</t>
        </is>
      </c>
      <c r="AE213" s="24" t="inlineStr">
        <is>
          <t>042700.KS</t>
        </is>
      </c>
    </row>
    <row r="214" ht="24" customHeight="1">
      <c r="A214" s="29" t="inlineStr">
        <is>
          <t>2024-04-18</t>
        </is>
      </c>
      <c r="B214" s="31" t="n">
        <v>135500</v>
      </c>
      <c r="C214" s="31" t="n">
        <v>143000</v>
      </c>
      <c r="D214" s="31" t="n">
        <v>133300</v>
      </c>
      <c r="E214" s="31" t="n">
        <v>142600</v>
      </c>
      <c r="F214" s="31" t="n">
        <v>141034.75</v>
      </c>
      <c r="G214" s="31" t="n">
        <v>2204862</v>
      </c>
      <c r="H214" s="36" t="n">
        <v>0.04622157006603089</v>
      </c>
      <c r="I214" s="36" t="n">
        <v>-0.02529049897470947</v>
      </c>
      <c r="J214" s="31" t="n">
        <v>130170</v>
      </c>
      <c r="K214" s="31" t="n">
        <v>95505</v>
      </c>
      <c r="L214" s="31" t="n">
        <v>77309.16666666667</v>
      </c>
      <c r="M214" s="36" t="n">
        <v>0.9104489121327172</v>
      </c>
      <c r="N214" s="36" t="n">
        <v>0.9423229946250259</v>
      </c>
      <c r="O214" s="36" t="n">
        <v>0.5316863587540279</v>
      </c>
      <c r="P214" s="36" t="n">
        <v>1.471403812824957</v>
      </c>
      <c r="Q214" s="36" t="n">
        <v>1.433447098976109</v>
      </c>
      <c r="R214" s="36" t="n">
        <v>0.09549051240685258</v>
      </c>
      <c r="S214" s="36" t="n">
        <v>0.4931155436888122</v>
      </c>
      <c r="T214" s="36" t="n">
        <v>0.8445419365965656</v>
      </c>
      <c r="U214" s="31" t="n">
        <v>146300</v>
      </c>
      <c r="V214" s="31" t="n">
        <v>19600</v>
      </c>
      <c r="W214" s="36" t="n">
        <v>-0.02529049897470947</v>
      </c>
      <c r="X214" s="36" t="n">
        <v>6.275510204081633</v>
      </c>
      <c r="Y214" s="31" t="n">
        <v>95312200</v>
      </c>
      <c r="Z214" s="31" t="n">
        <v>13591519720000</v>
      </c>
      <c r="AA214" s="31" t="n">
        <v>314413321200</v>
      </c>
      <c r="AB214" s="31" t="n">
        <v>479397632605</v>
      </c>
      <c r="AC214" s="36" t="n">
        <v>0.02313305117288238</v>
      </c>
      <c r="AD214" s="29" t="inlineStr">
        <is>
          <t>yfinance_download</t>
        </is>
      </c>
      <c r="AE214" s="29" t="inlineStr">
        <is>
          <t>042700.KS</t>
        </is>
      </c>
    </row>
    <row r="215" ht="24" customHeight="1">
      <c r="A215" s="24" t="inlineStr">
        <is>
          <t>2024-04-19</t>
        </is>
      </c>
      <c r="B215" s="30" t="n">
        <v>139200</v>
      </c>
      <c r="C215" s="30" t="n">
        <v>141200</v>
      </c>
      <c r="D215" s="30" t="n">
        <v>131800</v>
      </c>
      <c r="E215" s="30" t="n">
        <v>136400</v>
      </c>
      <c r="F215" s="30" t="n">
        <v>134902.8125</v>
      </c>
      <c r="G215" s="30" t="n">
        <v>2405988</v>
      </c>
      <c r="H215" s="35" t="n">
        <v>-0.04347826086956519</v>
      </c>
      <c r="I215" s="35" t="n">
        <v>-0.06766917293233088</v>
      </c>
      <c r="J215" s="30" t="n">
        <v>132300</v>
      </c>
      <c r="K215" s="30" t="n">
        <v>96816.66666666667</v>
      </c>
      <c r="L215" s="30" t="n">
        <v>77950</v>
      </c>
      <c r="M215" s="35" t="n">
        <v>0.9394888190409809</v>
      </c>
      <c r="N215" s="35" t="n">
        <v>0.9498104999035019</v>
      </c>
      <c r="O215" s="35" t="n">
        <v>0.4541577825159915</v>
      </c>
      <c r="P215" s="35" t="n">
        <v>1.363951473136915</v>
      </c>
      <c r="Q215" s="35" t="n">
        <v>1.292436974789916</v>
      </c>
      <c r="R215" s="35" t="n">
        <v>0.03099017384731662</v>
      </c>
      <c r="S215" s="35" t="n">
        <v>0.4088483387846444</v>
      </c>
      <c r="T215" s="35" t="n">
        <v>0.7498396407953816</v>
      </c>
      <c r="U215" s="30" t="n">
        <v>146300</v>
      </c>
      <c r="V215" s="30" t="n">
        <v>19600</v>
      </c>
      <c r="W215" s="35" t="n">
        <v>-0.06766917293233088</v>
      </c>
      <c r="X215" s="35" t="n">
        <v>5.959183673469388</v>
      </c>
      <c r="Y215" s="30" t="n">
        <v>95312200</v>
      </c>
      <c r="Z215" s="30" t="n">
        <v>13000584080000</v>
      </c>
      <c r="AA215" s="30" t="n">
        <v>328176763200</v>
      </c>
      <c r="AB215" s="30" t="n">
        <v>490243239665</v>
      </c>
      <c r="AC215" s="35" t="n">
        <v>0.02524323224099328</v>
      </c>
      <c r="AD215" s="24" t="inlineStr">
        <is>
          <t>yfinance_download</t>
        </is>
      </c>
      <c r="AE215" s="24" t="inlineStr">
        <is>
          <t>042700.KS</t>
        </is>
      </c>
    </row>
    <row r="216" ht="24" customHeight="1">
      <c r="A216" s="29" t="inlineStr">
        <is>
          <t>2024-04-22</t>
        </is>
      </c>
      <c r="B216" s="31" t="n">
        <v>132100</v>
      </c>
      <c r="C216" s="31" t="n">
        <v>132900</v>
      </c>
      <c r="D216" s="31" t="n">
        <v>125200</v>
      </c>
      <c r="E216" s="31" t="n">
        <v>127100</v>
      </c>
      <c r="F216" s="31" t="n">
        <v>125704.890625</v>
      </c>
      <c r="G216" s="31" t="n">
        <v>2699949</v>
      </c>
      <c r="H216" s="36" t="n">
        <v>-0.06818181818181823</v>
      </c>
      <c r="I216" s="36" t="n">
        <v>-0.1312371838687628</v>
      </c>
      <c r="J216" s="31" t="n">
        <v>133965</v>
      </c>
      <c r="K216" s="31" t="n">
        <v>97973.33333333333</v>
      </c>
      <c r="L216" s="31" t="n">
        <v>78525</v>
      </c>
      <c r="M216" s="36" t="n">
        <v>0.9890472343510418</v>
      </c>
      <c r="N216" s="36" t="n">
        <v>0.9648881426658329</v>
      </c>
      <c r="O216" s="36" t="n">
        <v>0.3550106609808101</v>
      </c>
      <c r="P216" s="36" t="n">
        <v>1.202772963604853</v>
      </c>
      <c r="Q216" s="36" t="n">
        <v>1.187607573149742</v>
      </c>
      <c r="R216" s="36" t="n">
        <v>-0.0512447281006233</v>
      </c>
      <c r="S216" s="36" t="n">
        <v>0.2972917800762114</v>
      </c>
      <c r="T216" s="36" t="n">
        <v>0.6185928048392231</v>
      </c>
      <c r="U216" s="31" t="n">
        <v>146300</v>
      </c>
      <c r="V216" s="31" t="n">
        <v>19600</v>
      </c>
      <c r="W216" s="36" t="n">
        <v>-0.1312371838687628</v>
      </c>
      <c r="X216" s="36" t="n">
        <v>5.48469387755102</v>
      </c>
      <c r="Y216" s="31" t="n">
        <v>95312200</v>
      </c>
      <c r="Z216" s="31" t="n">
        <v>12114180620000</v>
      </c>
      <c r="AA216" s="31" t="n">
        <v>343163517900</v>
      </c>
      <c r="AB216" s="31" t="n">
        <v>499188212520</v>
      </c>
      <c r="AC216" s="36" t="n">
        <v>0.02832742293221644</v>
      </c>
      <c r="AD216" s="29" t="inlineStr">
        <is>
          <t>yfinance_download</t>
        </is>
      </c>
      <c r="AE216" s="29" t="inlineStr">
        <is>
          <t>042700.KS</t>
        </is>
      </c>
    </row>
    <row r="217" ht="24" customHeight="1">
      <c r="A217" s="24" t="inlineStr">
        <is>
          <t>2024-04-23</t>
        </is>
      </c>
      <c r="B217" s="30" t="n">
        <v>132000</v>
      </c>
      <c r="C217" s="30" t="n">
        <v>135000</v>
      </c>
      <c r="D217" s="30" t="n">
        <v>130300</v>
      </c>
      <c r="E217" s="30" t="n">
        <v>131400</v>
      </c>
      <c r="F217" s="30" t="n">
        <v>129957.6875</v>
      </c>
      <c r="G217" s="30" t="n">
        <v>2024768</v>
      </c>
      <c r="H217" s="35" t="n">
        <v>0.03383162863886713</v>
      </c>
      <c r="I217" s="35" t="n">
        <v>-0.1018455228981545</v>
      </c>
      <c r="J217" s="30" t="n">
        <v>135665</v>
      </c>
      <c r="K217" s="30" t="n">
        <v>99176.66666666667</v>
      </c>
      <c r="L217" s="30" t="n">
        <v>79143.33333333333</v>
      </c>
      <c r="M217" s="35" t="n">
        <v>0.9878773964654749</v>
      </c>
      <c r="N217" s="35" t="n">
        <v>0.9654062203008476</v>
      </c>
      <c r="O217" s="35" t="n">
        <v>0.3490759753593429</v>
      </c>
      <c r="P217" s="35" t="n">
        <v>1.219594594594595</v>
      </c>
      <c r="Q217" s="35" t="n">
        <v>1.297202797202797</v>
      </c>
      <c r="R217" s="35" t="n">
        <v>-0.03143773265027827</v>
      </c>
      <c r="S217" s="35" t="n">
        <v>0.3249084125970489</v>
      </c>
      <c r="T217" s="35" t="n">
        <v>0.660278819020343</v>
      </c>
      <c r="U217" s="30" t="n">
        <v>146300</v>
      </c>
      <c r="V217" s="30" t="n">
        <v>19600</v>
      </c>
      <c r="W217" s="35" t="n">
        <v>-0.1018455228981545</v>
      </c>
      <c r="X217" s="35" t="n">
        <v>5.704081632653061</v>
      </c>
      <c r="Y217" s="30" t="n">
        <v>95312200</v>
      </c>
      <c r="Z217" s="30" t="n">
        <v>12524023080000</v>
      </c>
      <c r="AA217" s="30" t="n">
        <v>266054515200</v>
      </c>
      <c r="AB217" s="30" t="n">
        <v>493793284300</v>
      </c>
      <c r="AC217" s="35" t="n">
        <v>0.02124353440587879</v>
      </c>
      <c r="AD217" s="24" t="inlineStr">
        <is>
          <t>yfinance_download</t>
        </is>
      </c>
      <c r="AE217" s="24" t="inlineStr">
        <is>
          <t>042700.KS</t>
        </is>
      </c>
    </row>
    <row r="218" ht="24" customHeight="1">
      <c r="A218" s="29" t="inlineStr">
        <is>
          <t>2024-04-24</t>
        </is>
      </c>
      <c r="B218" s="31" t="n">
        <v>137100</v>
      </c>
      <c r="C218" s="31" t="n">
        <v>146300</v>
      </c>
      <c r="D218" s="31" t="n">
        <v>136000</v>
      </c>
      <c r="E218" s="31" t="n">
        <v>142600</v>
      </c>
      <c r="F218" s="31" t="n">
        <v>141034.75</v>
      </c>
      <c r="G218" s="31" t="n">
        <v>4089531</v>
      </c>
      <c r="H218" s="36" t="n">
        <v>0.0852359208523592</v>
      </c>
      <c r="I218" s="36" t="n">
        <v>-0.02529049897470947</v>
      </c>
      <c r="J218" s="31" t="n">
        <v>137170</v>
      </c>
      <c r="K218" s="31" t="n">
        <v>100591.6666666667</v>
      </c>
      <c r="L218" s="31" t="n">
        <v>79856.66666666667</v>
      </c>
      <c r="M218" s="36" t="n">
        <v>0.8839682435770075</v>
      </c>
      <c r="N218" s="36" t="n">
        <v>0.9722259909582627</v>
      </c>
      <c r="O218" s="36" t="n">
        <v>0.2675555555555555</v>
      </c>
      <c r="P218" s="36" t="n">
        <v>1.471403812824957</v>
      </c>
      <c r="Q218" s="36" t="n">
        <v>1.501754385964912</v>
      </c>
      <c r="R218" s="36" t="n">
        <v>0.03958591528759925</v>
      </c>
      <c r="S218" s="36" t="n">
        <v>0.4176124596139508</v>
      </c>
      <c r="T218" s="36" t="n">
        <v>0.7856993780523436</v>
      </c>
      <c r="U218" s="31" t="n">
        <v>146300</v>
      </c>
      <c r="V218" s="31" t="n">
        <v>19600</v>
      </c>
      <c r="W218" s="36" t="n">
        <v>-0.02529049897470947</v>
      </c>
      <c r="X218" s="36" t="n">
        <v>6.275510204081633</v>
      </c>
      <c r="Y218" s="31" t="n">
        <v>95312200</v>
      </c>
      <c r="Z218" s="31" t="n">
        <v>13591519720000</v>
      </c>
      <c r="AA218" s="31" t="n">
        <v>583167120600</v>
      </c>
      <c r="AB218" s="31" t="n">
        <v>481712594080</v>
      </c>
      <c r="AC218" s="36" t="n">
        <v>0.04290668980466299</v>
      </c>
      <c r="AD218" s="29" t="inlineStr">
        <is>
          <t>yfinance_download</t>
        </is>
      </c>
      <c r="AE218" s="29" t="inlineStr">
        <is>
          <t>042700.KS</t>
        </is>
      </c>
    </row>
    <row r="219" ht="24" customHeight="1">
      <c r="A219" s="24" t="inlineStr">
        <is>
          <t>2024-04-25</t>
        </is>
      </c>
      <c r="B219" s="30" t="n">
        <v>139000</v>
      </c>
      <c r="C219" s="30" t="n">
        <v>142600</v>
      </c>
      <c r="D219" s="30" t="n">
        <v>136100</v>
      </c>
      <c r="E219" s="30" t="n">
        <v>136500</v>
      </c>
      <c r="F219" s="30" t="n">
        <v>135001.703125</v>
      </c>
      <c r="G219" s="30" t="n">
        <v>1820131</v>
      </c>
      <c r="H219" s="35" t="n">
        <v>-0.04277699859747541</v>
      </c>
      <c r="I219" s="35" t="n">
        <v>-0.06698564593301437</v>
      </c>
      <c r="J219" s="30" t="n">
        <v>138275</v>
      </c>
      <c r="K219" s="30" t="n">
        <v>101888.3333333333</v>
      </c>
      <c r="L219" s="30" t="n">
        <v>80556.66666666667</v>
      </c>
      <c r="M219" s="35" t="n">
        <v>0.905884299749891</v>
      </c>
      <c r="N219" s="35" t="n">
        <v>0.9798809392869902</v>
      </c>
      <c r="O219" s="35" t="n">
        <v>0.1931818181818181</v>
      </c>
      <c r="P219" s="35" t="n">
        <v>1.325383304940375</v>
      </c>
      <c r="Q219" s="35" t="n">
        <v>1.6</v>
      </c>
      <c r="R219" s="35" t="n">
        <v>-0.01283673838365573</v>
      </c>
      <c r="S219" s="35" t="n">
        <v>0.339701961297499</v>
      </c>
      <c r="T219" s="35" t="n">
        <v>0.694459386767079</v>
      </c>
      <c r="U219" s="30" t="n">
        <v>146300</v>
      </c>
      <c r="V219" s="30" t="n">
        <v>19600</v>
      </c>
      <c r="W219" s="35" t="n">
        <v>-0.06698564593301437</v>
      </c>
      <c r="X219" s="35" t="n">
        <v>5.964285714285714</v>
      </c>
      <c r="Y219" s="30" t="n">
        <v>95312200</v>
      </c>
      <c r="Z219" s="30" t="n">
        <v>13010115300000</v>
      </c>
      <c r="AA219" s="30" t="n">
        <v>248447881500</v>
      </c>
      <c r="AB219" s="30" t="n">
        <v>469378399155</v>
      </c>
      <c r="AC219" s="35" t="n">
        <v>0.01909651650051095</v>
      </c>
      <c r="AD219" s="24" t="inlineStr">
        <is>
          <t>yfinance_download</t>
        </is>
      </c>
      <c r="AE219" s="24" t="inlineStr">
        <is>
          <t>042700.KS</t>
        </is>
      </c>
    </row>
    <row r="220" ht="24" customHeight="1">
      <c r="A220" s="29" t="inlineStr">
        <is>
          <t>2024-04-26</t>
        </is>
      </c>
      <c r="B220" s="31" t="n">
        <v>141900</v>
      </c>
      <c r="C220" s="31" t="n">
        <v>141900</v>
      </c>
      <c r="D220" s="31" t="n">
        <v>137000</v>
      </c>
      <c r="E220" s="31" t="n">
        <v>137200</v>
      </c>
      <c r="F220" s="31" t="n">
        <v>135694.015625</v>
      </c>
      <c r="G220" s="31" t="n">
        <v>1488079</v>
      </c>
      <c r="H220" s="36" t="n">
        <v>0.00512820512820511</v>
      </c>
      <c r="I220" s="36" t="n">
        <v>-0.06220095693779903</v>
      </c>
      <c r="J220" s="31" t="n">
        <v>138435</v>
      </c>
      <c r="K220" s="31" t="n">
        <v>103178.3333333333</v>
      </c>
      <c r="L220" s="31" t="n">
        <v>81260.83333333333</v>
      </c>
      <c r="M220" s="36" t="n">
        <v>0.6774661963659627</v>
      </c>
      <c r="N220" s="36" t="n">
        <v>0.9801082463264122</v>
      </c>
      <c r="O220" s="36" t="n">
        <v>0.0238805970149254</v>
      </c>
      <c r="P220" s="36" t="n">
        <v>1.294314381270903</v>
      </c>
      <c r="Q220" s="36" t="n">
        <v>1.603415559772296</v>
      </c>
      <c r="R220" s="36" t="n">
        <v>-0.008921154332358183</v>
      </c>
      <c r="S220" s="36" t="n">
        <v>0.3297365402943124</v>
      </c>
      <c r="T220" s="36" t="n">
        <v>0.688390265913263</v>
      </c>
      <c r="U220" s="31" t="n">
        <v>146300</v>
      </c>
      <c r="V220" s="31" t="n">
        <v>19600</v>
      </c>
      <c r="W220" s="36" t="n">
        <v>-0.06220095693779903</v>
      </c>
      <c r="X220" s="36" t="n">
        <v>6</v>
      </c>
      <c r="Y220" s="31" t="n">
        <v>95312200</v>
      </c>
      <c r="Z220" s="31" t="n">
        <v>13076833840000</v>
      </c>
      <c r="AA220" s="31" t="n">
        <v>204164438800</v>
      </c>
      <c r="AB220" s="31" t="n">
        <v>412457076595</v>
      </c>
      <c r="AC220" s="36" t="n">
        <v>0.01561268127270171</v>
      </c>
      <c r="AD220" s="29" t="inlineStr">
        <is>
          <t>yfinance_download</t>
        </is>
      </c>
      <c r="AE220" s="29" t="inlineStr">
        <is>
          <t>042700.KS</t>
        </is>
      </c>
    </row>
    <row r="221" ht="24" customHeight="1">
      <c r="A221" s="24" t="inlineStr">
        <is>
          <t>2024-04-29</t>
        </is>
      </c>
      <c r="B221" s="30" t="n">
        <v>139800</v>
      </c>
      <c r="C221" s="30" t="n">
        <v>140300</v>
      </c>
      <c r="D221" s="30" t="n">
        <v>133900</v>
      </c>
      <c r="E221" s="30" t="n">
        <v>137100</v>
      </c>
      <c r="F221" s="30" t="n">
        <v>135595.125</v>
      </c>
      <c r="G221" s="30" t="n">
        <v>1324167</v>
      </c>
      <c r="H221" s="35" t="n">
        <v>-0.0007288629737609575</v>
      </c>
      <c r="I221" s="35" t="n">
        <v>-0.06288448393711554</v>
      </c>
      <c r="J221" s="30" t="n">
        <v>138605</v>
      </c>
      <c r="K221" s="30" t="n">
        <v>104471.6666666667</v>
      </c>
      <c r="L221" s="30" t="n">
        <v>81925</v>
      </c>
      <c r="M221" s="35" t="n">
        <v>0.6773609462559079</v>
      </c>
      <c r="N221" s="35" t="n">
        <v>0.9797613627470304</v>
      </c>
      <c r="O221" s="35" t="n">
        <v>0.02543006731488417</v>
      </c>
      <c r="P221" s="35" t="n">
        <v>1.304201680672269</v>
      </c>
      <c r="Q221" s="35" t="n">
        <v>1.388501742160279</v>
      </c>
      <c r="R221" s="35" t="n">
        <v>-0.01085819414884026</v>
      </c>
      <c r="S221" s="35" t="n">
        <v>0.3123175342596876</v>
      </c>
      <c r="T221" s="35" t="n">
        <v>0.6734818431492218</v>
      </c>
      <c r="U221" s="30" t="n">
        <v>146300</v>
      </c>
      <c r="V221" s="30" t="n">
        <v>19600</v>
      </c>
      <c r="W221" s="35" t="n">
        <v>-0.06288448393711554</v>
      </c>
      <c r="X221" s="35" t="n">
        <v>5.994897959183674</v>
      </c>
      <c r="Y221" s="30" t="n">
        <v>95312200</v>
      </c>
      <c r="Z221" s="30" t="n">
        <v>13067302620000</v>
      </c>
      <c r="AA221" s="30" t="n">
        <v>181543295700</v>
      </c>
      <c r="AB221" s="30" t="n">
        <v>393534332800</v>
      </c>
      <c r="AC221" s="35" t="n">
        <v>0.01389294340073988</v>
      </c>
      <c r="AD221" s="24" t="inlineStr">
        <is>
          <t>yfinance_download</t>
        </is>
      </c>
      <c r="AE221" s="24" t="inlineStr">
        <is>
          <t>042700.KS</t>
        </is>
      </c>
    </row>
    <row r="222" ht="24" customHeight="1">
      <c r="A222" s="29" t="inlineStr">
        <is>
          <t>2024-04-30</t>
        </is>
      </c>
      <c r="B222" s="31" t="n">
        <v>136800</v>
      </c>
      <c r="C222" s="31" t="n">
        <v>139800</v>
      </c>
      <c r="D222" s="31" t="n">
        <v>134800</v>
      </c>
      <c r="E222" s="31" t="n">
        <v>135000</v>
      </c>
      <c r="F222" s="31" t="n">
        <v>133518.171875</v>
      </c>
      <c r="G222" s="31" t="n">
        <v>1093207</v>
      </c>
      <c r="H222" s="36" t="n">
        <v>-0.01531728665207877</v>
      </c>
      <c r="I222" s="36" t="n">
        <v>-0.07723855092276144</v>
      </c>
      <c r="J222" s="31" t="n">
        <v>138240</v>
      </c>
      <c r="K222" s="31" t="n">
        <v>105743.3333333333</v>
      </c>
      <c r="L222" s="31" t="n">
        <v>82579.16666666667</v>
      </c>
      <c r="M222" s="36" t="n">
        <v>0.6382114029580431</v>
      </c>
      <c r="N222" s="36" t="n">
        <v>0.9800068732186267</v>
      </c>
      <c r="O222" s="36" t="n">
        <v>-0.05130007027406891</v>
      </c>
      <c r="P222" s="36" t="n">
        <v>1.299829642248722</v>
      </c>
      <c r="Q222" s="36" t="n">
        <v>1.389380530973451</v>
      </c>
      <c r="R222" s="36" t="n">
        <v>-0.0234375</v>
      </c>
      <c r="S222" s="36" t="n">
        <v>0.2766762286038522</v>
      </c>
      <c r="T222" s="36" t="n">
        <v>0.6347948937887884</v>
      </c>
      <c r="U222" s="31" t="n">
        <v>146300</v>
      </c>
      <c r="V222" s="31" t="n">
        <v>19600</v>
      </c>
      <c r="W222" s="36" t="n">
        <v>-0.07723855092276144</v>
      </c>
      <c r="X222" s="36" t="n">
        <v>5.887755102040816</v>
      </c>
      <c r="Y222" s="31" t="n">
        <v>95312200</v>
      </c>
      <c r="Z222" s="31" t="n">
        <v>12867147000000</v>
      </c>
      <c r="AA222" s="31" t="n">
        <v>147582945000</v>
      </c>
      <c r="AB222" s="31" t="n">
        <v>366072050780</v>
      </c>
      <c r="AC222" s="36" t="n">
        <v>0.01146974888838994</v>
      </c>
      <c r="AD222" s="29" t="inlineStr">
        <is>
          <t>yfinance_download</t>
        </is>
      </c>
      <c r="AE222" s="29" t="inlineStr">
        <is>
          <t>042700.KS</t>
        </is>
      </c>
    </row>
    <row r="223" ht="24" customHeight="1">
      <c r="A223" s="24" t="inlineStr">
        <is>
          <t>2024-05-02</t>
        </is>
      </c>
      <c r="B223" s="30" t="n">
        <v>132100</v>
      </c>
      <c r="C223" s="30" t="n">
        <v>134200</v>
      </c>
      <c r="D223" s="30" t="n">
        <v>130200</v>
      </c>
      <c r="E223" s="30" t="n">
        <v>133000</v>
      </c>
      <c r="F223" s="30" t="n">
        <v>131540.125</v>
      </c>
      <c r="G223" s="30" t="n">
        <v>968400</v>
      </c>
      <c r="H223" s="35" t="n">
        <v>-0.01481481481481484</v>
      </c>
      <c r="I223" s="35" t="n">
        <v>-0.09090909090909094</v>
      </c>
      <c r="J223" s="30" t="n">
        <v>137615</v>
      </c>
      <c r="K223" s="30" t="n">
        <v>107003.3333333333</v>
      </c>
      <c r="L223" s="30" t="n">
        <v>83200</v>
      </c>
      <c r="M223" s="35" t="n">
        <v>0.6330454462527429</v>
      </c>
      <c r="N223" s="35" t="n">
        <v>0.9789123497301131</v>
      </c>
      <c r="O223" s="35" t="n">
        <v>-0.08591065292096223</v>
      </c>
      <c r="P223" s="35" t="n">
        <v>1.317073170731707</v>
      </c>
      <c r="Q223" s="35" t="n">
        <v>1.273504273504273</v>
      </c>
      <c r="R223" s="35" t="n">
        <v>-0.03353558841696036</v>
      </c>
      <c r="S223" s="35" t="n">
        <v>0.2429519329615901</v>
      </c>
      <c r="T223" s="35" t="n">
        <v>0.5985576923076923</v>
      </c>
      <c r="U223" s="30" t="n">
        <v>146300</v>
      </c>
      <c r="V223" s="30" t="n">
        <v>19600</v>
      </c>
      <c r="W223" s="35" t="n">
        <v>-0.09090909090909094</v>
      </c>
      <c r="X223" s="35" t="n">
        <v>5.785714285714286</v>
      </c>
      <c r="Y223" s="30" t="n">
        <v>95312200</v>
      </c>
      <c r="Z223" s="30" t="n">
        <v>12676522600000</v>
      </c>
      <c r="AA223" s="30" t="n">
        <v>128797200000</v>
      </c>
      <c r="AB223" s="30" t="n">
        <v>336921133955</v>
      </c>
      <c r="AC223" s="35" t="n">
        <v>0.0101602942750246</v>
      </c>
      <c r="AD223" s="24" t="inlineStr">
        <is>
          <t>yfinance_download</t>
        </is>
      </c>
      <c r="AE223" s="24" t="inlineStr">
        <is>
          <t>042700.KS</t>
        </is>
      </c>
    </row>
    <row r="224" ht="24" customHeight="1">
      <c r="A224" s="29" t="inlineStr">
        <is>
          <t>2024-05-03</t>
        </is>
      </c>
      <c r="B224" s="31" t="n">
        <v>135500</v>
      </c>
      <c r="C224" s="31" t="n">
        <v>136300</v>
      </c>
      <c r="D224" s="31" t="n">
        <v>130000</v>
      </c>
      <c r="E224" s="31" t="n">
        <v>130000</v>
      </c>
      <c r="F224" s="31" t="n">
        <v>128573.0625</v>
      </c>
      <c r="G224" s="31" t="n">
        <v>974269</v>
      </c>
      <c r="H224" s="36" t="n">
        <v>-0.02255639097744366</v>
      </c>
      <c r="I224" s="36" t="n">
        <v>-0.1114149008885851</v>
      </c>
      <c r="J224" s="31" t="n">
        <v>136870</v>
      </c>
      <c r="K224" s="31" t="n">
        <v>108180</v>
      </c>
      <c r="L224" s="31" t="n">
        <v>83761.66666666667</v>
      </c>
      <c r="M224" s="36" t="n">
        <v>0.6365677975223064</v>
      </c>
      <c r="N224" s="36" t="n">
        <v>0.9812119438275793</v>
      </c>
      <c r="O224" s="36" t="n">
        <v>-0.1028295376121463</v>
      </c>
      <c r="P224" s="36" t="n">
        <v>1.188552188552189</v>
      </c>
      <c r="Q224" s="36" t="n">
        <v>1.07667731629393</v>
      </c>
      <c r="R224" s="36" t="n">
        <v>-0.05019361437860748</v>
      </c>
      <c r="S224" s="36" t="n">
        <v>0.2017008689221667</v>
      </c>
      <c r="T224" s="36" t="n">
        <v>0.5520226038163838</v>
      </c>
      <c r="U224" s="31" t="n">
        <v>146300</v>
      </c>
      <c r="V224" s="31" t="n">
        <v>19600</v>
      </c>
      <c r="W224" s="36" t="n">
        <v>-0.1114149008885851</v>
      </c>
      <c r="X224" s="36" t="n">
        <v>5.63265306122449</v>
      </c>
      <c r="Y224" s="31" t="n">
        <v>95312200</v>
      </c>
      <c r="Z224" s="31" t="n">
        <v>12390586000000</v>
      </c>
      <c r="AA224" s="31" t="n">
        <v>126654970000</v>
      </c>
      <c r="AB224" s="31" t="n">
        <v>322749713770</v>
      </c>
      <c r="AC224" s="36" t="n">
        <v>0.01022187086228206</v>
      </c>
      <c r="AD224" s="29" t="inlineStr">
        <is>
          <t>yfinance_download</t>
        </is>
      </c>
      <c r="AE224" s="29" t="inlineStr">
        <is>
          <t>042700.KS</t>
        </is>
      </c>
    </row>
    <row r="225" ht="24" customHeight="1">
      <c r="A225" s="24" t="inlineStr">
        <is>
          <t>2024-05-07</t>
        </is>
      </c>
      <c r="B225" s="30" t="n">
        <v>134500</v>
      </c>
      <c r="C225" s="30" t="n">
        <v>138800</v>
      </c>
      <c r="D225" s="30" t="n">
        <v>133800</v>
      </c>
      <c r="E225" s="30" t="n">
        <v>136500</v>
      </c>
      <c r="F225" s="30" t="n">
        <v>135001.703125</v>
      </c>
      <c r="G225" s="30" t="n">
        <v>1876204</v>
      </c>
      <c r="H225" s="35" t="n">
        <v>0.05000000000000004</v>
      </c>
      <c r="I225" s="35" t="n">
        <v>-0.06698564593301437</v>
      </c>
      <c r="J225" s="30" t="n">
        <v>136830</v>
      </c>
      <c r="K225" s="30" t="n">
        <v>109475</v>
      </c>
      <c r="L225" s="30" t="n">
        <v>84392.5</v>
      </c>
      <c r="M225" s="35" t="n">
        <v>0.6384189494152726</v>
      </c>
      <c r="N225" s="35" t="n">
        <v>0.9824122409759777</v>
      </c>
      <c r="O225" s="35" t="n">
        <v>-0.005826656955571718</v>
      </c>
      <c r="P225" s="35" t="n">
        <v>1.321428571428572</v>
      </c>
      <c r="Q225" s="35" t="n">
        <v>1.245065789473684</v>
      </c>
      <c r="R225" s="35" t="n">
        <v>-0.002411751808813811</v>
      </c>
      <c r="S225" s="35" t="n">
        <v>0.2468600137017585</v>
      </c>
      <c r="T225" s="35" t="n">
        <v>0.6174423082619902</v>
      </c>
      <c r="U225" s="30" t="n">
        <v>146300</v>
      </c>
      <c r="V225" s="30" t="n">
        <v>19600</v>
      </c>
      <c r="W225" s="35" t="n">
        <v>-0.06698564593301437</v>
      </c>
      <c r="X225" s="35" t="n">
        <v>5.964285714285714</v>
      </c>
      <c r="Y225" s="30" t="n">
        <v>95312200</v>
      </c>
      <c r="Z225" s="30" t="n">
        <v>13010115300000</v>
      </c>
      <c r="AA225" s="30" t="n">
        <v>256101846000</v>
      </c>
      <c r="AB225" s="30" t="n">
        <v>309113249415</v>
      </c>
      <c r="AC225" s="35" t="n">
        <v>0.01968482523748271</v>
      </c>
      <c r="AD225" s="24" t="inlineStr">
        <is>
          <t>yfinance_download</t>
        </is>
      </c>
      <c r="AE225" s="24" t="inlineStr">
        <is>
          <t>042700.KS</t>
        </is>
      </c>
    </row>
    <row r="226" ht="24" customHeight="1">
      <c r="A226" s="29" t="inlineStr">
        <is>
          <t>2024-05-08</t>
        </is>
      </c>
      <c r="B226" s="31" t="n">
        <v>136000</v>
      </c>
      <c r="C226" s="31" t="n">
        <v>141700</v>
      </c>
      <c r="D226" s="31" t="n">
        <v>134300</v>
      </c>
      <c r="E226" s="31" t="n">
        <v>140800</v>
      </c>
      <c r="F226" s="31" t="n">
        <v>139254.5</v>
      </c>
      <c r="G226" s="31" t="n">
        <v>1384326</v>
      </c>
      <c r="H226" s="36" t="n">
        <v>0.03150183150183161</v>
      </c>
      <c r="I226" s="36" t="n">
        <v>-0.03759398496240607</v>
      </c>
      <c r="J226" s="31" t="n">
        <v>137085</v>
      </c>
      <c r="K226" s="31" t="n">
        <v>110805</v>
      </c>
      <c r="L226" s="31" t="n">
        <v>85053.33333333333</v>
      </c>
      <c r="M226" s="36" t="n">
        <v>0.6458861962403205</v>
      </c>
      <c r="N226" s="36" t="n">
        <v>0.9819327133535481</v>
      </c>
      <c r="O226" s="36" t="n">
        <v>0.03758290346352244</v>
      </c>
      <c r="P226" s="36" t="n">
        <v>1.308196721311476</v>
      </c>
      <c r="Q226" s="36" t="n">
        <v>1.289430894308943</v>
      </c>
      <c r="R226" s="36" t="n">
        <v>0.02709997446839552</v>
      </c>
      <c r="S226" s="36" t="n">
        <v>0.2707007806506927</v>
      </c>
      <c r="T226" s="36" t="n">
        <v>0.6554318858755293</v>
      </c>
      <c r="U226" s="31" t="n">
        <v>146300</v>
      </c>
      <c r="V226" s="31" t="n">
        <v>19600</v>
      </c>
      <c r="W226" s="36" t="n">
        <v>-0.03759398496240607</v>
      </c>
      <c r="X226" s="36" t="n">
        <v>6.183673469387755</v>
      </c>
      <c r="Y226" s="31" t="n">
        <v>95312200</v>
      </c>
      <c r="Z226" s="31" t="n">
        <v>13419957760000</v>
      </c>
      <c r="AA226" s="31" t="n">
        <v>194913100800</v>
      </c>
      <c r="AB226" s="31" t="n">
        <v>297947134140</v>
      </c>
      <c r="AC226" s="36" t="n">
        <v>0.01452412178084233</v>
      </c>
      <c r="AD226" s="29" t="inlineStr">
        <is>
          <t>yfinance_download</t>
        </is>
      </c>
      <c r="AE226" s="29" t="inlineStr">
        <is>
          <t>042700.KS</t>
        </is>
      </c>
    </row>
    <row r="227" ht="24" customHeight="1">
      <c r="A227" s="24" t="inlineStr">
        <is>
          <t>2024-05-09</t>
        </is>
      </c>
      <c r="B227" s="30" t="n">
        <v>140100</v>
      </c>
      <c r="C227" s="30" t="n">
        <v>144600</v>
      </c>
      <c r="D227" s="30" t="n">
        <v>139600</v>
      </c>
      <c r="E227" s="30" t="n">
        <v>141600</v>
      </c>
      <c r="F227" s="30" t="n">
        <v>140045.71875</v>
      </c>
      <c r="G227" s="30" t="n">
        <v>1199839</v>
      </c>
      <c r="H227" s="35" t="n">
        <v>0.005681818181818121</v>
      </c>
      <c r="I227" s="35" t="n">
        <v>-0.03212576896787422</v>
      </c>
      <c r="J227" s="30" t="n">
        <v>137540</v>
      </c>
      <c r="K227" s="30" t="n">
        <v>112158.3333333333</v>
      </c>
      <c r="L227" s="30" t="n">
        <v>85680.83333333333</v>
      </c>
      <c r="M227" s="35" t="n">
        <v>0.6384479381046919</v>
      </c>
      <c r="N227" s="35" t="n">
        <v>0.9807191737758879</v>
      </c>
      <c r="O227" s="35" t="n">
        <v>0.06867924528301894</v>
      </c>
      <c r="P227" s="35" t="n">
        <v>1.344370860927152</v>
      </c>
      <c r="Q227" s="35" t="n">
        <v>1.135746606334842</v>
      </c>
      <c r="R227" s="35" t="n">
        <v>0.02951868547331693</v>
      </c>
      <c r="S227" s="35" t="n">
        <v>0.2625009287465636</v>
      </c>
      <c r="T227" s="35" t="n">
        <v>0.6526449906143927</v>
      </c>
      <c r="U227" s="30" t="n">
        <v>146300</v>
      </c>
      <c r="V227" s="30" t="n">
        <v>19600</v>
      </c>
      <c r="W227" s="35" t="n">
        <v>-0.03212576896787422</v>
      </c>
      <c r="X227" s="35" t="n">
        <v>6.224489795918367</v>
      </c>
      <c r="Y227" s="30" t="n">
        <v>95312200</v>
      </c>
      <c r="Z227" s="30" t="n">
        <v>13496207520000</v>
      </c>
      <c r="AA227" s="30" t="n">
        <v>169897202400</v>
      </c>
      <c r="AB227" s="30" t="n">
        <v>294792216635</v>
      </c>
      <c r="AC227" s="35" t="n">
        <v>0.01258851437696329</v>
      </c>
      <c r="AD227" s="24" t="inlineStr">
        <is>
          <t>yfinance_download</t>
        </is>
      </c>
      <c r="AE227" s="24" t="inlineStr">
        <is>
          <t>042700.KS</t>
        </is>
      </c>
    </row>
    <row r="228" ht="24" customHeight="1">
      <c r="A228" s="29" t="inlineStr">
        <is>
          <t>2024-05-10</t>
        </is>
      </c>
      <c r="B228" s="31" t="n">
        <v>141600</v>
      </c>
      <c r="C228" s="31" t="n">
        <v>141900</v>
      </c>
      <c r="D228" s="31" t="n">
        <v>137400</v>
      </c>
      <c r="E228" s="31" t="n">
        <v>139100</v>
      </c>
      <c r="F228" s="31" t="n">
        <v>137573.171875</v>
      </c>
      <c r="G228" s="31" t="n">
        <v>1049541</v>
      </c>
      <c r="H228" s="36" t="n">
        <v>-0.01765536723163841</v>
      </c>
      <c r="I228" s="36" t="n">
        <v>-0.04921394395078604</v>
      </c>
      <c r="J228" s="31" t="n">
        <v>137850</v>
      </c>
      <c r="K228" s="31" t="n">
        <v>113168.3333333333</v>
      </c>
      <c r="L228" s="31" t="n">
        <v>86358.33333333333</v>
      </c>
      <c r="M228" s="36" t="n">
        <v>0.6431080969002638</v>
      </c>
      <c r="N228" s="36" t="n">
        <v>0.7847542053238391</v>
      </c>
      <c r="O228" s="36" t="n">
        <v>0.04665161775771254</v>
      </c>
      <c r="P228" s="36" t="n">
        <v>0.7719745222929937</v>
      </c>
      <c r="Q228" s="36" t="n">
        <v>1.406574394463668</v>
      </c>
      <c r="R228" s="36" t="n">
        <v>0.00906782734856737</v>
      </c>
      <c r="S228" s="36" t="n">
        <v>0.2291424279465692</v>
      </c>
      <c r="T228" s="36" t="n">
        <v>0.6107304834507383</v>
      </c>
      <c r="U228" s="31" t="n">
        <v>146300</v>
      </c>
      <c r="V228" s="31" t="n">
        <v>19600</v>
      </c>
      <c r="W228" s="36" t="n">
        <v>-0.04921394395078604</v>
      </c>
      <c r="X228" s="36" t="n">
        <v>6.096938775510204</v>
      </c>
      <c r="Y228" s="31" t="n">
        <v>95312200</v>
      </c>
      <c r="Z228" s="31" t="n">
        <v>13257927020000</v>
      </c>
      <c r="AA228" s="31" t="n">
        <v>145991153100</v>
      </c>
      <c r="AB228" s="31" t="n">
        <v>291336954755</v>
      </c>
      <c r="AC228" s="36" t="n">
        <v>0.01101161236441925</v>
      </c>
      <c r="AD228" s="29" t="inlineStr">
        <is>
          <t>yfinance_download</t>
        </is>
      </c>
      <c r="AE228" s="29" t="inlineStr">
        <is>
          <t>042700.KS</t>
        </is>
      </c>
    </row>
    <row r="229" ht="24" customHeight="1">
      <c r="A229" s="24" t="inlineStr">
        <is>
          <t>2024-05-13</t>
        </is>
      </c>
      <c r="B229" s="30" t="n">
        <v>140200</v>
      </c>
      <c r="C229" s="30" t="n">
        <v>142500</v>
      </c>
      <c r="D229" s="30" t="n">
        <v>138400</v>
      </c>
      <c r="E229" s="30" t="n">
        <v>139700</v>
      </c>
      <c r="F229" s="30" t="n">
        <v>138166.59375</v>
      </c>
      <c r="G229" s="30" t="n">
        <v>854513</v>
      </c>
      <c r="H229" s="35" t="n">
        <v>0.004313443565780117</v>
      </c>
      <c r="I229" s="35" t="n">
        <v>-0.04511278195488722</v>
      </c>
      <c r="J229" s="30" t="n">
        <v>137750</v>
      </c>
      <c r="K229" s="30" t="n">
        <v>114146.6666666667</v>
      </c>
      <c r="L229" s="30" t="n">
        <v>87026.66666666667</v>
      </c>
      <c r="M229" s="35" t="n">
        <v>0.5984633515774188</v>
      </c>
      <c r="N229" s="35" t="n">
        <v>0.7836176338949425</v>
      </c>
      <c r="O229" s="35" t="n">
        <v>-0.01411432604093155</v>
      </c>
      <c r="P229" s="35" t="n">
        <v>0.7246913580246914</v>
      </c>
      <c r="Q229" s="35" t="n">
        <v>1.347899159663866</v>
      </c>
      <c r="R229" s="35" t="n">
        <v>0.01415607985480949</v>
      </c>
      <c r="S229" s="35" t="n">
        <v>0.2238640345753999</v>
      </c>
      <c r="T229" s="35" t="n">
        <v>0.6052550942239925</v>
      </c>
      <c r="U229" s="30" t="n">
        <v>146300</v>
      </c>
      <c r="V229" s="30" t="n">
        <v>19600</v>
      </c>
      <c r="W229" s="35" t="n">
        <v>-0.04511278195488722</v>
      </c>
      <c r="X229" s="35" t="n">
        <v>6.127551020408164</v>
      </c>
      <c r="Y229" s="30" t="n">
        <v>95312200</v>
      </c>
      <c r="Z229" s="30" t="n">
        <v>13315114340000</v>
      </c>
      <c r="AA229" s="30" t="n">
        <v>119375466100</v>
      </c>
      <c r="AB229" s="30" t="n">
        <v>264073252160</v>
      </c>
      <c r="AC229" s="35" t="n">
        <v>0.008965410514078995</v>
      </c>
      <c r="AD229" s="24" t="inlineStr">
        <is>
          <t>yfinance_download</t>
        </is>
      </c>
      <c r="AE229" s="24" t="inlineStr">
        <is>
          <t>042700.KS</t>
        </is>
      </c>
    </row>
    <row r="230" ht="24" customHeight="1">
      <c r="A230" s="29" t="inlineStr">
        <is>
          <t>2024-05-14</t>
        </is>
      </c>
      <c r="B230" s="31" t="n">
        <v>140100</v>
      </c>
      <c r="C230" s="31" t="n">
        <v>144000</v>
      </c>
      <c r="D230" s="31" t="n">
        <v>136800</v>
      </c>
      <c r="E230" s="31" t="n">
        <v>141800</v>
      </c>
      <c r="F230" s="31" t="n">
        <v>140243.53125</v>
      </c>
      <c r="G230" s="31" t="n">
        <v>1199710</v>
      </c>
      <c r="H230" s="36" t="n">
        <v>0.01503221188260562</v>
      </c>
      <c r="I230" s="36" t="n">
        <v>-0.03075871496924132</v>
      </c>
      <c r="J230" s="31" t="n">
        <v>137565</v>
      </c>
      <c r="K230" s="31" t="n">
        <v>115193.3333333333</v>
      </c>
      <c r="L230" s="31" t="n">
        <v>87689.16666666667</v>
      </c>
      <c r="M230" s="36" t="n">
        <v>0.5928848216174766</v>
      </c>
      <c r="N230" s="36" t="n">
        <v>0.7802690538469599</v>
      </c>
      <c r="O230" s="36" t="n">
        <v>-0.02542955326460483</v>
      </c>
      <c r="P230" s="36" t="n">
        <v>0.7949367088607595</v>
      </c>
      <c r="Q230" s="36" t="n">
        <v>1.276083467094703</v>
      </c>
      <c r="R230" s="36" t="n">
        <v>0.0307854468796569</v>
      </c>
      <c r="S230" s="36" t="n">
        <v>0.2309740146999248</v>
      </c>
      <c r="T230" s="36" t="n">
        <v>0.6170754654223725</v>
      </c>
      <c r="U230" s="31" t="n">
        <v>146300</v>
      </c>
      <c r="V230" s="31" t="n">
        <v>19600</v>
      </c>
      <c r="W230" s="36" t="n">
        <v>-0.03075871496924132</v>
      </c>
      <c r="X230" s="36" t="n">
        <v>6.23469387755102</v>
      </c>
      <c r="Y230" s="31" t="n">
        <v>95312200</v>
      </c>
      <c r="Z230" s="31" t="n">
        <v>13515269960000</v>
      </c>
      <c r="AA230" s="31" t="n">
        <v>170118878000</v>
      </c>
      <c r="AB230" s="31" t="n">
        <v>241009624560</v>
      </c>
      <c r="AC230" s="36" t="n">
        <v>0.0125871609300803</v>
      </c>
      <c r="AD230" s="29" t="inlineStr">
        <is>
          <t>yfinance_download</t>
        </is>
      </c>
      <c r="AE230" s="29" t="inlineStr">
        <is>
          <t>042700.KS</t>
        </is>
      </c>
    </row>
    <row r="231" ht="24" customHeight="1">
      <c r="A231" s="24" t="inlineStr">
        <is>
          <t>2024-05-16</t>
        </is>
      </c>
      <c r="B231" s="30" t="n">
        <v>147900</v>
      </c>
      <c r="C231" s="30" t="n">
        <v>150000</v>
      </c>
      <c r="D231" s="30" t="n">
        <v>142900</v>
      </c>
      <c r="E231" s="30" t="n">
        <v>144100</v>
      </c>
      <c r="F231" s="30" t="n">
        <v>142518.28125</v>
      </c>
      <c r="G231" s="30" t="n">
        <v>2755885</v>
      </c>
      <c r="H231" s="35" t="n">
        <v>0.0162200282087448</v>
      </c>
      <c r="I231" s="35" t="n">
        <v>-0.01503759398496241</v>
      </c>
      <c r="J231" s="30" t="n">
        <v>137455</v>
      </c>
      <c r="K231" s="30" t="n">
        <v>116345</v>
      </c>
      <c r="L231" s="30" t="n">
        <v>88370</v>
      </c>
      <c r="M231" s="35" t="n">
        <v>0.595569981857327</v>
      </c>
      <c r="N231" s="35" t="n">
        <v>0.7696954511028243</v>
      </c>
      <c r="O231" s="35" t="n">
        <v>-0.01503759398496241</v>
      </c>
      <c r="P231" s="35" t="n">
        <v>0.9213333333333333</v>
      </c>
      <c r="Q231" s="35" t="n">
        <v>1.309294871794872</v>
      </c>
      <c r="R231" s="35" t="n">
        <v>0.04834309410352478</v>
      </c>
      <c r="S231" s="35" t="n">
        <v>0.2385577377626886</v>
      </c>
      <c r="T231" s="35" t="n">
        <v>0.6306438836709289</v>
      </c>
      <c r="U231" s="30" t="n">
        <v>146300</v>
      </c>
      <c r="V231" s="30" t="n">
        <v>19600</v>
      </c>
      <c r="W231" s="35" t="n">
        <v>-0.01503759398496241</v>
      </c>
      <c r="X231" s="35" t="n">
        <v>6.352040816326531</v>
      </c>
      <c r="Y231" s="30" t="n">
        <v>95312200</v>
      </c>
      <c r="Z231" s="30" t="n">
        <v>13734488020000</v>
      </c>
      <c r="AA231" s="30" t="n">
        <v>397123028500</v>
      </c>
      <c r="AB231" s="30" t="n">
        <v>244852516800</v>
      </c>
      <c r="AC231" s="35" t="n">
        <v>0.02891429428761481</v>
      </c>
      <c r="AD231" s="24" t="inlineStr">
        <is>
          <t>yfinance_download</t>
        </is>
      </c>
      <c r="AE231" s="24" t="inlineStr">
        <is>
          <t>042700.KS</t>
        </is>
      </c>
    </row>
    <row r="232" ht="24" customHeight="1">
      <c r="A232" s="29" t="inlineStr">
        <is>
          <t>2024-05-17</t>
        </is>
      </c>
      <c r="B232" s="31" t="n">
        <v>144200</v>
      </c>
      <c r="C232" s="31" t="n">
        <v>144200</v>
      </c>
      <c r="D232" s="31" t="n">
        <v>139500</v>
      </c>
      <c r="E232" s="31" t="n">
        <v>139900</v>
      </c>
      <c r="F232" s="31" t="n">
        <v>138364.390625</v>
      </c>
      <c r="G232" s="31" t="n">
        <v>927191</v>
      </c>
      <c r="H232" s="36" t="n">
        <v>-0.02914642609299101</v>
      </c>
      <c r="I232" s="36" t="n">
        <v>-0.04374572795625431</v>
      </c>
      <c r="J232" s="31" t="n">
        <v>137435</v>
      </c>
      <c r="K232" s="31" t="n">
        <v>117420</v>
      </c>
      <c r="L232" s="31" t="n">
        <v>89012.5</v>
      </c>
      <c r="M232" s="36" t="n">
        <v>0.5861730338345394</v>
      </c>
      <c r="N232" s="36" t="n">
        <v>0.774210620808046</v>
      </c>
      <c r="O232" s="36" t="n">
        <v>-0.002851033499643663</v>
      </c>
      <c r="P232" s="36" t="n">
        <v>0.8554376657824934</v>
      </c>
      <c r="Q232" s="36" t="n">
        <v>1.227707006369427</v>
      </c>
      <c r="R232" s="36" t="n">
        <v>0.01793575144613824</v>
      </c>
      <c r="S232" s="36" t="n">
        <v>0.1914494975302334</v>
      </c>
      <c r="T232" s="36" t="n">
        <v>0.57168936947058</v>
      </c>
      <c r="U232" s="31" t="n">
        <v>146300</v>
      </c>
      <c r="V232" s="31" t="n">
        <v>19600</v>
      </c>
      <c r="W232" s="36" t="n">
        <v>-0.04374572795625431</v>
      </c>
      <c r="X232" s="36" t="n">
        <v>6.137755102040816</v>
      </c>
      <c r="Y232" s="31" t="n">
        <v>95312200</v>
      </c>
      <c r="Z232" s="31" t="n">
        <v>13334176780000</v>
      </c>
      <c r="AA232" s="31" t="n">
        <v>129714020900</v>
      </c>
      <c r="AB232" s="31" t="n">
        <v>236126758560</v>
      </c>
      <c r="AC232" s="36" t="n">
        <v>0.009727936192848344</v>
      </c>
      <c r="AD232" s="29" t="inlineStr">
        <is>
          <t>yfinance_download</t>
        </is>
      </c>
      <c r="AE232" s="29" t="inlineStr">
        <is>
          <t>042700.KS</t>
        </is>
      </c>
    </row>
    <row r="233" ht="24" customHeight="1">
      <c r="A233" s="24" t="inlineStr">
        <is>
          <t>2024-05-20</t>
        </is>
      </c>
      <c r="B233" s="30" t="n">
        <v>140000</v>
      </c>
      <c r="C233" s="30" t="n">
        <v>141400</v>
      </c>
      <c r="D233" s="30" t="n">
        <v>138400</v>
      </c>
      <c r="E233" s="30" t="n">
        <v>141300</v>
      </c>
      <c r="F233" s="30" t="n">
        <v>139749.015625</v>
      </c>
      <c r="G233" s="30" t="n">
        <v>744233</v>
      </c>
      <c r="H233" s="35" t="n">
        <v>0.01000714796283053</v>
      </c>
      <c r="I233" s="35" t="n">
        <v>-0.03417634996582364</v>
      </c>
      <c r="J233" s="30" t="n">
        <v>137685</v>
      </c>
      <c r="K233" s="30" t="n">
        <v>118533.3333333333</v>
      </c>
      <c r="L233" s="30" t="n">
        <v>89673.33333333333</v>
      </c>
      <c r="M233" s="35" t="n">
        <v>0.5767594787749672</v>
      </c>
      <c r="N233" s="35" t="n">
        <v>0.7726812231646147</v>
      </c>
      <c r="O233" s="35" t="n">
        <v>0.03668378576669107</v>
      </c>
      <c r="P233" s="35" t="n">
        <v>0.8966442953020135</v>
      </c>
      <c r="Q233" s="35" t="n">
        <v>1.279032258064516</v>
      </c>
      <c r="R233" s="35" t="n">
        <v>0.02625558339688427</v>
      </c>
      <c r="S233" s="35" t="n">
        <v>0.1920697412823398</v>
      </c>
      <c r="T233" s="35" t="n">
        <v>0.5757192773771467</v>
      </c>
      <c r="U233" s="30" t="n">
        <v>146300</v>
      </c>
      <c r="V233" s="30" t="n">
        <v>19600</v>
      </c>
      <c r="W233" s="35" t="n">
        <v>-0.03417634996582364</v>
      </c>
      <c r="X233" s="35" t="n">
        <v>6.209183673469388</v>
      </c>
      <c r="Y233" s="30" t="n">
        <v>95312200</v>
      </c>
      <c r="Z233" s="30" t="n">
        <v>13467613860000</v>
      </c>
      <c r="AA233" s="30" t="n">
        <v>105160122900</v>
      </c>
      <c r="AB233" s="30" t="n">
        <v>228028039390</v>
      </c>
      <c r="AC233" s="35" t="n">
        <v>0.007808370806675326</v>
      </c>
      <c r="AD233" s="24" t="inlineStr">
        <is>
          <t>yfinance_download</t>
        </is>
      </c>
      <c r="AE233" s="24" t="inlineStr">
        <is>
          <t>042700.KS</t>
        </is>
      </c>
    </row>
    <row r="234" ht="24" customHeight="1">
      <c r="A234" s="29" t="inlineStr">
        <is>
          <t>2024-05-21</t>
        </is>
      </c>
      <c r="B234" s="31" t="n">
        <v>142700</v>
      </c>
      <c r="C234" s="31" t="n">
        <v>143300</v>
      </c>
      <c r="D234" s="31" t="n">
        <v>139500</v>
      </c>
      <c r="E234" s="31" t="n">
        <v>140200</v>
      </c>
      <c r="F234" s="31" t="n">
        <v>138661.09375</v>
      </c>
      <c r="G234" s="31" t="n">
        <v>784326</v>
      </c>
      <c r="H234" s="36" t="n">
        <v>-0.007784854918612916</v>
      </c>
      <c r="I234" s="36" t="n">
        <v>-0.0416951469583049</v>
      </c>
      <c r="J234" s="31" t="n">
        <v>137565</v>
      </c>
      <c r="K234" s="31" t="n">
        <v>119628.3333333333</v>
      </c>
      <c r="L234" s="31" t="n">
        <v>90329.16666666667</v>
      </c>
      <c r="M234" s="36" t="n">
        <v>0.5537693616648592</v>
      </c>
      <c r="N234" s="36" t="n">
        <v>0.7733551180555167</v>
      </c>
      <c r="O234" s="36" t="n">
        <v>-0.01683029453015428</v>
      </c>
      <c r="P234" s="36" t="n">
        <v>0.8818791946308724</v>
      </c>
      <c r="Q234" s="36" t="n">
        <v>1.279674796747968</v>
      </c>
      <c r="R234" s="36" t="n">
        <v>0.01915458147057758</v>
      </c>
      <c r="S234" s="36" t="n">
        <v>0.1719631636875323</v>
      </c>
      <c r="T234" s="36" t="n">
        <v>0.5521011116748926</v>
      </c>
      <c r="U234" s="31" t="n">
        <v>146300</v>
      </c>
      <c r="V234" s="31" t="n">
        <v>19600</v>
      </c>
      <c r="W234" s="36" t="n">
        <v>-0.0416951469583049</v>
      </c>
      <c r="X234" s="36" t="n">
        <v>6.153061224489796</v>
      </c>
      <c r="Y234" s="31" t="n">
        <v>95312200</v>
      </c>
      <c r="Z234" s="31" t="n">
        <v>13362770440000</v>
      </c>
      <c r="AA234" s="31" t="n">
        <v>109962505200</v>
      </c>
      <c r="AB234" s="31" t="n">
        <v>217805498590</v>
      </c>
      <c r="AC234" s="36" t="n">
        <v>0.008229019999538359</v>
      </c>
      <c r="AD234" s="29" t="inlineStr">
        <is>
          <t>yfinance_download</t>
        </is>
      </c>
      <c r="AE234" s="29" t="inlineStr">
        <is>
          <t>042700.KS</t>
        </is>
      </c>
    </row>
    <row r="235" ht="24" customHeight="1">
      <c r="A235" s="24" t="inlineStr">
        <is>
          <t>2024-05-22</t>
        </is>
      </c>
      <c r="B235" s="30" t="n">
        <v>139600</v>
      </c>
      <c r="C235" s="30" t="n">
        <v>149700</v>
      </c>
      <c r="D235" s="30" t="n">
        <v>139000</v>
      </c>
      <c r="E235" s="30" t="n">
        <v>147300</v>
      </c>
      <c r="F235" s="30" t="n">
        <v>145683.15625</v>
      </c>
      <c r="G235" s="30" t="n">
        <v>2728796</v>
      </c>
      <c r="H235" s="35" t="n">
        <v>0.05064194008559197</v>
      </c>
      <c r="I235" s="35" t="n">
        <v>0</v>
      </c>
      <c r="J235" s="30" t="n">
        <v>138110</v>
      </c>
      <c r="K235" s="30" t="n">
        <v>120890</v>
      </c>
      <c r="L235" s="30" t="n">
        <v>91042.5</v>
      </c>
      <c r="M235" s="35" t="n">
        <v>0.5571478083721799</v>
      </c>
      <c r="N235" s="35" t="n">
        <v>0.7700842594080139</v>
      </c>
      <c r="O235" s="35" t="n">
        <v>0.07991202346041049</v>
      </c>
      <c r="P235" s="35" t="n">
        <v>1.057262569832402</v>
      </c>
      <c r="Q235" s="35" t="n">
        <v>1.387358184764992</v>
      </c>
      <c r="R235" s="35" t="n">
        <v>0.06654116284121359</v>
      </c>
      <c r="S235" s="35" t="n">
        <v>0.2184630655968236</v>
      </c>
      <c r="T235" s="35" t="n">
        <v>0.6179256940439903</v>
      </c>
      <c r="U235" s="30" t="n">
        <v>147300</v>
      </c>
      <c r="V235" s="30" t="n">
        <v>19600</v>
      </c>
      <c r="W235" s="35" t="n">
        <v>0</v>
      </c>
      <c r="X235" s="35" t="n">
        <v>6.51530612244898</v>
      </c>
      <c r="Y235" s="30" t="n">
        <v>95312200</v>
      </c>
      <c r="Z235" s="30" t="n">
        <v>14039487060000</v>
      </c>
      <c r="AA235" s="30" t="n">
        <v>401951650800</v>
      </c>
      <c r="AB235" s="30" t="n">
        <v>221494242970</v>
      </c>
      <c r="AC235" s="35" t="n">
        <v>0.02863008093402523</v>
      </c>
      <c r="AD235" s="24" t="inlineStr">
        <is>
          <t>yfinance_download</t>
        </is>
      </c>
      <c r="AE235" s="24" t="inlineStr">
        <is>
          <t>042700.KS</t>
        </is>
      </c>
    </row>
    <row r="236" ht="24" customHeight="1">
      <c r="A236" s="29" t="inlineStr">
        <is>
          <t>2024-05-23</t>
        </is>
      </c>
      <c r="B236" s="31" t="n">
        <v>152000</v>
      </c>
      <c r="C236" s="31" t="n">
        <v>152700</v>
      </c>
      <c r="D236" s="31" t="n">
        <v>143700</v>
      </c>
      <c r="E236" s="31" t="n">
        <v>146400</v>
      </c>
      <c r="F236" s="31" t="n">
        <v>144793.046875</v>
      </c>
      <c r="G236" s="31" t="n">
        <v>3177627</v>
      </c>
      <c r="H236" s="36" t="n">
        <v>-0.006109979633401208</v>
      </c>
      <c r="I236" s="36" t="n">
        <v>-0.006109979633401208</v>
      </c>
      <c r="J236" s="31" t="n">
        <v>139075</v>
      </c>
      <c r="K236" s="31" t="n">
        <v>122056.6666666667</v>
      </c>
      <c r="L236" s="31" t="n">
        <v>91765</v>
      </c>
      <c r="M236" s="36" t="n">
        <v>0.4892849327356288</v>
      </c>
      <c r="N236" s="36" t="n">
        <v>0.7627989941339939</v>
      </c>
      <c r="O236" s="36" t="n">
        <v>0.1518489378442172</v>
      </c>
      <c r="P236" s="36" t="n">
        <v>0.9162303664921465</v>
      </c>
      <c r="Q236" s="36" t="n">
        <v>1.452261306532663</v>
      </c>
      <c r="R236" s="36" t="n">
        <v>0.05266942297321586</v>
      </c>
      <c r="S236" s="36" t="n">
        <v>0.1994428817216047</v>
      </c>
      <c r="T236" s="36" t="n">
        <v>0.5953795019887758</v>
      </c>
      <c r="U236" s="31" t="n">
        <v>147300</v>
      </c>
      <c r="V236" s="31" t="n">
        <v>19600</v>
      </c>
      <c r="W236" s="36" t="n">
        <v>-0.006109979633401208</v>
      </c>
      <c r="X236" s="36" t="n">
        <v>6.469387755102041</v>
      </c>
      <c r="Y236" s="31" t="n">
        <v>95312200</v>
      </c>
      <c r="Z236" s="31" t="n">
        <v>13953706080000</v>
      </c>
      <c r="AA236" s="31" t="n">
        <v>465204592800</v>
      </c>
      <c r="AB236" s="31" t="n">
        <v>227596296715</v>
      </c>
      <c r="AC236" s="36" t="n">
        <v>0.03333914231336597</v>
      </c>
      <c r="AD236" s="29" t="inlineStr">
        <is>
          <t>yfinance_download</t>
        </is>
      </c>
      <c r="AE236" s="29" t="inlineStr">
        <is>
          <t>042700.KS</t>
        </is>
      </c>
    </row>
    <row r="237" ht="24" customHeight="1">
      <c r="A237" s="24" t="inlineStr">
        <is>
          <t>2024-05-24</t>
        </is>
      </c>
      <c r="B237" s="30" t="n">
        <v>146600</v>
      </c>
      <c r="C237" s="30" t="n">
        <v>151500</v>
      </c>
      <c r="D237" s="30" t="n">
        <v>142800</v>
      </c>
      <c r="E237" s="30" t="n">
        <v>147700</v>
      </c>
      <c r="F237" s="30" t="n">
        <v>146078.78125</v>
      </c>
      <c r="G237" s="30" t="n">
        <v>2704815</v>
      </c>
      <c r="H237" s="35" t="n">
        <v>0.008879781420765065</v>
      </c>
      <c r="I237" s="35" t="n">
        <v>0</v>
      </c>
      <c r="J237" s="30" t="n">
        <v>139890</v>
      </c>
      <c r="K237" s="30" t="n">
        <v>123288.3333333333</v>
      </c>
      <c r="L237" s="30" t="n">
        <v>92489.16666666667</v>
      </c>
      <c r="M237" s="35" t="n">
        <v>0.4794155987097313</v>
      </c>
      <c r="N237" s="35" t="n">
        <v>0.7567884599014406</v>
      </c>
      <c r="O237" s="35" t="n">
        <v>0.1240487062404871</v>
      </c>
      <c r="P237" s="35" t="n">
        <v>1.001355013550135</v>
      </c>
      <c r="Q237" s="35" t="n">
        <v>1.429276315789474</v>
      </c>
      <c r="R237" s="35" t="n">
        <v>0.05582958038458785</v>
      </c>
      <c r="S237" s="35" t="n">
        <v>0.1980046773822881</v>
      </c>
      <c r="T237" s="35" t="n">
        <v>0.5969437862091955</v>
      </c>
      <c r="U237" s="30" t="n">
        <v>147700</v>
      </c>
      <c r="V237" s="30" t="n">
        <v>19600</v>
      </c>
      <c r="W237" s="35" t="n">
        <v>0</v>
      </c>
      <c r="X237" s="35" t="n">
        <v>6.535714285714286</v>
      </c>
      <c r="Y237" s="30" t="n">
        <v>95312200</v>
      </c>
      <c r="Z237" s="30" t="n">
        <v>14077611940000</v>
      </c>
      <c r="AA237" s="30" t="n">
        <v>399501175500</v>
      </c>
      <c r="AB237" s="30" t="n">
        <v>234268629730</v>
      </c>
      <c r="AC237" s="35" t="n">
        <v>0.02837847620766282</v>
      </c>
      <c r="AD237" s="24" t="inlineStr">
        <is>
          <t>yfinance_download</t>
        </is>
      </c>
      <c r="AE237" s="24" t="inlineStr">
        <is>
          <t>042700.KS</t>
        </is>
      </c>
    </row>
    <row r="238" ht="24" customHeight="1">
      <c r="A238" s="29" t="inlineStr">
        <is>
          <t>2024-05-27</t>
        </is>
      </c>
      <c r="B238" s="31" t="n">
        <v>151000</v>
      </c>
      <c r="C238" s="31" t="n">
        <v>164500</v>
      </c>
      <c r="D238" s="31" t="n">
        <v>149700</v>
      </c>
      <c r="E238" s="31" t="n">
        <v>152200</v>
      </c>
      <c r="F238" s="31" t="n">
        <v>150529.375</v>
      </c>
      <c r="G238" s="31" t="n">
        <v>5397584</v>
      </c>
      <c r="H238" s="36" t="n">
        <v>0.03046716316858489</v>
      </c>
      <c r="I238" s="36" t="n">
        <v>0</v>
      </c>
      <c r="J238" s="31" t="n">
        <v>140370</v>
      </c>
      <c r="K238" s="31" t="n">
        <v>124530</v>
      </c>
      <c r="L238" s="31" t="n">
        <v>93260</v>
      </c>
      <c r="M238" s="36" t="n">
        <v>0.3910719439370005</v>
      </c>
      <c r="N238" s="36" t="n">
        <v>0.7530985340211642</v>
      </c>
      <c r="O238" s="36" t="n">
        <v>0.06732117812061711</v>
      </c>
      <c r="P238" s="36" t="n">
        <v>0.9588159588159588</v>
      </c>
      <c r="Q238" s="36" t="n">
        <v>1.549413735343383</v>
      </c>
      <c r="R238" s="36" t="n">
        <v>0.08427726722234086</v>
      </c>
      <c r="S238" s="36" t="n">
        <v>0.2221954549104634</v>
      </c>
      <c r="T238" s="36" t="n">
        <v>0.6319965687325757</v>
      </c>
      <c r="U238" s="31" t="n">
        <v>152200</v>
      </c>
      <c r="V238" s="31" t="n">
        <v>19810</v>
      </c>
      <c r="W238" s="36" t="n">
        <v>0</v>
      </c>
      <c r="X238" s="36" t="n">
        <v>6.682988389702171</v>
      </c>
      <c r="Y238" s="31" t="n">
        <v>95312200</v>
      </c>
      <c r="Z238" s="31" t="n">
        <v>14506516840000</v>
      </c>
      <c r="AA238" s="31" t="n">
        <v>821512284800</v>
      </c>
      <c r="AB238" s="31" t="n">
        <v>246185887940</v>
      </c>
      <c r="AC238" s="36" t="n">
        <v>0.05663056775522966</v>
      </c>
      <c r="AD238" s="29" t="inlineStr">
        <is>
          <t>yfinance_download</t>
        </is>
      </c>
      <c r="AE238" s="29" t="inlineStr">
        <is>
          <t>042700.KS</t>
        </is>
      </c>
    </row>
    <row r="239" ht="24" customHeight="1">
      <c r="A239" s="24" t="inlineStr">
        <is>
          <t>2024-05-28</t>
        </is>
      </c>
      <c r="B239" s="30" t="n">
        <v>157100</v>
      </c>
      <c r="C239" s="30" t="n">
        <v>164500</v>
      </c>
      <c r="D239" s="30" t="n">
        <v>155000</v>
      </c>
      <c r="E239" s="30" t="n">
        <v>163000</v>
      </c>
      <c r="F239" s="30" t="n">
        <v>161210.828125</v>
      </c>
      <c r="G239" s="30" t="n">
        <v>3692182</v>
      </c>
      <c r="H239" s="35" t="n">
        <v>0.07095926412614983</v>
      </c>
      <c r="I239" s="35" t="n">
        <v>0</v>
      </c>
      <c r="J239" s="30" t="n">
        <v>141695</v>
      </c>
      <c r="K239" s="30" t="n">
        <v>125868.3333333333</v>
      </c>
      <c r="L239" s="30" t="n">
        <v>94105</v>
      </c>
      <c r="M239" s="35" t="n">
        <v>0.4197189090895695</v>
      </c>
      <c r="N239" s="35" t="n">
        <v>0.7551675858712653</v>
      </c>
      <c r="O239" s="35" t="n">
        <v>0.1941391941391941</v>
      </c>
      <c r="P239" s="35" t="n">
        <v>0.9709794437726722</v>
      </c>
      <c r="Q239" s="35" t="n">
        <v>1.646103896103896</v>
      </c>
      <c r="R239" s="35" t="n">
        <v>0.1503581636613853</v>
      </c>
      <c r="S239" s="35" t="n">
        <v>0.2950040386117769</v>
      </c>
      <c r="T239" s="35" t="n">
        <v>0.7321077519791721</v>
      </c>
      <c r="U239" s="30" t="n">
        <v>163000</v>
      </c>
      <c r="V239" s="30" t="n">
        <v>20250</v>
      </c>
      <c r="W239" s="35" t="n">
        <v>0</v>
      </c>
      <c r="X239" s="35" t="n">
        <v>7.049382716049383</v>
      </c>
      <c r="Y239" s="30" t="n">
        <v>95312200</v>
      </c>
      <c r="Z239" s="30" t="n">
        <v>15535888600000</v>
      </c>
      <c r="AA239" s="30" t="n">
        <v>601825666000</v>
      </c>
      <c r="AB239" s="30" t="n">
        <v>263854777165</v>
      </c>
      <c r="AC239" s="35" t="n">
        <v>0.03873776914183074</v>
      </c>
      <c r="AD239" s="24" t="inlineStr">
        <is>
          <t>yfinance_download</t>
        </is>
      </c>
      <c r="AE239" s="24" t="inlineStr">
        <is>
          <t>042700.KS</t>
        </is>
      </c>
    </row>
    <row r="240" ht="24" customHeight="1">
      <c r="A240" s="29" t="inlineStr">
        <is>
          <t>2024-05-29</t>
        </is>
      </c>
      <c r="B240" s="31" t="n">
        <v>166400</v>
      </c>
      <c r="C240" s="31" t="n">
        <v>173400</v>
      </c>
      <c r="D240" s="31" t="n">
        <v>165400</v>
      </c>
      <c r="E240" s="31" t="n">
        <v>169200</v>
      </c>
      <c r="F240" s="31" t="n">
        <v>167342.765625</v>
      </c>
      <c r="G240" s="31" t="n">
        <v>3383266</v>
      </c>
      <c r="H240" s="36" t="n">
        <v>0.03803680981595092</v>
      </c>
      <c r="I240" s="36" t="n">
        <v>0</v>
      </c>
      <c r="J240" s="31" t="n">
        <v>143295</v>
      </c>
      <c r="K240" s="31" t="n">
        <v>127186.6666666667</v>
      </c>
      <c r="L240" s="31" t="n">
        <v>95005.83333333333</v>
      </c>
      <c r="M240" s="36" t="n">
        <v>0.4315363699770975</v>
      </c>
      <c r="N240" s="36" t="n">
        <v>0.7399567673773546</v>
      </c>
      <c r="O240" s="36" t="n">
        <v>0.2332361516034986</v>
      </c>
      <c r="P240" s="36" t="n">
        <v>0.8779134295227524</v>
      </c>
      <c r="Q240" s="36" t="n">
        <v>1.769230769230769</v>
      </c>
      <c r="R240" s="36" t="n">
        <v>0.1807809065215116</v>
      </c>
      <c r="S240" s="36" t="n">
        <v>0.3303281266380123</v>
      </c>
      <c r="T240" s="36" t="n">
        <v>0.7809432754129133</v>
      </c>
      <c r="U240" s="31" t="n">
        <v>169200</v>
      </c>
      <c r="V240" s="31" t="n">
        <v>21350</v>
      </c>
      <c r="W240" s="36" t="n">
        <v>0</v>
      </c>
      <c r="X240" s="36" t="n">
        <v>6.925058548009368</v>
      </c>
      <c r="Y240" s="31" t="n">
        <v>95312200</v>
      </c>
      <c r="Z240" s="31" t="n">
        <v>16126824240000</v>
      </c>
      <c r="AA240" s="31" t="n">
        <v>572448607200</v>
      </c>
      <c r="AB240" s="31" t="n">
        <v>282268985585</v>
      </c>
      <c r="AC240" s="36" t="n">
        <v>0.03549667303870858</v>
      </c>
      <c r="AD240" s="29" t="inlineStr">
        <is>
          <t>yfinance_download</t>
        </is>
      </c>
      <c r="AE240" s="29" t="inlineStr">
        <is>
          <t>042700.KS</t>
        </is>
      </c>
    </row>
    <row r="241" ht="24" customHeight="1">
      <c r="A241" s="24" t="inlineStr">
        <is>
          <t>2024-05-30</t>
        </is>
      </c>
      <c r="B241" s="30" t="n">
        <v>166900</v>
      </c>
      <c r="C241" s="30" t="n">
        <v>174100</v>
      </c>
      <c r="D241" s="30" t="n">
        <v>164500</v>
      </c>
      <c r="E241" s="30" t="n">
        <v>165300</v>
      </c>
      <c r="F241" s="30" t="n">
        <v>163485.578125</v>
      </c>
      <c r="G241" s="30" t="n">
        <v>1970098</v>
      </c>
      <c r="H241" s="35" t="n">
        <v>-0.02304964539007093</v>
      </c>
      <c r="I241" s="35" t="n">
        <v>-0.02304964539007093</v>
      </c>
      <c r="J241" s="30" t="n">
        <v>144705</v>
      </c>
      <c r="K241" s="30" t="n">
        <v>128528.3333333333</v>
      </c>
      <c r="L241" s="30" t="n">
        <v>95853.33333333333</v>
      </c>
      <c r="M241" s="35" t="n">
        <v>0.4465147922159307</v>
      </c>
      <c r="N241" s="35" t="n">
        <v>0.7289696240554057</v>
      </c>
      <c r="O241" s="35" t="n">
        <v>0.2056892778993435</v>
      </c>
      <c r="P241" s="35" t="n">
        <v>0.9492924528301887</v>
      </c>
      <c r="Q241" s="35" t="n">
        <v>1.599056603773585</v>
      </c>
      <c r="R241" s="35" t="n">
        <v>0.1423240385612108</v>
      </c>
      <c r="S241" s="35" t="n">
        <v>0.286097747578355</v>
      </c>
      <c r="T241" s="35" t="n">
        <v>0.7245096675476423</v>
      </c>
      <c r="U241" s="30" t="n">
        <v>169200</v>
      </c>
      <c r="V241" s="30" t="n">
        <v>25000</v>
      </c>
      <c r="W241" s="35" t="n">
        <v>-0.02304964539007093</v>
      </c>
      <c r="X241" s="35" t="n">
        <v>5.612</v>
      </c>
      <c r="Y241" s="30" t="n">
        <v>95312200</v>
      </c>
      <c r="Z241" s="30" t="n">
        <v>15755106660000</v>
      </c>
      <c r="AA241" s="30" t="n">
        <v>325657199400</v>
      </c>
      <c r="AB241" s="30" t="n">
        <v>289474680770</v>
      </c>
      <c r="AC241" s="35" t="n">
        <v>0.02066994571523897</v>
      </c>
      <c r="AD241" s="24" t="inlineStr">
        <is>
          <t>yfinance_download</t>
        </is>
      </c>
      <c r="AE241" s="24" t="inlineStr">
        <is>
          <t>042700.KS</t>
        </is>
      </c>
    </row>
    <row r="242" ht="24" customHeight="1">
      <c r="A242" s="29" t="inlineStr">
        <is>
          <t>2024-05-31</t>
        </is>
      </c>
      <c r="B242" s="31" t="n">
        <v>163600</v>
      </c>
      <c r="C242" s="31" t="n">
        <v>164900</v>
      </c>
      <c r="D242" s="31" t="n">
        <v>161000</v>
      </c>
      <c r="E242" s="31" t="n">
        <v>161700</v>
      </c>
      <c r="F242" s="31" t="n">
        <v>159925.09375</v>
      </c>
      <c r="G242" s="31" t="n">
        <v>1464046</v>
      </c>
      <c r="H242" s="36" t="n">
        <v>-0.02177858439201452</v>
      </c>
      <c r="I242" s="36" t="n">
        <v>-0.04432624113475181</v>
      </c>
      <c r="J242" s="31" t="n">
        <v>146040</v>
      </c>
      <c r="K242" s="31" t="n">
        <v>129633.3333333333</v>
      </c>
      <c r="L242" s="31" t="n">
        <v>96684.16666666667</v>
      </c>
      <c r="M242" s="36" t="n">
        <v>0.4518855058380297</v>
      </c>
      <c r="N242" s="36" t="n">
        <v>0.6931207846141205</v>
      </c>
      <c r="O242" s="36" t="n">
        <v>0.1977777777777778</v>
      </c>
      <c r="P242" s="36" t="n">
        <v>0.6949685534591195</v>
      </c>
      <c r="Q242" s="36" t="n">
        <v>1.608064516129032</v>
      </c>
      <c r="R242" s="36" t="n">
        <v>0.1072308956450287</v>
      </c>
      <c r="S242" s="36" t="n">
        <v>0.2473643610182568</v>
      </c>
      <c r="T242" s="36" t="n">
        <v>0.6724558485101835</v>
      </c>
      <c r="U242" s="31" t="n">
        <v>169200</v>
      </c>
      <c r="V242" s="31" t="n">
        <v>25000</v>
      </c>
      <c r="W242" s="36" t="n">
        <v>-0.04432624113475181</v>
      </c>
      <c r="X242" s="36" t="n">
        <v>5.468</v>
      </c>
      <c r="Y242" s="31" t="n">
        <v>95312200</v>
      </c>
      <c r="Z242" s="31" t="n">
        <v>15411982740000</v>
      </c>
      <c r="AA242" s="31" t="n">
        <v>236736238200</v>
      </c>
      <c r="AB242" s="31" t="n">
        <v>293932345430</v>
      </c>
      <c r="AC242" s="36" t="n">
        <v>0.01536053097085158</v>
      </c>
      <c r="AD242" s="29" t="inlineStr">
        <is>
          <t>yfinance_download</t>
        </is>
      </c>
      <c r="AE242" s="29" t="inlineStr">
        <is>
          <t>042700.KS</t>
        </is>
      </c>
    </row>
    <row r="243" ht="24" customHeight="1">
      <c r="A243" s="24" t="inlineStr">
        <is>
          <t>2024-06-03</t>
        </is>
      </c>
      <c r="B243" s="30" t="n">
        <v>158100</v>
      </c>
      <c r="C243" s="30" t="n">
        <v>158500</v>
      </c>
      <c r="D243" s="30" t="n">
        <v>138100</v>
      </c>
      <c r="E243" s="30" t="n">
        <v>146700</v>
      </c>
      <c r="F243" s="30" t="n">
        <v>145089.75</v>
      </c>
      <c r="G243" s="30" t="n">
        <v>7240625</v>
      </c>
      <c r="H243" s="35" t="n">
        <v>-0.09276437847866414</v>
      </c>
      <c r="I243" s="35" t="n">
        <v>-0.1329787234042553</v>
      </c>
      <c r="J243" s="30" t="n">
        <v>146725</v>
      </c>
      <c r="K243" s="30" t="n">
        <v>130498.3333333333</v>
      </c>
      <c r="L243" s="30" t="n">
        <v>97408.33333333333</v>
      </c>
      <c r="M243" s="35" t="n">
        <v>0.5752534521396573</v>
      </c>
      <c r="N243" s="35" t="n">
        <v>0.72364071718263</v>
      </c>
      <c r="O243" s="35" t="n">
        <v>0.1030075187969925</v>
      </c>
      <c r="P243" s="35" t="n">
        <v>0.5474683544303798</v>
      </c>
      <c r="Q243" s="35" t="n">
        <v>1.453177257525084</v>
      </c>
      <c r="R243" s="35" t="n">
        <v>-0.0001703867779859758</v>
      </c>
      <c r="S243" s="35" t="n">
        <v>0.1241522880241128</v>
      </c>
      <c r="T243" s="35" t="n">
        <v>0.5060313114894346</v>
      </c>
      <c r="U243" s="30" t="n">
        <v>169200</v>
      </c>
      <c r="V243" s="30" t="n">
        <v>25000</v>
      </c>
      <c r="W243" s="35" t="n">
        <v>-0.1329787234042553</v>
      </c>
      <c r="X243" s="35" t="n">
        <v>4.868</v>
      </c>
      <c r="Y243" s="30" t="n">
        <v>95312200</v>
      </c>
      <c r="Z243" s="30" t="n">
        <v>13982299740000</v>
      </c>
      <c r="AA243" s="30" t="n">
        <v>1062199687500</v>
      </c>
      <c r="AB243" s="30" t="n">
        <v>340602469805</v>
      </c>
      <c r="AC243" s="35" t="n">
        <v>0.07596745222542339</v>
      </c>
      <c r="AD243" s="24" t="inlineStr">
        <is>
          <t>yfinance_download</t>
        </is>
      </c>
      <c r="AE243" s="24" t="inlineStr">
        <is>
          <t>042700.KS</t>
        </is>
      </c>
    </row>
    <row r="244" ht="24" customHeight="1">
      <c r="A244" s="29" t="inlineStr">
        <is>
          <t>2024-06-04</t>
        </is>
      </c>
      <c r="B244" s="31" t="n">
        <v>147200</v>
      </c>
      <c r="C244" s="31" t="n">
        <v>151200</v>
      </c>
      <c r="D244" s="31" t="n">
        <v>145900</v>
      </c>
      <c r="E244" s="31" t="n">
        <v>148600</v>
      </c>
      <c r="F244" s="31" t="n">
        <v>146968.890625</v>
      </c>
      <c r="G244" s="31" t="n">
        <v>2469486</v>
      </c>
      <c r="H244" s="36" t="n">
        <v>0.01295160190865707</v>
      </c>
      <c r="I244" s="36" t="n">
        <v>-0.1217494089834515</v>
      </c>
      <c r="J244" s="31" t="n">
        <v>147655</v>
      </c>
      <c r="K244" s="31" t="n">
        <v>131285</v>
      </c>
      <c r="L244" s="31" t="n">
        <v>98165</v>
      </c>
      <c r="M244" s="36" t="n">
        <v>0.5659809522848094</v>
      </c>
      <c r="N244" s="36" t="n">
        <v>0.7123573213576769</v>
      </c>
      <c r="O244" s="36" t="n">
        <v>0.1430769230769231</v>
      </c>
      <c r="P244" s="36" t="n">
        <v>0.4654832347140039</v>
      </c>
      <c r="Q244" s="36" t="n">
        <v>1.570934256055363</v>
      </c>
      <c r="R244" s="36" t="n">
        <v>0.006400054180352832</v>
      </c>
      <c r="S244" s="36" t="n">
        <v>0.1318886392200176</v>
      </c>
      <c r="T244" s="36" t="n">
        <v>0.513777823053023</v>
      </c>
      <c r="U244" s="31" t="n">
        <v>169200</v>
      </c>
      <c r="V244" s="31" t="n">
        <v>25000</v>
      </c>
      <c r="W244" s="36" t="n">
        <v>-0.1217494089834515</v>
      </c>
      <c r="X244" s="36" t="n">
        <v>4.944</v>
      </c>
      <c r="Y244" s="31" t="n">
        <v>95312200</v>
      </c>
      <c r="Z244" s="31" t="n">
        <v>14163392920000</v>
      </c>
      <c r="AA244" s="31" t="n">
        <v>366965619600</v>
      </c>
      <c r="AB244" s="31" t="n">
        <v>352618002285</v>
      </c>
      <c r="AC244" s="36" t="n">
        <v>0.02590944286250868</v>
      </c>
      <c r="AD244" s="29" t="inlineStr">
        <is>
          <t>yfinance_download</t>
        </is>
      </c>
      <c r="AE244" s="29" t="inlineStr">
        <is>
          <t>042700.KS</t>
        </is>
      </c>
    </row>
    <row r="245" ht="24" customHeight="1">
      <c r="A245" s="24" t="inlineStr">
        <is>
          <t>2024-06-05</t>
        </is>
      </c>
      <c r="B245" s="30" t="n">
        <v>151900</v>
      </c>
      <c r="C245" s="30" t="n">
        <v>162300</v>
      </c>
      <c r="D245" s="30" t="n">
        <v>150100</v>
      </c>
      <c r="E245" s="30" t="n">
        <v>155800</v>
      </c>
      <c r="F245" s="30" t="n">
        <v>154089.859375</v>
      </c>
      <c r="G245" s="30" t="n">
        <v>3468162</v>
      </c>
      <c r="H245" s="35" t="n">
        <v>0.04845222072678323</v>
      </c>
      <c r="I245" s="35" t="n">
        <v>-0.07919621749408978</v>
      </c>
      <c r="J245" s="30" t="n">
        <v>148620</v>
      </c>
      <c r="K245" s="30" t="n">
        <v>132236.6666666667</v>
      </c>
      <c r="L245" s="30" t="n">
        <v>98980.83333333333</v>
      </c>
      <c r="M245" s="35" t="n">
        <v>0.5644575477997956</v>
      </c>
      <c r="N245" s="35" t="n">
        <v>0.7136815678849467</v>
      </c>
      <c r="O245" s="35" t="n">
        <v>0.1413919413919413</v>
      </c>
      <c r="P245" s="35" t="n">
        <v>0.5785207700101318</v>
      </c>
      <c r="Q245" s="35" t="n">
        <v>1.690846286701209</v>
      </c>
      <c r="R245" s="35" t="n">
        <v>0.04831112905396306</v>
      </c>
      <c r="S245" s="35" t="n">
        <v>0.1781906178316655</v>
      </c>
      <c r="T245" s="35" t="n">
        <v>0.5740421125302038</v>
      </c>
      <c r="U245" s="30" t="n">
        <v>169200</v>
      </c>
      <c r="V245" s="30" t="n">
        <v>25000</v>
      </c>
      <c r="W245" s="35" t="n">
        <v>-0.07919621749408978</v>
      </c>
      <c r="X245" s="35" t="n">
        <v>5.232</v>
      </c>
      <c r="Y245" s="30" t="n">
        <v>95312200</v>
      </c>
      <c r="Z245" s="30" t="n">
        <v>14849640760000</v>
      </c>
      <c r="AA245" s="30" t="n">
        <v>540339639600</v>
      </c>
      <c r="AB245" s="30" t="n">
        <v>366829891965</v>
      </c>
      <c r="AC245" s="35" t="n">
        <v>0.03638738797341788</v>
      </c>
      <c r="AD245" s="24" t="inlineStr">
        <is>
          <t>yfinance_download</t>
        </is>
      </c>
      <c r="AE245" s="24" t="inlineStr">
        <is>
          <t>042700.KS</t>
        </is>
      </c>
    </row>
    <row r="246" ht="24" customHeight="1">
      <c r="A246" s="29" t="inlineStr">
        <is>
          <t>2024-06-07</t>
        </is>
      </c>
      <c r="B246" s="31" t="n">
        <v>155800</v>
      </c>
      <c r="C246" s="31" t="n">
        <v>163000</v>
      </c>
      <c r="D246" s="31" t="n">
        <v>153500</v>
      </c>
      <c r="E246" s="31" t="n">
        <v>156800</v>
      </c>
      <c r="F246" s="31" t="n">
        <v>155078.890625</v>
      </c>
      <c r="G246" s="31" t="n">
        <v>2757638</v>
      </c>
      <c r="H246" s="36" t="n">
        <v>0.006418485237484006</v>
      </c>
      <c r="I246" s="36" t="n">
        <v>-0.07328605200945626</v>
      </c>
      <c r="J246" s="31" t="n">
        <v>149420</v>
      </c>
      <c r="K246" s="31" t="n">
        <v>133181.6666666667</v>
      </c>
      <c r="L246" s="31" t="n">
        <v>99796.66666666667</v>
      </c>
      <c r="M246" s="36" t="n">
        <v>0.5571343805698773</v>
      </c>
      <c r="N246" s="36" t="n">
        <v>0.7135991866476232</v>
      </c>
      <c r="O246" s="36" t="n">
        <v>0.1136363636363635</v>
      </c>
      <c r="P246" s="36" t="n">
        <v>0.5664335664335665</v>
      </c>
      <c r="Q246" s="36" t="n">
        <v>1.66213921901528</v>
      </c>
      <c r="R246" s="36" t="n">
        <v>0.04939097845000662</v>
      </c>
      <c r="S246" s="36" t="n">
        <v>0.1773392233665796</v>
      </c>
      <c r="T246" s="36" t="n">
        <v>0.5711947626841243</v>
      </c>
      <c r="U246" s="31" t="n">
        <v>169200</v>
      </c>
      <c r="V246" s="31" t="n">
        <v>25000</v>
      </c>
      <c r="W246" s="36" t="n">
        <v>-0.07328605200945626</v>
      </c>
      <c r="X246" s="36" t="n">
        <v>5.272</v>
      </c>
      <c r="Y246" s="31" t="n">
        <v>95312200</v>
      </c>
      <c r="Z246" s="31" t="n">
        <v>14944952960000</v>
      </c>
      <c r="AA246" s="31" t="n">
        <v>432397638400</v>
      </c>
      <c r="AB246" s="31" t="n">
        <v>378704118845</v>
      </c>
      <c r="AC246" s="36" t="n">
        <v>0.02893268647665252</v>
      </c>
      <c r="AD246" s="29" t="inlineStr">
        <is>
          <t>yfinance_download</t>
        </is>
      </c>
      <c r="AE246" s="29" t="inlineStr">
        <is>
          <t>042700.KS</t>
        </is>
      </c>
    </row>
    <row r="247" ht="24" customHeight="1">
      <c r="A247" s="24" t="inlineStr">
        <is>
          <t>2024-06-10</t>
        </is>
      </c>
      <c r="B247" s="30" t="n">
        <v>159700</v>
      </c>
      <c r="C247" s="30" t="n">
        <v>161100</v>
      </c>
      <c r="D247" s="30" t="n">
        <v>156800</v>
      </c>
      <c r="E247" s="30" t="n">
        <v>160000</v>
      </c>
      <c r="F247" s="30" t="n">
        <v>158243.765625</v>
      </c>
      <c r="G247" s="30" t="n">
        <v>1233444</v>
      </c>
      <c r="H247" s="35" t="n">
        <v>0.02040816326530615</v>
      </c>
      <c r="I247" s="35" t="n">
        <v>-0.05437352245862881</v>
      </c>
      <c r="J247" s="30" t="n">
        <v>150340</v>
      </c>
      <c r="K247" s="30" t="n">
        <v>134225</v>
      </c>
      <c r="L247" s="30" t="n">
        <v>100627.5</v>
      </c>
      <c r="M247" s="35" t="n">
        <v>0.559474187806809</v>
      </c>
      <c r="N247" s="35" t="n">
        <v>0.7101475349943078</v>
      </c>
      <c r="O247" s="35" t="n">
        <v>0.1299435028248588</v>
      </c>
      <c r="P247" s="35" t="n">
        <v>0.6427104722792607</v>
      </c>
      <c r="Q247" s="35" t="n">
        <v>1.653399668325041</v>
      </c>
      <c r="R247" s="35" t="n">
        <v>0.064254356791273</v>
      </c>
      <c r="S247" s="35" t="n">
        <v>0.1920283106723786</v>
      </c>
      <c r="T247" s="35" t="n">
        <v>0.5900226081339595</v>
      </c>
      <c r="U247" s="30" t="n">
        <v>169200</v>
      </c>
      <c r="V247" s="30" t="n">
        <v>25000</v>
      </c>
      <c r="W247" s="35" t="n">
        <v>-0.05437352245862881</v>
      </c>
      <c r="X247" s="35" t="n">
        <v>5.4</v>
      </c>
      <c r="Y247" s="30" t="n">
        <v>95312200</v>
      </c>
      <c r="Z247" s="30" t="n">
        <v>15249952000000</v>
      </c>
      <c r="AA247" s="30" t="n">
        <v>197351040000</v>
      </c>
      <c r="AB247" s="30" t="n">
        <v>380076810725</v>
      </c>
      <c r="AC247" s="35" t="n">
        <v>0.01294109253589782</v>
      </c>
      <c r="AD247" s="24" t="inlineStr">
        <is>
          <t>yfinance_download</t>
        </is>
      </c>
      <c r="AE247" s="24" t="inlineStr">
        <is>
          <t>042700.KS</t>
        </is>
      </c>
    </row>
    <row r="248" ht="24" customHeight="1">
      <c r="A248" s="29" t="inlineStr">
        <is>
          <t>2024-06-11</t>
        </is>
      </c>
      <c r="B248" s="31" t="n">
        <v>161900</v>
      </c>
      <c r="C248" s="31" t="n">
        <v>162000</v>
      </c>
      <c r="D248" s="31" t="n">
        <v>158500</v>
      </c>
      <c r="E248" s="31" t="n">
        <v>159300</v>
      </c>
      <c r="F248" s="31" t="n">
        <v>157551.453125</v>
      </c>
      <c r="G248" s="31" t="n">
        <v>880159</v>
      </c>
      <c r="H248" s="36" t="n">
        <v>-0.004375000000000018</v>
      </c>
      <c r="I248" s="36" t="n">
        <v>-0.05851063829787229</v>
      </c>
      <c r="J248" s="31" t="n">
        <v>151350</v>
      </c>
      <c r="K248" s="31" t="n">
        <v>135245</v>
      </c>
      <c r="L248" s="31" t="n">
        <v>101464.1666666667</v>
      </c>
      <c r="M248" s="36" t="n">
        <v>0.5537552944216737</v>
      </c>
      <c r="N248" s="36" t="n">
        <v>0.7106863759060482</v>
      </c>
      <c r="O248" s="36" t="n">
        <v>0.1452192667145937</v>
      </c>
      <c r="P248" s="36" t="n">
        <v>0.6238532110091743</v>
      </c>
      <c r="Q248" s="36" t="n">
        <v>1.704584040747029</v>
      </c>
      <c r="R248" s="36" t="n">
        <v>0.05252725470763142</v>
      </c>
      <c r="S248" s="36" t="n">
        <v>0.1778623978705312</v>
      </c>
      <c r="T248" s="36" t="n">
        <v>0.5700124017510286</v>
      </c>
      <c r="U248" s="31" t="n">
        <v>169200</v>
      </c>
      <c r="V248" s="31" t="n">
        <v>25000</v>
      </c>
      <c r="W248" s="36" t="n">
        <v>-0.05851063829787229</v>
      </c>
      <c r="X248" s="36" t="n">
        <v>5.372</v>
      </c>
      <c r="Y248" s="31" t="n">
        <v>95312200</v>
      </c>
      <c r="Z248" s="31" t="n">
        <v>15183233460000</v>
      </c>
      <c r="AA248" s="31" t="n">
        <v>140209328700</v>
      </c>
      <c r="AB248" s="31" t="n">
        <v>379787719505</v>
      </c>
      <c r="AC248" s="36" t="n">
        <v>0.00923448414788453</v>
      </c>
      <c r="AD248" s="29" t="inlineStr">
        <is>
          <t>yfinance_download</t>
        </is>
      </c>
      <c r="AE248" s="29" t="inlineStr">
        <is>
          <t>042700.KS</t>
        </is>
      </c>
    </row>
    <row r="249" ht="24" customHeight="1">
      <c r="A249" s="24" t="inlineStr">
        <is>
          <t>2024-06-12</t>
        </is>
      </c>
      <c r="B249" s="30" t="n">
        <v>159300</v>
      </c>
      <c r="C249" s="30" t="n">
        <v>175500</v>
      </c>
      <c r="D249" s="30" t="n">
        <v>157400</v>
      </c>
      <c r="E249" s="30" t="n">
        <v>173900</v>
      </c>
      <c r="F249" s="30" t="n">
        <v>171991.1875</v>
      </c>
      <c r="G249" s="30" t="n">
        <v>4537953</v>
      </c>
      <c r="H249" s="35" t="n">
        <v>0.09165097300690528</v>
      </c>
      <c r="I249" s="35" t="n">
        <v>0</v>
      </c>
      <c r="J249" s="30" t="n">
        <v>153060</v>
      </c>
      <c r="K249" s="30" t="n">
        <v>136475</v>
      </c>
      <c r="L249" s="30" t="n">
        <v>102422.5</v>
      </c>
      <c r="M249" s="35" t="n">
        <v>0.6289916994685579</v>
      </c>
      <c r="N249" s="35" t="n">
        <v>0.7302737128542516</v>
      </c>
      <c r="O249" s="35" t="n">
        <v>0.2448103078024337</v>
      </c>
      <c r="P249" s="35" t="n">
        <v>0.7372627372627372</v>
      </c>
      <c r="Q249" s="35" t="n">
        <v>1.952461799660441</v>
      </c>
      <c r="R249" s="35" t="n">
        <v>0.136155755912714</v>
      </c>
      <c r="S249" s="35" t="n">
        <v>0.2742260487268731</v>
      </c>
      <c r="T249" s="35" t="n">
        <v>0.6978691205545657</v>
      </c>
      <c r="U249" s="30" t="n">
        <v>173900</v>
      </c>
      <c r="V249" s="30" t="n">
        <v>25000</v>
      </c>
      <c r="W249" s="35" t="n">
        <v>0</v>
      </c>
      <c r="X249" s="35" t="n">
        <v>5.956</v>
      </c>
      <c r="Y249" s="30" t="n">
        <v>95312200</v>
      </c>
      <c r="Z249" s="30" t="n">
        <v>16574791580000</v>
      </c>
      <c r="AA249" s="30" t="n">
        <v>789150026700</v>
      </c>
      <c r="AB249" s="30" t="n">
        <v>413276447535</v>
      </c>
      <c r="AC249" s="35" t="n">
        <v>0.04761146002295614</v>
      </c>
      <c r="AD249" s="24" t="inlineStr">
        <is>
          <t>yfinance_download</t>
        </is>
      </c>
      <c r="AE249" s="24" t="inlineStr">
        <is>
          <t>042700.KS</t>
        </is>
      </c>
    </row>
    <row r="250" ht="24" customHeight="1">
      <c r="A250" s="29" t="inlineStr">
        <is>
          <t>2024-06-13</t>
        </is>
      </c>
      <c r="B250" s="31" t="n">
        <v>175900</v>
      </c>
      <c r="C250" s="31" t="n">
        <v>189000</v>
      </c>
      <c r="D250" s="31" t="n">
        <v>173900</v>
      </c>
      <c r="E250" s="31" t="n">
        <v>189000</v>
      </c>
      <c r="F250" s="31" t="n">
        <v>186925.4375</v>
      </c>
      <c r="G250" s="31" t="n">
        <v>5653152</v>
      </c>
      <c r="H250" s="36" t="n">
        <v>0.08683151236342734</v>
      </c>
      <c r="I250" s="36" t="n">
        <v>0</v>
      </c>
      <c r="J250" s="31" t="n">
        <v>155420</v>
      </c>
      <c r="K250" s="31" t="n">
        <v>137976.6666666667</v>
      </c>
      <c r="L250" s="31" t="n">
        <v>103509.1666666667</v>
      </c>
      <c r="M250" s="36" t="n">
        <v>0.6832462128100978</v>
      </c>
      <c r="N250" s="36" t="n">
        <v>0.7453472252108478</v>
      </c>
      <c r="O250" s="36" t="n">
        <v>0.3328631875881523</v>
      </c>
      <c r="P250" s="36" t="n">
        <v>0.9110212335692618</v>
      </c>
      <c r="Q250" s="36" t="n">
        <v>2.225255972696246</v>
      </c>
      <c r="R250" s="36" t="n">
        <v>0.2160597091751384</v>
      </c>
      <c r="S250" s="36" t="n">
        <v>0.369796825550214</v>
      </c>
      <c r="T250" s="36" t="n">
        <v>0.8259252401156096</v>
      </c>
      <c r="U250" s="31" t="n">
        <v>189000</v>
      </c>
      <c r="V250" s="31" t="n">
        <v>25000</v>
      </c>
      <c r="W250" s="36" t="n">
        <v>0</v>
      </c>
      <c r="X250" s="36" t="n">
        <v>6.56</v>
      </c>
      <c r="Y250" s="31" t="n">
        <v>95312200</v>
      </c>
      <c r="Z250" s="31" t="n">
        <v>18014005800000</v>
      </c>
      <c r="AA250" s="31" t="n">
        <v>1068445728000</v>
      </c>
      <c r="AB250" s="31" t="n">
        <v>458192790035</v>
      </c>
      <c r="AC250" s="36" t="n">
        <v>0.05931194537530347</v>
      </c>
      <c r="AD250" s="29" t="inlineStr">
        <is>
          <t>yfinance_download</t>
        </is>
      </c>
      <c r="AE250" s="29" t="inlineStr">
        <is>
          <t>042700.KS</t>
        </is>
      </c>
    </row>
    <row r="251" ht="24" customHeight="1">
      <c r="A251" s="24" t="inlineStr">
        <is>
          <t>2024-06-14</t>
        </is>
      </c>
      <c r="B251" s="30" t="n">
        <v>190200</v>
      </c>
      <c r="C251" s="30" t="n">
        <v>196200</v>
      </c>
      <c r="D251" s="30" t="n">
        <v>179900</v>
      </c>
      <c r="E251" s="30" t="n">
        <v>179900</v>
      </c>
      <c r="F251" s="30" t="n">
        <v>177925.328125</v>
      </c>
      <c r="G251" s="30" t="n">
        <v>3293200</v>
      </c>
      <c r="H251" s="35" t="n">
        <v>-0.04814814814814816</v>
      </c>
      <c r="I251" s="35" t="n">
        <v>-0.04814814814814816</v>
      </c>
      <c r="J251" s="30" t="n">
        <v>157210</v>
      </c>
      <c r="K251" s="30" t="n">
        <v>139371.6666666667</v>
      </c>
      <c r="L251" s="30" t="n">
        <v>104515</v>
      </c>
      <c r="M251" s="35" t="n">
        <v>0.7194010061546353</v>
      </c>
      <c r="N251" s="35" t="n">
        <v>0.7512312677392631</v>
      </c>
      <c r="O251" s="35" t="n">
        <v>0.2484385843164469</v>
      </c>
      <c r="P251" s="35" t="n">
        <v>0.87006237006237</v>
      </c>
      <c r="Q251" s="35" t="n">
        <v>2.038851351351351</v>
      </c>
      <c r="R251" s="35" t="n">
        <v>0.1443292411424211</v>
      </c>
      <c r="S251" s="35" t="n">
        <v>0.2907932028269735</v>
      </c>
      <c r="T251" s="35" t="n">
        <v>0.7212840262163325</v>
      </c>
      <c r="U251" s="30" t="n">
        <v>189000</v>
      </c>
      <c r="V251" s="30" t="n">
        <v>25000</v>
      </c>
      <c r="W251" s="35" t="n">
        <v>-0.04814814814814816</v>
      </c>
      <c r="X251" s="35" t="n">
        <v>6.196</v>
      </c>
      <c r="Y251" s="30" t="n">
        <v>95312200</v>
      </c>
      <c r="Z251" s="30" t="n">
        <v>17146664780000</v>
      </c>
      <c r="AA251" s="30" t="n">
        <v>592446680000</v>
      </c>
      <c r="AB251" s="30" t="n">
        <v>467958972610</v>
      </c>
      <c r="AC251" s="35" t="n">
        <v>0.03455171531031704</v>
      </c>
      <c r="AD251" s="24" t="inlineStr">
        <is>
          <t>yfinance_download</t>
        </is>
      </c>
      <c r="AE251" s="24" t="inlineStr">
        <is>
          <t>042700.KS</t>
        </is>
      </c>
    </row>
    <row r="252" ht="24" customHeight="1">
      <c r="A252" s="29" t="inlineStr">
        <is>
          <t>2024-06-17</t>
        </is>
      </c>
      <c r="B252" s="31" t="n">
        <v>179200</v>
      </c>
      <c r="C252" s="31" t="n">
        <v>184300</v>
      </c>
      <c r="D252" s="31" t="n">
        <v>176900</v>
      </c>
      <c r="E252" s="31" t="n">
        <v>180100</v>
      </c>
      <c r="F252" s="31" t="n">
        <v>178123.140625</v>
      </c>
      <c r="G252" s="31" t="n">
        <v>1233384</v>
      </c>
      <c r="H252" s="36" t="n">
        <v>0.001111728738187878</v>
      </c>
      <c r="I252" s="36" t="n">
        <v>-0.04708994708994707</v>
      </c>
      <c r="J252" s="31" t="n">
        <v>159220</v>
      </c>
      <c r="K252" s="31" t="n">
        <v>140735</v>
      </c>
      <c r="L252" s="31" t="n">
        <v>105530</v>
      </c>
      <c r="M252" s="36" t="n">
        <v>0.7042342616905136</v>
      </c>
      <c r="N252" s="36" t="n">
        <v>0.7512201097518387</v>
      </c>
      <c r="O252" s="36" t="n">
        <v>0.2873481057898499</v>
      </c>
      <c r="P252" s="36" t="n">
        <v>0.832146490335707</v>
      </c>
      <c r="Q252" s="36" t="n">
        <v>2.089193825042881</v>
      </c>
      <c r="R252" s="36" t="n">
        <v>0.1311393041075242</v>
      </c>
      <c r="S252" s="36" t="n">
        <v>0.2797100934380219</v>
      </c>
      <c r="T252" s="36" t="n">
        <v>0.7066237088979437</v>
      </c>
      <c r="U252" s="31" t="n">
        <v>189000</v>
      </c>
      <c r="V252" s="31" t="n">
        <v>25000</v>
      </c>
      <c r="W252" s="36" t="n">
        <v>-0.04708994708994707</v>
      </c>
      <c r="X252" s="36" t="n">
        <v>6.204</v>
      </c>
      <c r="Y252" s="31" t="n">
        <v>95312200</v>
      </c>
      <c r="Z252" s="31" t="n">
        <v>17165727220000</v>
      </c>
      <c r="AA252" s="31" t="n">
        <v>222132458400</v>
      </c>
      <c r="AB252" s="31" t="n">
        <v>472579894485</v>
      </c>
      <c r="AC252" s="36" t="n">
        <v>0.01294046302571969</v>
      </c>
      <c r="AD252" s="29" t="inlineStr">
        <is>
          <t>yfinance_download</t>
        </is>
      </c>
      <c r="AE252" s="29" t="inlineStr">
        <is>
          <t>042700.KS</t>
        </is>
      </c>
    </row>
    <row r="253" ht="24" customHeight="1">
      <c r="A253" s="24" t="inlineStr">
        <is>
          <t>2024-06-18</t>
        </is>
      </c>
      <c r="B253" s="30" t="n">
        <v>182200</v>
      </c>
      <c r="C253" s="30" t="n">
        <v>183800</v>
      </c>
      <c r="D253" s="30" t="n">
        <v>178100</v>
      </c>
      <c r="E253" s="30" t="n">
        <v>179500</v>
      </c>
      <c r="F253" s="30" t="n">
        <v>177529.71875</v>
      </c>
      <c r="G253" s="30" t="n">
        <v>980995</v>
      </c>
      <c r="H253" s="35" t="n">
        <v>-0.003331482509716821</v>
      </c>
      <c r="I253" s="35" t="n">
        <v>-0.05026455026455023</v>
      </c>
      <c r="J253" s="30" t="n">
        <v>161130</v>
      </c>
      <c r="K253" s="30" t="n">
        <v>142170</v>
      </c>
      <c r="L253" s="30" t="n">
        <v>106540</v>
      </c>
      <c r="M253" s="35" t="n">
        <v>0.7067341636725147</v>
      </c>
      <c r="N253" s="35" t="n">
        <v>0.7410536125352779</v>
      </c>
      <c r="O253" s="35" t="n">
        <v>0.27034677990092</v>
      </c>
      <c r="P253" s="35" t="n">
        <v>0.9218415417558887</v>
      </c>
      <c r="Q253" s="35" t="n">
        <v>2.078902229845626</v>
      </c>
      <c r="R253" s="35" t="n">
        <v>0.1140073232793397</v>
      </c>
      <c r="S253" s="35" t="n">
        <v>0.2625729760146305</v>
      </c>
      <c r="T253" s="35" t="n">
        <v>0.6848132156936362</v>
      </c>
      <c r="U253" s="30" t="n">
        <v>189000</v>
      </c>
      <c r="V253" s="30" t="n">
        <v>25650</v>
      </c>
      <c r="W253" s="35" t="n">
        <v>-0.05026455026455023</v>
      </c>
      <c r="X253" s="35" t="n">
        <v>5.998050682261209</v>
      </c>
      <c r="Y253" s="30" t="n">
        <v>95312200</v>
      </c>
      <c r="Z253" s="30" t="n">
        <v>17108539900000</v>
      </c>
      <c r="AA253" s="30" t="n">
        <v>176088602500</v>
      </c>
      <c r="AB253" s="30" t="n">
        <v>476126318465</v>
      </c>
      <c r="AC253" s="35" t="n">
        <v>0.01029243895325048</v>
      </c>
      <c r="AD253" s="24" t="inlineStr">
        <is>
          <t>yfinance_download</t>
        </is>
      </c>
      <c r="AE253" s="24" t="inlineStr">
        <is>
          <t>042700.KS</t>
        </is>
      </c>
    </row>
    <row r="254" ht="24" customHeight="1">
      <c r="A254" s="29" t="inlineStr">
        <is>
          <t>2024-06-19</t>
        </is>
      </c>
      <c r="B254" s="31" t="n">
        <v>181200</v>
      </c>
      <c r="C254" s="31" t="n">
        <v>184300</v>
      </c>
      <c r="D254" s="31" t="n">
        <v>172900</v>
      </c>
      <c r="E254" s="31" t="n">
        <v>177000</v>
      </c>
      <c r="F254" s="31" t="n">
        <v>175057.171875</v>
      </c>
      <c r="G254" s="31" t="n">
        <v>1468010</v>
      </c>
      <c r="H254" s="36" t="n">
        <v>-0.01392757660167132</v>
      </c>
      <c r="I254" s="36" t="n">
        <v>-0.06349206349206349</v>
      </c>
      <c r="J254" s="31" t="n">
        <v>162970</v>
      </c>
      <c r="K254" s="31" t="n">
        <v>143568.3333333333</v>
      </c>
      <c r="L254" s="31" t="n">
        <v>107524.1666666667</v>
      </c>
      <c r="M254" s="36" t="n">
        <v>0.7094582716397961</v>
      </c>
      <c r="N254" s="36" t="n">
        <v>0.7423161070943495</v>
      </c>
      <c r="O254" s="36" t="n">
        <v>0.2624821683309557</v>
      </c>
      <c r="P254" s="36" t="n">
        <v>0.9011815252416757</v>
      </c>
      <c r="Q254" s="36" t="n">
        <v>2.00509337860781</v>
      </c>
      <c r="R254" s="36" t="n">
        <v>0.08608946431858633</v>
      </c>
      <c r="S254" s="36" t="n">
        <v>0.2328624000185742</v>
      </c>
      <c r="T254" s="36" t="n">
        <v>0.6461415650745181</v>
      </c>
      <c r="U254" s="31" t="n">
        <v>189000</v>
      </c>
      <c r="V254" s="31" t="n">
        <v>26350</v>
      </c>
      <c r="W254" s="36" t="n">
        <v>-0.06349206349206349</v>
      </c>
      <c r="X254" s="36" t="n">
        <v>5.717267552182163</v>
      </c>
      <c r="Y254" s="31" t="n">
        <v>95312200</v>
      </c>
      <c r="Z254" s="31" t="n">
        <v>16870259400000</v>
      </c>
      <c r="AA254" s="31" t="n">
        <v>259837770000</v>
      </c>
      <c r="AB254" s="31" t="n">
        <v>483620081705</v>
      </c>
      <c r="AC254" s="36" t="n">
        <v>0.0154021206099534</v>
      </c>
      <c r="AD254" s="29" t="inlineStr">
        <is>
          <t>yfinance_download</t>
        </is>
      </c>
      <c r="AE254" s="29" t="inlineStr">
        <is>
          <t>042700.KS</t>
        </is>
      </c>
    </row>
    <row r="255" ht="24" customHeight="1">
      <c r="A255" s="24" t="inlineStr">
        <is>
          <t>2024-06-20</t>
        </is>
      </c>
      <c r="B255" s="30" t="n">
        <v>177400</v>
      </c>
      <c r="C255" s="30" t="n">
        <v>182100</v>
      </c>
      <c r="D255" s="30" t="n">
        <v>176000</v>
      </c>
      <c r="E255" s="30" t="n">
        <v>179300</v>
      </c>
      <c r="F255" s="30" t="n">
        <v>177331.90625</v>
      </c>
      <c r="G255" s="30" t="n">
        <v>1042435</v>
      </c>
      <c r="H255" s="35" t="n">
        <v>0.01299435028248586</v>
      </c>
      <c r="I255" s="35" t="n">
        <v>-0.05132275132275133</v>
      </c>
      <c r="J255" s="30" t="n">
        <v>164570</v>
      </c>
      <c r="K255" s="30" t="n">
        <v>144993.3333333333</v>
      </c>
      <c r="L255" s="30" t="n">
        <v>108529.1666666667</v>
      </c>
      <c r="M255" s="35" t="n">
        <v>0.6951726656666117</v>
      </c>
      <c r="N255" s="35" t="n">
        <v>0.7422660436380806</v>
      </c>
      <c r="O255" s="35" t="n">
        <v>0.2172437202987101</v>
      </c>
      <c r="P255" s="35" t="n">
        <v>0.9115138592750534</v>
      </c>
      <c r="Q255" s="35" t="n">
        <v>2.054514480408859</v>
      </c>
      <c r="R255" s="35" t="n">
        <v>0.0895059852950113</v>
      </c>
      <c r="S255" s="35" t="n">
        <v>0.2366085797048139</v>
      </c>
      <c r="T255" s="35" t="n">
        <v>0.6520904518754558</v>
      </c>
      <c r="U255" s="30" t="n">
        <v>189000</v>
      </c>
      <c r="V255" s="30" t="n">
        <v>26350</v>
      </c>
      <c r="W255" s="35" t="n">
        <v>-0.05132275132275133</v>
      </c>
      <c r="X255" s="35" t="n">
        <v>5.804554079696395</v>
      </c>
      <c r="Y255" s="30" t="n">
        <v>95312200</v>
      </c>
      <c r="Z255" s="30" t="n">
        <v>17089477460000</v>
      </c>
      <c r="AA255" s="30" t="n">
        <v>186908595500</v>
      </c>
      <c r="AB255" s="30" t="n">
        <v>472867928940</v>
      </c>
      <c r="AC255" s="35" t="n">
        <v>0.010937057375656</v>
      </c>
      <c r="AD255" s="24" t="inlineStr">
        <is>
          <t>yfinance_download</t>
        </is>
      </c>
      <c r="AE255" s="24" t="inlineStr">
        <is>
          <t>042700.KS</t>
        </is>
      </c>
    </row>
    <row r="256" ht="24" customHeight="1">
      <c r="A256" s="29" t="inlineStr">
        <is>
          <t>2024-06-21</t>
        </is>
      </c>
      <c r="B256" s="31" t="n">
        <v>175500</v>
      </c>
      <c r="C256" s="31" t="n">
        <v>180500</v>
      </c>
      <c r="D256" s="31" t="n">
        <v>173600</v>
      </c>
      <c r="E256" s="31" t="n">
        <v>180300</v>
      </c>
      <c r="F256" s="31" t="n">
        <v>178320.9375</v>
      </c>
      <c r="G256" s="31" t="n">
        <v>877003</v>
      </c>
      <c r="H256" s="36" t="n">
        <v>0.00557724484104849</v>
      </c>
      <c r="I256" s="36" t="n">
        <v>-0.04603174603174598</v>
      </c>
      <c r="J256" s="31" t="n">
        <v>166265</v>
      </c>
      <c r="K256" s="31" t="n">
        <v>146435</v>
      </c>
      <c r="L256" s="31" t="n">
        <v>109538.3333333333</v>
      </c>
      <c r="M256" s="36" t="n">
        <v>0.6926389189960382</v>
      </c>
      <c r="N256" s="36" t="n">
        <v>0.7419723665867241</v>
      </c>
      <c r="O256" s="36" t="n">
        <v>0.2315573770491803</v>
      </c>
      <c r="P256" s="36" t="n">
        <v>0.9221748400852878</v>
      </c>
      <c r="Q256" s="36" t="n">
        <v>2.045608108108108</v>
      </c>
      <c r="R256" s="36" t="n">
        <v>0.08441343638167975</v>
      </c>
      <c r="S256" s="36" t="n">
        <v>0.2312630177211732</v>
      </c>
      <c r="T256" s="36" t="n">
        <v>0.6459991175083304</v>
      </c>
      <c r="U256" s="31" t="n">
        <v>189000</v>
      </c>
      <c r="V256" s="31" t="n">
        <v>26350</v>
      </c>
      <c r="W256" s="36" t="n">
        <v>-0.04603174603174598</v>
      </c>
      <c r="X256" s="36" t="n">
        <v>5.842504743833017</v>
      </c>
      <c r="Y256" s="31" t="n">
        <v>95312200</v>
      </c>
      <c r="Z256" s="31" t="n">
        <v>17184789660000</v>
      </c>
      <c r="AA256" s="31" t="n">
        <v>158123640900</v>
      </c>
      <c r="AB256" s="31" t="n">
        <v>457513881345</v>
      </c>
      <c r="AC256" s="36" t="n">
        <v>0.009201371912514873</v>
      </c>
      <c r="AD256" s="29" t="inlineStr">
        <is>
          <t>yfinance_download</t>
        </is>
      </c>
      <c r="AE256" s="29" t="inlineStr">
        <is>
          <t>042700.KS</t>
        </is>
      </c>
    </row>
    <row r="257" ht="24" customHeight="1">
      <c r="A257" s="24" t="inlineStr">
        <is>
          <t>2024-06-24</t>
        </is>
      </c>
      <c r="B257" s="30" t="n">
        <v>178200</v>
      </c>
      <c r="C257" s="30" t="n">
        <v>178700</v>
      </c>
      <c r="D257" s="30" t="n">
        <v>172000</v>
      </c>
      <c r="E257" s="30" t="n">
        <v>175400</v>
      </c>
      <c r="F257" s="30" t="n">
        <v>173474.71875</v>
      </c>
      <c r="G257" s="30" t="n">
        <v>834045</v>
      </c>
      <c r="H257" s="35" t="n">
        <v>-0.02717692734331667</v>
      </c>
      <c r="I257" s="35" t="n">
        <v>-0.071957671957672</v>
      </c>
      <c r="J257" s="30" t="n">
        <v>167650</v>
      </c>
      <c r="K257" s="30" t="n">
        <v>147735</v>
      </c>
      <c r="L257" s="30" t="n">
        <v>110511.6666666667</v>
      </c>
      <c r="M257" s="35" t="n">
        <v>0.7060522884135817</v>
      </c>
      <c r="N257" s="35" t="n">
        <v>0.7441716843249241</v>
      </c>
      <c r="O257" s="35" t="n">
        <v>0.1875423155044007</v>
      </c>
      <c r="P257" s="35" t="n">
        <v>0.8008213552361396</v>
      </c>
      <c r="Q257" s="35" t="n">
        <v>1.993174061433447</v>
      </c>
      <c r="R257" s="35" t="n">
        <v>0.04622725917089165</v>
      </c>
      <c r="S257" s="35" t="n">
        <v>0.1872609740413578</v>
      </c>
      <c r="T257" s="35" t="n">
        <v>0.5871627429984767</v>
      </c>
      <c r="U257" s="30" t="n">
        <v>189000</v>
      </c>
      <c r="V257" s="30" t="n">
        <v>26350</v>
      </c>
      <c r="W257" s="35" t="n">
        <v>-0.071957671957672</v>
      </c>
      <c r="X257" s="35" t="n">
        <v>5.656546489563567</v>
      </c>
      <c r="Y257" s="30" t="n">
        <v>95312200</v>
      </c>
      <c r="Z257" s="30" t="n">
        <v>16717759880000</v>
      </c>
      <c r="AA257" s="30" t="n">
        <v>146291493000</v>
      </c>
      <c r="AB257" s="30" t="n">
        <v>444853397220</v>
      </c>
      <c r="AC257" s="35" t="n">
        <v>0.008750663608646113</v>
      </c>
      <c r="AD257" s="24" t="inlineStr">
        <is>
          <t>yfinance_download</t>
        </is>
      </c>
      <c r="AE257" s="24" t="inlineStr">
        <is>
          <t>042700.KS</t>
        </is>
      </c>
    </row>
    <row r="258" ht="24" customHeight="1">
      <c r="A258" s="29" t="inlineStr">
        <is>
          <t>2024-06-25</t>
        </is>
      </c>
      <c r="B258" s="31" t="n">
        <v>167300</v>
      </c>
      <c r="C258" s="31" t="n">
        <v>174600</v>
      </c>
      <c r="D258" s="31" t="n">
        <v>165000</v>
      </c>
      <c r="E258" s="31" t="n">
        <v>172900</v>
      </c>
      <c r="F258" s="31" t="n">
        <v>171002.171875</v>
      </c>
      <c r="G258" s="31" t="n">
        <v>1229293</v>
      </c>
      <c r="H258" s="36" t="n">
        <v>-0.01425313568985176</v>
      </c>
      <c r="I258" s="36" t="n">
        <v>-0.08518518518518514</v>
      </c>
      <c r="J258" s="31" t="n">
        <v>168685</v>
      </c>
      <c r="K258" s="31" t="n">
        <v>148741.6666666667</v>
      </c>
      <c r="L258" s="31" t="n">
        <v>111472.5</v>
      </c>
      <c r="M258" s="36" t="n">
        <v>0.7063381626188951</v>
      </c>
      <c r="N258" s="36" t="n">
        <v>0.6824318689933735</v>
      </c>
      <c r="O258" s="36" t="n">
        <v>0.1360052562417871</v>
      </c>
      <c r="P258" s="36" t="n">
        <v>0.536888888888889</v>
      </c>
      <c r="Q258" s="36" t="n">
        <v>2.001736111111111</v>
      </c>
      <c r="R258" s="36" t="n">
        <v>0.02498740255505827</v>
      </c>
      <c r="S258" s="36" t="n">
        <v>0.1624180626365623</v>
      </c>
      <c r="T258" s="36" t="n">
        <v>0.5510551929848169</v>
      </c>
      <c r="U258" s="31" t="n">
        <v>189000</v>
      </c>
      <c r="V258" s="31" t="n">
        <v>28900</v>
      </c>
      <c r="W258" s="36" t="n">
        <v>-0.08518518518518514</v>
      </c>
      <c r="X258" s="36" t="n">
        <v>4.982698961937716</v>
      </c>
      <c r="Y258" s="31" t="n">
        <v>95312200</v>
      </c>
      <c r="Z258" s="31" t="n">
        <v>16479479380000</v>
      </c>
      <c r="AA258" s="31" t="n">
        <v>212544759700</v>
      </c>
      <c r="AB258" s="31" t="n">
        <v>414405020965</v>
      </c>
      <c r="AC258" s="36" t="n">
        <v>0.0128975409234075</v>
      </c>
      <c r="AD258" s="29" t="inlineStr">
        <is>
          <t>yfinance_download</t>
        </is>
      </c>
      <c r="AE258" s="29" t="inlineStr">
        <is>
          <t>042700.KS</t>
        </is>
      </c>
    </row>
    <row r="259" ht="24" customHeight="1">
      <c r="A259" s="24" t="inlineStr">
        <is>
          <t>2024-06-26</t>
        </is>
      </c>
      <c r="B259" s="30" t="n">
        <v>175500</v>
      </c>
      <c r="C259" s="30" t="n">
        <v>182200</v>
      </c>
      <c r="D259" s="30" t="n">
        <v>175500</v>
      </c>
      <c r="E259" s="30" t="n">
        <v>179800</v>
      </c>
      <c r="F259" s="30" t="n">
        <v>177826.421875</v>
      </c>
      <c r="G259" s="30" t="n">
        <v>1366218</v>
      </c>
      <c r="H259" s="35" t="n">
        <v>0.03990746096009246</v>
      </c>
      <c r="I259" s="35" t="n">
        <v>-0.04867724867724865</v>
      </c>
      <c r="J259" s="30" t="n">
        <v>169525</v>
      </c>
      <c r="K259" s="30" t="n">
        <v>149831.6666666667</v>
      </c>
      <c r="L259" s="30" t="n">
        <v>112458.3333333333</v>
      </c>
      <c r="M259" s="35" t="n">
        <v>0.6772380689820953</v>
      </c>
      <c r="N259" s="35" t="n">
        <v>0.6853267149184419</v>
      </c>
      <c r="O259" s="35" t="n">
        <v>0.1030674846625768</v>
      </c>
      <c r="P259" s="35" t="n">
        <v>0.5716783216783217</v>
      </c>
      <c r="Q259" s="35" t="n">
        <v>1.923577235772358</v>
      </c>
      <c r="R259" s="35" t="n">
        <v>0.06061052942043954</v>
      </c>
      <c r="S259" s="35" t="n">
        <v>0.200013348313107</v>
      </c>
      <c r="T259" s="35" t="n">
        <v>0.5988143756947018</v>
      </c>
      <c r="U259" s="30" t="n">
        <v>189000</v>
      </c>
      <c r="V259" s="30" t="n">
        <v>28900</v>
      </c>
      <c r="W259" s="35" t="n">
        <v>-0.04867724867724865</v>
      </c>
      <c r="X259" s="35" t="n">
        <v>5.221453287197232</v>
      </c>
      <c r="Y259" s="30" t="n">
        <v>95312200</v>
      </c>
      <c r="Z259" s="30" t="n">
        <v>17137133560000</v>
      </c>
      <c r="AA259" s="30" t="n">
        <v>245645996400</v>
      </c>
      <c r="AB259" s="30" t="n">
        <v>396596037485</v>
      </c>
      <c r="AC259" s="35" t="n">
        <v>0.01433413560908257</v>
      </c>
      <c r="AD259" s="24" t="inlineStr">
        <is>
          <t>yfinance_download</t>
        </is>
      </c>
      <c r="AE259" s="24" t="inlineStr">
        <is>
          <t>042700.KS</t>
        </is>
      </c>
    </row>
    <row r="260" ht="24" customHeight="1">
      <c r="A260" s="29" t="inlineStr">
        <is>
          <t>2024-06-27</t>
        </is>
      </c>
      <c r="B260" s="31" t="n">
        <v>176500</v>
      </c>
      <c r="C260" s="31" t="n">
        <v>177600</v>
      </c>
      <c r="D260" s="31" t="n">
        <v>173500</v>
      </c>
      <c r="E260" s="31" t="n">
        <v>173700</v>
      </c>
      <c r="F260" s="31" t="n">
        <v>171793.390625</v>
      </c>
      <c r="G260" s="31" t="n">
        <v>950933</v>
      </c>
      <c r="H260" s="36" t="n">
        <v>-0.03392658509454949</v>
      </c>
      <c r="I260" s="36" t="n">
        <v>-0.080952380952381</v>
      </c>
      <c r="J260" s="31" t="n">
        <v>169750</v>
      </c>
      <c r="K260" s="31" t="n">
        <v>150493.3333333333</v>
      </c>
      <c r="L260" s="31" t="n">
        <v>113391.6666666667</v>
      </c>
      <c r="M260" s="36" t="n">
        <v>0.679942257026232</v>
      </c>
      <c r="N260" s="36" t="n">
        <v>0.6008644369875914</v>
      </c>
      <c r="O260" s="36" t="n">
        <v>0.02659574468085113</v>
      </c>
      <c r="P260" s="36" t="n">
        <v>0.2962686567164179</v>
      </c>
      <c r="Q260" s="36" t="n">
        <v>1.815235008103728</v>
      </c>
      <c r="R260" s="36" t="n">
        <v>0.02326951399116339</v>
      </c>
      <c r="S260" s="36" t="n">
        <v>0.1542039514485691</v>
      </c>
      <c r="T260" s="36" t="n">
        <v>0.5318586021900491</v>
      </c>
      <c r="U260" s="31" t="n">
        <v>189000</v>
      </c>
      <c r="V260" s="31" t="n">
        <v>28900</v>
      </c>
      <c r="W260" s="36" t="n">
        <v>-0.080952380952381</v>
      </c>
      <c r="X260" s="36" t="n">
        <v>5.010380622837371</v>
      </c>
      <c r="Y260" s="31" t="n">
        <v>95312200</v>
      </c>
      <c r="Z260" s="31" t="n">
        <v>16555729140000</v>
      </c>
      <c r="AA260" s="31" t="n">
        <v>165177062100</v>
      </c>
      <c r="AB260" s="31" t="n">
        <v>376232460230</v>
      </c>
      <c r="AC260" s="36" t="n">
        <v>0.009977033370334542</v>
      </c>
      <c r="AD260" s="29" t="inlineStr">
        <is>
          <t>yfinance_download</t>
        </is>
      </c>
      <c r="AE260" s="29" t="inlineStr">
        <is>
          <t>042700.KS</t>
        </is>
      </c>
    </row>
    <row r="261" ht="24" customHeight="1">
      <c r="A261" s="24" t="inlineStr">
        <is>
          <t>2024-06-28</t>
        </is>
      </c>
      <c r="B261" s="30" t="n">
        <v>173700</v>
      </c>
      <c r="C261" s="30" t="n">
        <v>174900</v>
      </c>
      <c r="D261" s="30" t="n">
        <v>170500</v>
      </c>
      <c r="E261" s="30" t="n">
        <v>172300</v>
      </c>
      <c r="F261" s="30" t="n">
        <v>170408.75</v>
      </c>
      <c r="G261" s="30" t="n">
        <v>716988</v>
      </c>
      <c r="H261" s="35" t="n">
        <v>-0.008059873344847479</v>
      </c>
      <c r="I261" s="35" t="n">
        <v>-0.0883597883597883</v>
      </c>
      <c r="J261" s="30" t="n">
        <v>170100</v>
      </c>
      <c r="K261" s="30" t="n">
        <v>151136.6666666667</v>
      </c>
      <c r="L261" s="30" t="n">
        <v>114320.8333333333</v>
      </c>
      <c r="M261" s="35" t="n">
        <v>0.674626756906516</v>
      </c>
      <c r="N261" s="35" t="n">
        <v>0.601283607328045</v>
      </c>
      <c r="O261" s="35" t="n">
        <v>0.04234724742891705</v>
      </c>
      <c r="P261" s="35" t="n">
        <v>0.2887060583395662</v>
      </c>
      <c r="Q261" s="35" t="n">
        <v>1.833881578947369</v>
      </c>
      <c r="R261" s="35" t="n">
        <v>0.01293356848912408</v>
      </c>
      <c r="S261" s="35" t="n">
        <v>0.1400277894179662</v>
      </c>
      <c r="T261" s="35" t="n">
        <v>0.5071618617195759</v>
      </c>
      <c r="U261" s="30" t="n">
        <v>189000</v>
      </c>
      <c r="V261" s="30" t="n">
        <v>28900</v>
      </c>
      <c r="W261" s="35" t="n">
        <v>-0.0883597883597883</v>
      </c>
      <c r="X261" s="35" t="n">
        <v>4.961937716262976</v>
      </c>
      <c r="Y261" s="30" t="n">
        <v>95312200</v>
      </c>
      <c r="Z261" s="30" t="n">
        <v>16422292060000</v>
      </c>
      <c r="AA261" s="30" t="n">
        <v>123537032400</v>
      </c>
      <c r="AB261" s="30" t="n">
        <v>366126451880</v>
      </c>
      <c r="AC261" s="35" t="n">
        <v>0.007522520726622615</v>
      </c>
      <c r="AD261" s="24" t="inlineStr">
        <is>
          <t>yfinance_download</t>
        </is>
      </c>
      <c r="AE261" s="24" t="inlineStr">
        <is>
          <t>042700.KS</t>
        </is>
      </c>
    </row>
    <row r="262" ht="24" customHeight="1">
      <c r="A262" s="29" t="inlineStr">
        <is>
          <t>2024-07-01</t>
        </is>
      </c>
      <c r="B262" s="31" t="n">
        <v>171500</v>
      </c>
      <c r="C262" s="31" t="n">
        <v>174200</v>
      </c>
      <c r="D262" s="31" t="n">
        <v>170300</v>
      </c>
      <c r="E262" s="31" t="n">
        <v>170800</v>
      </c>
      <c r="F262" s="31" t="n">
        <v>168925.21875</v>
      </c>
      <c r="G262" s="31" t="n">
        <v>586211</v>
      </c>
      <c r="H262" s="36" t="n">
        <v>-0.00870574579222283</v>
      </c>
      <c r="I262" s="36" t="n">
        <v>-0.09629629629629632</v>
      </c>
      <c r="J262" s="31" t="n">
        <v>170555</v>
      </c>
      <c r="K262" s="31" t="n">
        <v>151611.6666666667</v>
      </c>
      <c r="L262" s="31" t="n">
        <v>115248.3333333333</v>
      </c>
      <c r="M262" s="36" t="n">
        <v>0.6698559152687402</v>
      </c>
      <c r="N262" s="36" t="n">
        <v>0.5889765130041829</v>
      </c>
      <c r="O262" s="36" t="n">
        <v>0.05627705627705626</v>
      </c>
      <c r="P262" s="36" t="n">
        <v>0.2002810962754744</v>
      </c>
      <c r="Q262" s="36" t="n">
        <v>1.870588235294118</v>
      </c>
      <c r="R262" s="36" t="n">
        <v>0.001436486763800593</v>
      </c>
      <c r="S262" s="36" t="n">
        <v>0.1265623797640902</v>
      </c>
      <c r="T262" s="36" t="n">
        <v>0.4820170935226831</v>
      </c>
      <c r="U262" s="31" t="n">
        <v>189000</v>
      </c>
      <c r="V262" s="31" t="n">
        <v>28900</v>
      </c>
      <c r="W262" s="36" t="n">
        <v>-0.09629629629629632</v>
      </c>
      <c r="X262" s="36" t="n">
        <v>4.910034602076125</v>
      </c>
      <c r="Y262" s="31" t="n">
        <v>95312200</v>
      </c>
      <c r="Z262" s="31" t="n">
        <v>16279323760000</v>
      </c>
      <c r="AA262" s="31" t="n">
        <v>100124838800</v>
      </c>
      <c r="AB262" s="31" t="n">
        <v>359295881910</v>
      </c>
      <c r="AC262" s="36" t="n">
        <v>0.0061504298505333</v>
      </c>
      <c r="AD262" s="29" t="inlineStr">
        <is>
          <t>yfinance_download</t>
        </is>
      </c>
      <c r="AE262" s="29" t="inlineStr">
        <is>
          <t>042700.KS</t>
        </is>
      </c>
    </row>
    <row r="263" ht="24" customHeight="1">
      <c r="A263" s="24" t="inlineStr">
        <is>
          <t>2024-07-02</t>
        </is>
      </c>
      <c r="B263" s="30" t="n">
        <v>170900</v>
      </c>
      <c r="C263" s="30" t="n">
        <v>174000</v>
      </c>
      <c r="D263" s="30" t="n">
        <v>166000</v>
      </c>
      <c r="E263" s="30" t="n">
        <v>168600</v>
      </c>
      <c r="F263" s="30" t="n">
        <v>166749.359375</v>
      </c>
      <c r="G263" s="30" t="n">
        <v>858735</v>
      </c>
      <c r="H263" s="35" t="n">
        <v>-0.01288056206088994</v>
      </c>
      <c r="I263" s="35" t="n">
        <v>-0.1079365079365079</v>
      </c>
      <c r="J263" s="30" t="n">
        <v>171650</v>
      </c>
      <c r="K263" s="30" t="n">
        <v>151996.6666666667</v>
      </c>
      <c r="L263" s="30" t="n">
        <v>116161.6666666667</v>
      </c>
      <c r="M263" s="35" t="n">
        <v>0.5700466717686542</v>
      </c>
      <c r="N263" s="35" t="n">
        <v>0.5886225534522321</v>
      </c>
      <c r="O263" s="35" t="n">
        <v>0.1492842535787322</v>
      </c>
      <c r="P263" s="35" t="n">
        <v>0.1587628865979382</v>
      </c>
      <c r="Q263" s="35" t="n">
        <v>1.857627118644068</v>
      </c>
      <c r="R263" s="35" t="n">
        <v>-0.01776871540926306</v>
      </c>
      <c r="S263" s="35" t="n">
        <v>0.1092348516414834</v>
      </c>
      <c r="T263" s="35" t="n">
        <v>0.4514254559019757</v>
      </c>
      <c r="U263" s="30" t="n">
        <v>189000</v>
      </c>
      <c r="V263" s="30" t="n">
        <v>28900</v>
      </c>
      <c r="W263" s="35" t="n">
        <v>-0.1079365079365079</v>
      </c>
      <c r="X263" s="35" t="n">
        <v>4.833910034602076</v>
      </c>
      <c r="Y263" s="30" t="n">
        <v>95312200</v>
      </c>
      <c r="Z263" s="30" t="n">
        <v>16069636920000</v>
      </c>
      <c r="AA263" s="30" t="n">
        <v>144782721000</v>
      </c>
      <c r="AB263" s="30" t="n">
        <v>313425033585</v>
      </c>
      <c r="AC263" s="35" t="n">
        <v>0.00900970704694677</v>
      </c>
      <c r="AD263" s="24" t="inlineStr">
        <is>
          <t>yfinance_download</t>
        </is>
      </c>
      <c r="AE263" s="24" t="inlineStr">
        <is>
          <t>042700.KS</t>
        </is>
      </c>
    </row>
    <row r="264" ht="24" customHeight="1">
      <c r="A264" s="29" t="inlineStr">
        <is>
          <t>2024-07-03</t>
        </is>
      </c>
      <c r="B264" s="31" t="n">
        <v>167100</v>
      </c>
      <c r="C264" s="31" t="n">
        <v>169800</v>
      </c>
      <c r="D264" s="31" t="n">
        <v>161700</v>
      </c>
      <c r="E264" s="31" t="n">
        <v>166800</v>
      </c>
      <c r="F264" s="31" t="n">
        <v>164969.125</v>
      </c>
      <c r="G264" s="31" t="n">
        <v>1099850</v>
      </c>
      <c r="H264" s="36" t="n">
        <v>-0.01067615658362986</v>
      </c>
      <c r="I264" s="36" t="n">
        <v>-0.1174603174603175</v>
      </c>
      <c r="J264" s="31" t="n">
        <v>172560</v>
      </c>
      <c r="K264" s="31" t="n">
        <v>152361.6666666667</v>
      </c>
      <c r="L264" s="31" t="n">
        <v>117061.6666666667</v>
      </c>
      <c r="M264" s="36" t="n">
        <v>0.5732522860469488</v>
      </c>
      <c r="N264" s="36" t="n">
        <v>0.5891203669463395</v>
      </c>
      <c r="O264" s="36" t="n">
        <v>0.1224764468371466</v>
      </c>
      <c r="P264" s="36" t="n">
        <v>0.1511387163561078</v>
      </c>
      <c r="Q264" s="36" t="n">
        <v>1.836734693877551</v>
      </c>
      <c r="R264" s="36" t="n">
        <v>-0.0333796940194715</v>
      </c>
      <c r="S264" s="36" t="n">
        <v>0.09476355601255793</v>
      </c>
      <c r="T264" s="36" t="n">
        <v>0.4248900152341357</v>
      </c>
      <c r="U264" s="31" t="n">
        <v>189000</v>
      </c>
      <c r="V264" s="31" t="n">
        <v>28900</v>
      </c>
      <c r="W264" s="36" t="n">
        <v>-0.1174603174603175</v>
      </c>
      <c r="X264" s="36" t="n">
        <v>4.771626297577854</v>
      </c>
      <c r="Y264" s="31" t="n">
        <v>95312200</v>
      </c>
      <c r="Z264" s="31" t="n">
        <v>15898074960000</v>
      </c>
      <c r="AA264" s="31" t="n">
        <v>183454980000</v>
      </c>
      <c r="AB264" s="31" t="n">
        <v>304249501605</v>
      </c>
      <c r="AC264" s="36" t="n">
        <v>0.01153944615694528</v>
      </c>
      <c r="AD264" s="29" t="inlineStr">
        <is>
          <t>yfinance_download</t>
        </is>
      </c>
      <c r="AE264" s="29" t="inlineStr">
        <is>
          <t>042700.KS</t>
        </is>
      </c>
    </row>
    <row r="265" ht="24" customHeight="1">
      <c r="A265" s="24" t="inlineStr">
        <is>
          <t>2024-07-04</t>
        </is>
      </c>
      <c r="B265" s="30" t="n">
        <v>171600</v>
      </c>
      <c r="C265" s="30" t="n">
        <v>171600</v>
      </c>
      <c r="D265" s="30" t="n">
        <v>154500</v>
      </c>
      <c r="E265" s="30" t="n">
        <v>160200</v>
      </c>
      <c r="F265" s="30" t="n">
        <v>158441.5625</v>
      </c>
      <c r="G265" s="30" t="n">
        <v>2530573</v>
      </c>
      <c r="H265" s="35" t="n">
        <v>-0.03956834532374098</v>
      </c>
      <c r="I265" s="35" t="n">
        <v>-0.1523809523809524</v>
      </c>
      <c r="J265" s="30" t="n">
        <v>172780</v>
      </c>
      <c r="K265" s="30" t="n">
        <v>152743.3333333333</v>
      </c>
      <c r="L265" s="30" t="n">
        <v>117912.5</v>
      </c>
      <c r="M265" s="35" t="n">
        <v>0.5727472049111139</v>
      </c>
      <c r="N265" s="35" t="n">
        <v>0.5845133399295031</v>
      </c>
      <c r="O265" s="35" t="n">
        <v>0.02824133504492932</v>
      </c>
      <c r="P265" s="35" t="n">
        <v>0.166788055353241</v>
      </c>
      <c r="Q265" s="35" t="n">
        <v>1.757314974182444</v>
      </c>
      <c r="R265" s="35" t="n">
        <v>-0.07280935293436741</v>
      </c>
      <c r="S265" s="35" t="n">
        <v>0.04881827903018121</v>
      </c>
      <c r="T265" s="35" t="n">
        <v>0.3586345807272342</v>
      </c>
      <c r="U265" s="30" t="n">
        <v>189000</v>
      </c>
      <c r="V265" s="30" t="n">
        <v>28900</v>
      </c>
      <c r="W265" s="35" t="n">
        <v>-0.1523809523809524</v>
      </c>
      <c r="X265" s="35" t="n">
        <v>4.543252595155709</v>
      </c>
      <c r="Y265" s="30" t="n">
        <v>95312200</v>
      </c>
      <c r="Z265" s="30" t="n">
        <v>15269014440000</v>
      </c>
      <c r="AA265" s="30" t="n">
        <v>405397794600</v>
      </c>
      <c r="AB265" s="30" t="n">
        <v>297502409355</v>
      </c>
      <c r="AC265" s="35" t="n">
        <v>0.02655035766669954</v>
      </c>
      <c r="AD265" s="24" t="inlineStr">
        <is>
          <t>yfinance_download</t>
        </is>
      </c>
      <c r="AE265" s="24" t="inlineStr">
        <is>
          <t>042700.KS</t>
        </is>
      </c>
    </row>
    <row r="266" ht="24" customHeight="1">
      <c r="A266" s="29" t="inlineStr">
        <is>
          <t>2024-07-05</t>
        </is>
      </c>
      <c r="B266" s="31" t="n">
        <v>159000</v>
      </c>
      <c r="C266" s="31" t="n">
        <v>169200</v>
      </c>
      <c r="D266" s="31" t="n">
        <v>158000</v>
      </c>
      <c r="E266" s="31" t="n">
        <v>165400</v>
      </c>
      <c r="F266" s="31" t="n">
        <v>163584.5</v>
      </c>
      <c r="G266" s="31" t="n">
        <v>1985852</v>
      </c>
      <c r="H266" s="36" t="n">
        <v>0.03245942571785276</v>
      </c>
      <c r="I266" s="36" t="n">
        <v>-0.1248677248677249</v>
      </c>
      <c r="J266" s="31" t="n">
        <v>173210</v>
      </c>
      <c r="K266" s="31" t="n">
        <v>153238.3333333333</v>
      </c>
      <c r="L266" s="31" t="n">
        <v>118801.6666666667</v>
      </c>
      <c r="M266" s="36" t="n">
        <v>0.5827867885499123</v>
      </c>
      <c r="N266" s="36" t="n">
        <v>0.5867014170954569</v>
      </c>
      <c r="O266" s="36" t="n">
        <v>0.05484693877551017</v>
      </c>
      <c r="P266" s="36" t="n">
        <v>0.2188651436993367</v>
      </c>
      <c r="Q266" s="36" t="n">
        <v>1.817717206132879</v>
      </c>
      <c r="R266" s="36" t="n">
        <v>-0.04508977541712367</v>
      </c>
      <c r="S266" s="36" t="n">
        <v>0.07936438880610797</v>
      </c>
      <c r="T266" s="36" t="n">
        <v>0.392236360320422</v>
      </c>
      <c r="U266" s="31" t="n">
        <v>189000</v>
      </c>
      <c r="V266" s="31" t="n">
        <v>28900</v>
      </c>
      <c r="W266" s="36" t="n">
        <v>-0.1248677248677249</v>
      </c>
      <c r="X266" s="36" t="n">
        <v>4.72318339100346</v>
      </c>
      <c r="Y266" s="31" t="n">
        <v>95312200</v>
      </c>
      <c r="Z266" s="31" t="n">
        <v>15764637880000</v>
      </c>
      <c r="AA266" s="31" t="n">
        <v>328459920800</v>
      </c>
      <c r="AB266" s="31" t="n">
        <v>292305523475</v>
      </c>
      <c r="AC266" s="36" t="n">
        <v>0.02083523410434341</v>
      </c>
      <c r="AD266" s="29" t="inlineStr">
        <is>
          <t>yfinance_download</t>
        </is>
      </c>
      <c r="AE266" s="29" t="inlineStr">
        <is>
          <t>042700.KS</t>
        </is>
      </c>
    </row>
    <row r="267" ht="24" customHeight="1">
      <c r="A267" s="24" t="inlineStr">
        <is>
          <t>2024-07-08</t>
        </is>
      </c>
      <c r="B267" s="30" t="n">
        <v>166200</v>
      </c>
      <c r="C267" s="30" t="n">
        <v>168400</v>
      </c>
      <c r="D267" s="30" t="n">
        <v>162100</v>
      </c>
      <c r="E267" s="30" t="n">
        <v>162500</v>
      </c>
      <c r="F267" s="30" t="n">
        <v>160716.3125</v>
      </c>
      <c r="G267" s="30" t="n">
        <v>784081</v>
      </c>
      <c r="H267" s="35" t="n">
        <v>-0.01753325272067718</v>
      </c>
      <c r="I267" s="35" t="n">
        <v>-0.1402116402116402</v>
      </c>
      <c r="J267" s="30" t="n">
        <v>173335</v>
      </c>
      <c r="K267" s="30" t="n">
        <v>153738.3333333333</v>
      </c>
      <c r="L267" s="30" t="n">
        <v>119669.1666666667</v>
      </c>
      <c r="M267" s="35" t="n">
        <v>0.5835716574482122</v>
      </c>
      <c r="N267" s="35" t="n">
        <v>0.5856182450231716</v>
      </c>
      <c r="O267" s="35" t="n">
        <v>0.015625</v>
      </c>
      <c r="P267" s="35" t="n">
        <v>0.2264150943396226</v>
      </c>
      <c r="Q267" s="35" t="n">
        <v>1.782534246575342</v>
      </c>
      <c r="R267" s="35" t="n">
        <v>-0.06250901433640066</v>
      </c>
      <c r="S267" s="35" t="n">
        <v>0.05699077436770272</v>
      </c>
      <c r="T267" s="35" t="n">
        <v>0.3579103500623246</v>
      </c>
      <c r="U267" s="30" t="n">
        <v>189000</v>
      </c>
      <c r="V267" s="30" t="n">
        <v>28900</v>
      </c>
      <c r="W267" s="35" t="n">
        <v>-0.1402116402116402</v>
      </c>
      <c r="X267" s="35" t="n">
        <v>4.622837370242214</v>
      </c>
      <c r="Y267" s="30" t="n">
        <v>95312200</v>
      </c>
      <c r="Z267" s="30" t="n">
        <v>15488232500000</v>
      </c>
      <c r="AA267" s="30" t="n">
        <v>127413162500</v>
      </c>
      <c r="AB267" s="30" t="n">
        <v>288808629600</v>
      </c>
      <c r="AC267" s="35" t="n">
        <v>0.008226449499644326</v>
      </c>
      <c r="AD267" s="24" t="inlineStr">
        <is>
          <t>yfinance_download</t>
        </is>
      </c>
      <c r="AE267" s="24" t="inlineStr">
        <is>
          <t>042700.KS</t>
        </is>
      </c>
    </row>
    <row r="268" ht="24" customHeight="1">
      <c r="A268" s="29" t="inlineStr">
        <is>
          <t>2024-07-09</t>
        </is>
      </c>
      <c r="B268" s="31" t="n">
        <v>165200</v>
      </c>
      <c r="C268" s="31" t="n">
        <v>167500</v>
      </c>
      <c r="D268" s="31" t="n">
        <v>164000</v>
      </c>
      <c r="E268" s="31" t="n">
        <v>164100</v>
      </c>
      <c r="F268" s="31" t="n">
        <v>162298.765625</v>
      </c>
      <c r="G268" s="31" t="n">
        <v>849902</v>
      </c>
      <c r="H268" s="36" t="n">
        <v>0.009846153846153838</v>
      </c>
      <c r="I268" s="36" t="n">
        <v>-0.1317460317460317</v>
      </c>
      <c r="J268" s="31" t="n">
        <v>173575</v>
      </c>
      <c r="K268" s="31" t="n">
        <v>154258.3333333333</v>
      </c>
      <c r="L268" s="31" t="n">
        <v>120545</v>
      </c>
      <c r="M268" s="36" t="n">
        <v>0.5838888209962684</v>
      </c>
      <c r="N268" s="36" t="n">
        <v>0.5857330052304057</v>
      </c>
      <c r="O268" s="36" t="n">
        <v>0.03013182674199633</v>
      </c>
      <c r="P268" s="36" t="n">
        <v>0.234762979683973</v>
      </c>
      <c r="Q268" s="36" t="n">
        <v>1.78135593220339</v>
      </c>
      <c r="R268" s="36" t="n">
        <v>-0.05458735416966731</v>
      </c>
      <c r="S268" s="36" t="n">
        <v>0.06379990276052072</v>
      </c>
      <c r="T268" s="36" t="n">
        <v>0.3613173503670828</v>
      </c>
      <c r="U268" s="31" t="n">
        <v>189000</v>
      </c>
      <c r="V268" s="31" t="n">
        <v>28900</v>
      </c>
      <c r="W268" s="36" t="n">
        <v>-0.1317460317460317</v>
      </c>
      <c r="X268" s="36" t="n">
        <v>4.678200692041522</v>
      </c>
      <c r="Y268" s="31" t="n">
        <v>95312200</v>
      </c>
      <c r="Z268" s="31" t="n">
        <v>15640732020000</v>
      </c>
      <c r="AA268" s="31" t="n">
        <v>139468918200</v>
      </c>
      <c r="AB268" s="31" t="n">
        <v>288771609075</v>
      </c>
      <c r="AC268" s="36" t="n">
        <v>0.008917032656889675</v>
      </c>
      <c r="AD268" s="29" t="inlineStr">
        <is>
          <t>yfinance_download</t>
        </is>
      </c>
      <c r="AE268" s="29" t="inlineStr">
        <is>
          <t>042700.KS</t>
        </is>
      </c>
    </row>
    <row r="269" ht="24" customHeight="1">
      <c r="A269" s="24" t="inlineStr">
        <is>
          <t>2024-07-10</t>
        </is>
      </c>
      <c r="B269" s="30" t="n">
        <v>164700</v>
      </c>
      <c r="C269" s="30" t="n">
        <v>165500</v>
      </c>
      <c r="D269" s="30" t="n">
        <v>160000</v>
      </c>
      <c r="E269" s="30" t="n">
        <v>162400</v>
      </c>
      <c r="F269" s="30" t="n">
        <v>160617.421875</v>
      </c>
      <c r="G269" s="30" t="n">
        <v>686356</v>
      </c>
      <c r="H269" s="35" t="n">
        <v>-0.01035953686776359</v>
      </c>
      <c r="I269" s="35" t="n">
        <v>-0.1407407407407407</v>
      </c>
      <c r="J269" s="30" t="n">
        <v>173000</v>
      </c>
      <c r="K269" s="30" t="n">
        <v>154603.3333333333</v>
      </c>
      <c r="L269" s="30" t="n">
        <v>121422.5</v>
      </c>
      <c r="M269" s="35" t="n">
        <v>0.4793201452723582</v>
      </c>
      <c r="N269" s="35" t="n">
        <v>0.5719567449703654</v>
      </c>
      <c r="O269" s="35" t="n">
        <v>-0.06612995974698099</v>
      </c>
      <c r="P269" s="35" t="n">
        <v>0.1460832745236416</v>
      </c>
      <c r="Q269" s="35" t="n">
        <v>1.844133099824869</v>
      </c>
      <c r="R269" s="35" t="n">
        <v>-0.06127167630057806</v>
      </c>
      <c r="S269" s="35" t="n">
        <v>0.05043013302861077</v>
      </c>
      <c r="T269" s="35" t="n">
        <v>0.3374786386378144</v>
      </c>
      <c r="U269" s="30" t="n">
        <v>189000</v>
      </c>
      <c r="V269" s="30" t="n">
        <v>28900</v>
      </c>
      <c r="W269" s="35" t="n">
        <v>-0.1407407407407407</v>
      </c>
      <c r="X269" s="35" t="n">
        <v>4.619377162629758</v>
      </c>
      <c r="Y269" s="30" t="n">
        <v>95312200</v>
      </c>
      <c r="Z269" s="30" t="n">
        <v>15478701280000</v>
      </c>
      <c r="AA269" s="30" t="n">
        <v>111464214400</v>
      </c>
      <c r="AB269" s="30" t="n">
        <v>254887318460</v>
      </c>
      <c r="AC269" s="35" t="n">
        <v>0.007201134797014443</v>
      </c>
      <c r="AD269" s="24" t="inlineStr">
        <is>
          <t>yfinance_download</t>
        </is>
      </c>
      <c r="AE269" s="24" t="inlineStr">
        <is>
          <t>042700.KS</t>
        </is>
      </c>
    </row>
    <row r="270" ht="24" customHeight="1">
      <c r="A270" s="29" t="inlineStr">
        <is>
          <t>2024-07-11</t>
        </is>
      </c>
      <c r="B270" s="31" t="n">
        <v>164600</v>
      </c>
      <c r="C270" s="31" t="n">
        <v>166000</v>
      </c>
      <c r="D270" s="31" t="n">
        <v>160500</v>
      </c>
      <c r="E270" s="31" t="n">
        <v>161000</v>
      </c>
      <c r="F270" s="31" t="n">
        <v>159232.78125</v>
      </c>
      <c r="G270" s="31" t="n">
        <v>990391</v>
      </c>
      <c r="H270" s="36" t="n">
        <v>-0.008620689655172376</v>
      </c>
      <c r="I270" s="36" t="n">
        <v>-0.1481481481481481</v>
      </c>
      <c r="J270" s="31" t="n">
        <v>171600</v>
      </c>
      <c r="K270" s="31" t="n">
        <v>154861.6666666667</v>
      </c>
      <c r="L270" s="31" t="n">
        <v>122295.8333333333</v>
      </c>
      <c r="M270" s="36" t="n">
        <v>0.3422248446912055</v>
      </c>
      <c r="N270" s="36" t="n">
        <v>0.5702378951876489</v>
      </c>
      <c r="O270" s="36" t="n">
        <v>-0.1481481481481481</v>
      </c>
      <c r="P270" s="36" t="n">
        <v>0.1065292096219932</v>
      </c>
      <c r="Q270" s="36" t="n">
        <v>1.864768683274022</v>
      </c>
      <c r="R270" s="36" t="n">
        <v>-0.06177156177156173</v>
      </c>
      <c r="S270" s="36" t="n">
        <v>0.03963752596403247</v>
      </c>
      <c r="T270" s="36" t="n">
        <v>0.3164798473646555</v>
      </c>
      <c r="U270" s="31" t="n">
        <v>189000</v>
      </c>
      <c r="V270" s="31" t="n">
        <v>28900</v>
      </c>
      <c r="W270" s="36" t="n">
        <v>-0.1481481481481481</v>
      </c>
      <c r="X270" s="36" t="n">
        <v>4.570934256055363</v>
      </c>
      <c r="Y270" s="31" t="n">
        <v>95312200</v>
      </c>
      <c r="Z270" s="31" t="n">
        <v>15345264200000</v>
      </c>
      <c r="AA270" s="31" t="n">
        <v>159452951000</v>
      </c>
      <c r="AB270" s="31" t="n">
        <v>209437679610</v>
      </c>
      <c r="AC270" s="36" t="n">
        <v>0.0103910202471457</v>
      </c>
      <c r="AD270" s="29" t="inlineStr">
        <is>
          <t>yfinance_download</t>
        </is>
      </c>
      <c r="AE270" s="29" t="inlineStr">
        <is>
          <t>042700.KS</t>
        </is>
      </c>
    </row>
    <row r="271" ht="24" customHeight="1">
      <c r="A271" s="24" t="inlineStr">
        <is>
          <t>2024-07-12</t>
        </is>
      </c>
      <c r="B271" s="30" t="n">
        <v>157000</v>
      </c>
      <c r="C271" s="30" t="n">
        <v>160700</v>
      </c>
      <c r="D271" s="30" t="n">
        <v>155500</v>
      </c>
      <c r="E271" s="30" t="n">
        <v>160500</v>
      </c>
      <c r="F271" s="30" t="n">
        <v>158738.28125</v>
      </c>
      <c r="G271" s="30" t="n">
        <v>958910</v>
      </c>
      <c r="H271" s="35" t="n">
        <v>-0.003105590062111752</v>
      </c>
      <c r="I271" s="35" t="n">
        <v>-0.1507936507936508</v>
      </c>
      <c r="J271" s="30" t="n">
        <v>170630</v>
      </c>
      <c r="K271" s="30" t="n">
        <v>155098.3333333333</v>
      </c>
      <c r="L271" s="30" t="n">
        <v>123194.1666666667</v>
      </c>
      <c r="M271" s="35" t="n">
        <v>0.3072932139546691</v>
      </c>
      <c r="N271" s="35" t="n">
        <v>0.5703055311724875</v>
      </c>
      <c r="O271" s="35" t="n">
        <v>-0.1078376876042245</v>
      </c>
      <c r="P271" s="35" t="n">
        <v>0.09706083390293907</v>
      </c>
      <c r="Q271" s="35" t="n">
        <v>2.045540796963947</v>
      </c>
      <c r="R271" s="35" t="n">
        <v>-0.05936822364179806</v>
      </c>
      <c r="S271" s="35" t="n">
        <v>0.03482736758400584</v>
      </c>
      <c r="T271" s="35" t="n">
        <v>0.3028214268803311</v>
      </c>
      <c r="U271" s="30" t="n">
        <v>189000</v>
      </c>
      <c r="V271" s="30" t="n">
        <v>28900</v>
      </c>
      <c r="W271" s="35" t="n">
        <v>-0.1507936507936508</v>
      </c>
      <c r="X271" s="35" t="n">
        <v>4.553633217993079</v>
      </c>
      <c r="Y271" s="30" t="n">
        <v>95312200</v>
      </c>
      <c r="Z271" s="30" t="n">
        <v>15297608100000</v>
      </c>
      <c r="AA271" s="30" t="n">
        <v>153905055000</v>
      </c>
      <c r="AB271" s="30" t="n">
        <v>187510598360</v>
      </c>
      <c r="AC271" s="35" t="n">
        <v>0.01006072674851698</v>
      </c>
      <c r="AD271" s="24" t="inlineStr">
        <is>
          <t>yfinance_download</t>
        </is>
      </c>
      <c r="AE271" s="24" t="inlineStr">
        <is>
          <t>042700.KS</t>
        </is>
      </c>
    </row>
    <row r="272" ht="24" customHeight="1">
      <c r="A272" s="29" t="inlineStr">
        <is>
          <t>2024-07-15</t>
        </is>
      </c>
      <c r="B272" s="31" t="n">
        <v>161300</v>
      </c>
      <c r="C272" s="31" t="n">
        <v>162500</v>
      </c>
      <c r="D272" s="31" t="n">
        <v>156000</v>
      </c>
      <c r="E272" s="31" t="n">
        <v>157900</v>
      </c>
      <c r="F272" s="31" t="n">
        <v>156166.796875</v>
      </c>
      <c r="G272" s="31" t="n">
        <v>664824</v>
      </c>
      <c r="H272" s="36" t="n">
        <v>-0.01619937694704054</v>
      </c>
      <c r="I272" s="36" t="n">
        <v>-0.1645502645502646</v>
      </c>
      <c r="J272" s="31" t="n">
        <v>169520</v>
      </c>
      <c r="K272" s="31" t="n">
        <v>155391.6666666667</v>
      </c>
      <c r="L272" s="31" t="n">
        <v>124073.3333333333</v>
      </c>
      <c r="M272" s="36" t="n">
        <v>0.3084860639001052</v>
      </c>
      <c r="N272" s="36" t="n">
        <v>0.564518061990528</v>
      </c>
      <c r="O272" s="36" t="n">
        <v>-0.1232648528595225</v>
      </c>
      <c r="P272" s="36" t="n">
        <v>0.1254454739843194</v>
      </c>
      <c r="Q272" s="36" t="n">
        <v>2.013358778625954</v>
      </c>
      <c r="R272" s="36" t="n">
        <v>-0.06854648419065601</v>
      </c>
      <c r="S272" s="36" t="n">
        <v>0.01614200675711919</v>
      </c>
      <c r="T272" s="36" t="n">
        <v>0.2726344634893343</v>
      </c>
      <c r="U272" s="31" t="n">
        <v>189000</v>
      </c>
      <c r="V272" s="31" t="n">
        <v>28900</v>
      </c>
      <c r="W272" s="36" t="n">
        <v>-0.1645502645502646</v>
      </c>
      <c r="X272" s="36" t="n">
        <v>4.463667820069205</v>
      </c>
      <c r="Y272" s="31" t="n">
        <v>95312200</v>
      </c>
      <c r="Z272" s="31" t="n">
        <v>15049796380000</v>
      </c>
      <c r="AA272" s="31" t="n">
        <v>104975709600</v>
      </c>
      <c r="AB272" s="31" t="n">
        <v>181652760920</v>
      </c>
      <c r="AC272" s="36" t="n">
        <v>0.006975224577756048</v>
      </c>
      <c r="AD272" s="29" t="inlineStr">
        <is>
          <t>yfinance_download</t>
        </is>
      </c>
      <c r="AE272" s="29" t="inlineStr">
        <is>
          <t>042700.KS</t>
        </is>
      </c>
    </row>
    <row r="273" ht="24" customHeight="1">
      <c r="A273" s="24" t="inlineStr">
        <is>
          <t>2024-07-16</t>
        </is>
      </c>
      <c r="B273" s="30" t="n">
        <v>159600</v>
      </c>
      <c r="C273" s="30" t="n">
        <v>168300</v>
      </c>
      <c r="D273" s="30" t="n">
        <v>158200</v>
      </c>
      <c r="E273" s="30" t="n">
        <v>168100</v>
      </c>
      <c r="F273" s="30" t="n">
        <v>166254.84375</v>
      </c>
      <c r="G273" s="30" t="n">
        <v>2098271</v>
      </c>
      <c r="H273" s="35" t="n">
        <v>0.06459784673844204</v>
      </c>
      <c r="I273" s="35" t="n">
        <v>-0.1105820105820106</v>
      </c>
      <c r="J273" s="30" t="n">
        <v>168950</v>
      </c>
      <c r="K273" s="30" t="n">
        <v>155921.6666666667</v>
      </c>
      <c r="L273" s="30" t="n">
        <v>125005.8333333333</v>
      </c>
      <c r="M273" s="35" t="n">
        <v>0.3984881358484683</v>
      </c>
      <c r="N273" s="35" t="n">
        <v>0.5747666188473193</v>
      </c>
      <c r="O273" s="35" t="n">
        <v>-0.06350974930362119</v>
      </c>
      <c r="P273" s="35" t="n">
        <v>0.2333088774761556</v>
      </c>
      <c r="Q273" s="35" t="n">
        <v>1.991103202846975</v>
      </c>
      <c r="R273" s="35" t="n">
        <v>-0.005031074282332071</v>
      </c>
      <c r="S273" s="35" t="n">
        <v>0.07810545893771459</v>
      </c>
      <c r="T273" s="35" t="n">
        <v>0.3447372455952056</v>
      </c>
      <c r="U273" s="30" t="n">
        <v>189000</v>
      </c>
      <c r="V273" s="30" t="n">
        <v>28900</v>
      </c>
      <c r="W273" s="35" t="n">
        <v>-0.1105820105820106</v>
      </c>
      <c r="X273" s="35" t="n">
        <v>4.816608996539792</v>
      </c>
      <c r="Y273" s="30" t="n">
        <v>95312200</v>
      </c>
      <c r="Z273" s="30" t="n">
        <v>16021980820000</v>
      </c>
      <c r="AA273" s="30" t="n">
        <v>352719355100</v>
      </c>
      <c r="AB273" s="30" t="n">
        <v>190484298550</v>
      </c>
      <c r="AC273" s="35" t="n">
        <v>0.02201471584959743</v>
      </c>
      <c r="AD273" s="24" t="inlineStr">
        <is>
          <t>yfinance_download</t>
        </is>
      </c>
      <c r="AE273" s="24" t="inlineStr">
        <is>
          <t>042700.KS</t>
        </is>
      </c>
    </row>
    <row r="274" ht="24" customHeight="1">
      <c r="A274" s="29" t="inlineStr">
        <is>
          <t>2024-07-17</t>
        </is>
      </c>
      <c r="B274" s="31" t="n">
        <v>168000</v>
      </c>
      <c r="C274" s="31" t="n">
        <v>168000</v>
      </c>
      <c r="D274" s="31" t="n">
        <v>158500</v>
      </c>
      <c r="E274" s="31" t="n">
        <v>159400</v>
      </c>
      <c r="F274" s="31" t="n">
        <v>157650.34375</v>
      </c>
      <c r="G274" s="31" t="n">
        <v>1551976</v>
      </c>
      <c r="H274" s="36" t="n">
        <v>-0.05175490779298042</v>
      </c>
      <c r="I274" s="36" t="n">
        <v>-0.1566137566137566</v>
      </c>
      <c r="J274" s="31" t="n">
        <v>168070</v>
      </c>
      <c r="K274" s="31" t="n">
        <v>156201.6666666667</v>
      </c>
      <c r="L274" s="31" t="n">
        <v>125853.3333333333</v>
      </c>
      <c r="M274" s="36" t="n">
        <v>0.4333666938824139</v>
      </c>
      <c r="N274" s="36" t="n">
        <v>0.5791834843377736</v>
      </c>
      <c r="O274" s="36" t="n">
        <v>-0.09943502824858752</v>
      </c>
      <c r="P274" s="36" t="n">
        <v>0.1178120617110801</v>
      </c>
      <c r="Q274" s="36" t="n">
        <v>1.762564991334489</v>
      </c>
      <c r="R274" s="36" t="n">
        <v>-0.05158564883679417</v>
      </c>
      <c r="S274" s="36" t="n">
        <v>0.02047566713970195</v>
      </c>
      <c r="T274" s="36" t="n">
        <v>0.2665536603453755</v>
      </c>
      <c r="U274" s="31" t="n">
        <v>189000</v>
      </c>
      <c r="V274" s="31" t="n">
        <v>28900</v>
      </c>
      <c r="W274" s="36" t="n">
        <v>-0.1566137566137566</v>
      </c>
      <c r="X274" s="36" t="n">
        <v>4.515570934256055</v>
      </c>
      <c r="Y274" s="31" t="n">
        <v>95312200</v>
      </c>
      <c r="Z274" s="31" t="n">
        <v>15192764680000</v>
      </c>
      <c r="AA274" s="31" t="n">
        <v>247384974400</v>
      </c>
      <c r="AB274" s="31" t="n">
        <v>189861658770</v>
      </c>
      <c r="AC274" s="36" t="n">
        <v>0.01628307813690168</v>
      </c>
      <c r="AD274" s="29" t="inlineStr">
        <is>
          <t>yfinance_download</t>
        </is>
      </c>
      <c r="AE274" s="29" t="inlineStr">
        <is>
          <t>042700.KS</t>
        </is>
      </c>
    </row>
    <row r="275" ht="24" customHeight="1">
      <c r="A275" s="24" t="inlineStr">
        <is>
          <t>2024-07-18</t>
        </is>
      </c>
      <c r="B275" s="30" t="n">
        <v>149500</v>
      </c>
      <c r="C275" s="30" t="n">
        <v>156400</v>
      </c>
      <c r="D275" s="30" t="n">
        <v>148600</v>
      </c>
      <c r="E275" s="30" t="n">
        <v>153500</v>
      </c>
      <c r="F275" s="30" t="n">
        <v>151815.109375</v>
      </c>
      <c r="G275" s="30" t="n">
        <v>1318546</v>
      </c>
      <c r="H275" s="35" t="n">
        <v>-0.03701380175658719</v>
      </c>
      <c r="I275" s="35" t="n">
        <v>-0.1878306878306878</v>
      </c>
      <c r="J275" s="30" t="n">
        <v>166780</v>
      </c>
      <c r="K275" s="30" t="n">
        <v>156486.6666666667</v>
      </c>
      <c r="L275" s="30" t="n">
        <v>126651.6666666667</v>
      </c>
      <c r="M275" s="35" t="n">
        <v>0.4422858770139506</v>
      </c>
      <c r="N275" s="35" t="n">
        <v>0.5771391980498821</v>
      </c>
      <c r="O275" s="35" t="n">
        <v>-0.1438929168990518</v>
      </c>
      <c r="P275" s="35" t="n">
        <v>0.1253665689149561</v>
      </c>
      <c r="Q275" s="35" t="n">
        <v>1.660311958405546</v>
      </c>
      <c r="R275" s="35" t="n">
        <v>-0.07962585441899506</v>
      </c>
      <c r="S275" s="35" t="n">
        <v>-0.01908575810505686</v>
      </c>
      <c r="T275" s="35" t="n">
        <v>0.2119856298772222</v>
      </c>
      <c r="U275" s="30" t="n">
        <v>189000</v>
      </c>
      <c r="V275" s="30" t="n">
        <v>28900</v>
      </c>
      <c r="W275" s="35" t="n">
        <v>-0.1878306878306878</v>
      </c>
      <c r="X275" s="35" t="n">
        <v>4.311418685121107</v>
      </c>
      <c r="Y275" s="30" t="n">
        <v>95312200</v>
      </c>
      <c r="Z275" s="30" t="n">
        <v>14630422700000</v>
      </c>
      <c r="AA275" s="30" t="n">
        <v>202396811000</v>
      </c>
      <c r="AB275" s="30" t="n">
        <v>190636069545</v>
      </c>
      <c r="AC275" s="35" t="n">
        <v>0.01383396878888537</v>
      </c>
      <c r="AD275" s="24" t="inlineStr">
        <is>
          <t>yfinance_download</t>
        </is>
      </c>
      <c r="AE275" s="24" t="inlineStr">
        <is>
          <t>042700.KS</t>
        </is>
      </c>
    </row>
    <row r="276" ht="24" customHeight="1">
      <c r="A276" s="29" t="inlineStr">
        <is>
          <t>2024-07-19</t>
        </is>
      </c>
      <c r="B276" s="31" t="n">
        <v>153800</v>
      </c>
      <c r="C276" s="31" t="n">
        <v>154700</v>
      </c>
      <c r="D276" s="31" t="n">
        <v>150900</v>
      </c>
      <c r="E276" s="31" t="n">
        <v>151000</v>
      </c>
      <c r="F276" s="31" t="n">
        <v>149342.546875</v>
      </c>
      <c r="G276" s="31" t="n">
        <v>644491</v>
      </c>
      <c r="H276" s="36" t="n">
        <v>-0.01628664495114007</v>
      </c>
      <c r="I276" s="36" t="n">
        <v>-0.201058201058201</v>
      </c>
      <c r="J276" s="31" t="n">
        <v>165315</v>
      </c>
      <c r="K276" s="31" t="n">
        <v>156885</v>
      </c>
      <c r="L276" s="31" t="n">
        <v>127429.1666666667</v>
      </c>
      <c r="M276" s="36" t="n">
        <v>0.4406014449098913</v>
      </c>
      <c r="N276" s="36" t="n">
        <v>0.5594785074911298</v>
      </c>
      <c r="O276" s="36" t="n">
        <v>-0.1625069328896284</v>
      </c>
      <c r="P276" s="36" t="n">
        <v>0.1880409126671911</v>
      </c>
      <c r="Q276" s="36" t="n">
        <v>1.616984402079723</v>
      </c>
      <c r="R276" s="36" t="n">
        <v>-0.08659226325499803</v>
      </c>
      <c r="S276" s="36" t="n">
        <v>-0.03751155304841125</v>
      </c>
      <c r="T276" s="36" t="n">
        <v>0.184972043292025</v>
      </c>
      <c r="U276" s="31" t="n">
        <v>189000</v>
      </c>
      <c r="V276" s="31" t="n">
        <v>30500</v>
      </c>
      <c r="W276" s="36" t="n">
        <v>-0.201058201058201</v>
      </c>
      <c r="X276" s="36" t="n">
        <v>3.950819672131147</v>
      </c>
      <c r="Y276" s="31" t="n">
        <v>95312200</v>
      </c>
      <c r="Z276" s="31" t="n">
        <v>14392142200000</v>
      </c>
      <c r="AA276" s="31" t="n">
        <v>97318141000</v>
      </c>
      <c r="AB276" s="31" t="n">
        <v>187595794550</v>
      </c>
      <c r="AC276" s="36" t="n">
        <v>0.006761894070223959</v>
      </c>
      <c r="AD276" s="29" t="inlineStr">
        <is>
          <t>yfinance_download</t>
        </is>
      </c>
      <c r="AE276" s="29" t="inlineStr">
        <is>
          <t>042700.KS</t>
        </is>
      </c>
    </row>
    <row r="277" ht="24" customHeight="1">
      <c r="A277" s="24" t="inlineStr">
        <is>
          <t>2024-07-22</t>
        </is>
      </c>
      <c r="B277" s="30" t="n">
        <v>149900</v>
      </c>
      <c r="C277" s="30" t="n">
        <v>151500</v>
      </c>
      <c r="D277" s="30" t="n">
        <v>143700</v>
      </c>
      <c r="E277" s="30" t="n">
        <v>145400</v>
      </c>
      <c r="F277" s="30" t="n">
        <v>143804.015625</v>
      </c>
      <c r="G277" s="30" t="n">
        <v>1272324</v>
      </c>
      <c r="H277" s="35" t="n">
        <v>-0.03708609271523178</v>
      </c>
      <c r="I277" s="35" t="n">
        <v>-0.2306878306878307</v>
      </c>
      <c r="J277" s="30" t="n">
        <v>163815</v>
      </c>
      <c r="K277" s="30" t="n">
        <v>157118.3333333333</v>
      </c>
      <c r="L277" s="30" t="n">
        <v>128147.5</v>
      </c>
      <c r="M277" s="35" t="n">
        <v>0.4475323570951885</v>
      </c>
      <c r="N277" s="35" t="n">
        <v>0.5619179128711825</v>
      </c>
      <c r="O277" s="35" t="n">
        <v>-0.1710376282782212</v>
      </c>
      <c r="P277" s="35" t="n">
        <v>0.1065449010654491</v>
      </c>
      <c r="Q277" s="35" t="n">
        <v>1.456081081081081</v>
      </c>
      <c r="R277" s="35" t="n">
        <v>-0.1124133931569148</v>
      </c>
      <c r="S277" s="35" t="n">
        <v>-0.07458285156622935</v>
      </c>
      <c r="T277" s="35" t="n">
        <v>0.1346300161922784</v>
      </c>
      <c r="U277" s="30" t="n">
        <v>189000</v>
      </c>
      <c r="V277" s="30" t="n">
        <v>31700</v>
      </c>
      <c r="W277" s="35" t="n">
        <v>-0.2306878306878307</v>
      </c>
      <c r="X277" s="35" t="n">
        <v>3.586750788643533</v>
      </c>
      <c r="Y277" s="30" t="n">
        <v>95312200</v>
      </c>
      <c r="Z277" s="30" t="n">
        <v>13858393880000</v>
      </c>
      <c r="AA277" s="30" t="n">
        <v>184995909600</v>
      </c>
      <c r="AB277" s="30" t="n">
        <v>189531015380</v>
      </c>
      <c r="AC277" s="35" t="n">
        <v>0.01334901513132631</v>
      </c>
      <c r="AD277" s="24" t="inlineStr">
        <is>
          <t>yfinance_download</t>
        </is>
      </c>
      <c r="AE277" s="24" t="inlineStr">
        <is>
          <t>042700.KS</t>
        </is>
      </c>
    </row>
    <row r="278" ht="24" customHeight="1">
      <c r="A278" s="29" t="inlineStr">
        <is>
          <t>2024-07-23</t>
        </is>
      </c>
      <c r="B278" s="31" t="n">
        <v>150400</v>
      </c>
      <c r="C278" s="31" t="n">
        <v>150500</v>
      </c>
      <c r="D278" s="31" t="n">
        <v>142000</v>
      </c>
      <c r="E278" s="31" t="n">
        <v>145500</v>
      </c>
      <c r="F278" s="31" t="n">
        <v>143902.921875</v>
      </c>
      <c r="G278" s="31" t="n">
        <v>1194179</v>
      </c>
      <c r="H278" s="36" t="n">
        <v>0.0006877579092159358</v>
      </c>
      <c r="I278" s="36" t="n">
        <v>-0.2301587301587301</v>
      </c>
      <c r="J278" s="31" t="n">
        <v>162445</v>
      </c>
      <c r="K278" s="31" t="n">
        <v>157166.6666666667</v>
      </c>
      <c r="L278" s="31" t="n">
        <v>128879.1666666667</v>
      </c>
      <c r="M278" s="36" t="n">
        <v>0.448330776577648</v>
      </c>
      <c r="N278" s="36" t="n">
        <v>0.5346711674048477</v>
      </c>
      <c r="O278" s="36" t="n">
        <v>-0.1584731058415269</v>
      </c>
      <c r="P278" s="36" t="n">
        <v>0.02033660589060315</v>
      </c>
      <c r="Q278" s="36" t="n">
        <v>1.521663778162912</v>
      </c>
      <c r="R278" s="36" t="n">
        <v>-0.1043122287543476</v>
      </c>
      <c r="S278" s="36" t="n">
        <v>-0.07423117709437954</v>
      </c>
      <c r="T278" s="36" t="n">
        <v>0.1289644693026413</v>
      </c>
      <c r="U278" s="31" t="n">
        <v>189000</v>
      </c>
      <c r="V278" s="31" t="n">
        <v>41200</v>
      </c>
      <c r="W278" s="36" t="n">
        <v>-0.2301587301587301</v>
      </c>
      <c r="X278" s="36" t="n">
        <v>2.531553398058252</v>
      </c>
      <c r="Y278" s="31" t="n">
        <v>95312200</v>
      </c>
      <c r="Z278" s="31" t="n">
        <v>13867925100000</v>
      </c>
      <c r="AA278" s="31" t="n">
        <v>173753044500</v>
      </c>
      <c r="AB278" s="31" t="n">
        <v>187591429620</v>
      </c>
      <c r="AC278" s="36" t="n">
        <v>0.01252913058349298</v>
      </c>
      <c r="AD278" s="29" t="inlineStr">
        <is>
          <t>yfinance_download</t>
        </is>
      </c>
      <c r="AE278" s="29" t="inlineStr">
        <is>
          <t>042700.KS</t>
        </is>
      </c>
    </row>
    <row r="279" ht="24" customHeight="1">
      <c r="A279" s="24" t="inlineStr">
        <is>
          <t>2024-07-24</t>
        </is>
      </c>
      <c r="B279" s="30" t="n">
        <v>142600</v>
      </c>
      <c r="C279" s="30" t="n">
        <v>148700</v>
      </c>
      <c r="D279" s="30" t="n">
        <v>140700</v>
      </c>
      <c r="E279" s="30" t="n">
        <v>143400</v>
      </c>
      <c r="F279" s="30" t="n">
        <v>141825.96875</v>
      </c>
      <c r="G279" s="30" t="n">
        <v>1109711</v>
      </c>
      <c r="H279" s="35" t="n">
        <v>-0.0144329896907216</v>
      </c>
      <c r="I279" s="35" t="n">
        <v>-0.2412698412698413</v>
      </c>
      <c r="J279" s="30" t="n">
        <v>160625</v>
      </c>
      <c r="K279" s="30" t="n">
        <v>157281.6666666667</v>
      </c>
      <c r="L279" s="30" t="n">
        <v>129585</v>
      </c>
      <c r="M279" s="35" t="n">
        <v>0.4109040811194937</v>
      </c>
      <c r="N279" s="35" t="n">
        <v>0.5278967955341212</v>
      </c>
      <c r="O279" s="35" t="n">
        <v>-0.2024471635150167</v>
      </c>
      <c r="P279" s="35" t="n">
        <v>0.05054945054945059</v>
      </c>
      <c r="Q279" s="35" t="n">
        <v>1.442930153321976</v>
      </c>
      <c r="R279" s="35" t="n">
        <v>-0.1072373540856031</v>
      </c>
      <c r="S279" s="35" t="n">
        <v>-0.0882599158622005</v>
      </c>
      <c r="T279" s="35" t="n">
        <v>0.1066095612918161</v>
      </c>
      <c r="U279" s="30" t="n">
        <v>189000</v>
      </c>
      <c r="V279" s="30" t="n">
        <v>43500</v>
      </c>
      <c r="W279" s="35" t="n">
        <v>-0.2412698412698413</v>
      </c>
      <c r="X279" s="35" t="n">
        <v>2.296551724137931</v>
      </c>
      <c r="Y279" s="30" t="n">
        <v>95312200</v>
      </c>
      <c r="Z279" s="30" t="n">
        <v>13667769480000</v>
      </c>
      <c r="AA279" s="30" t="n">
        <v>159132557400</v>
      </c>
      <c r="AB279" s="30" t="n">
        <v>183265757670</v>
      </c>
      <c r="AC279" s="35" t="n">
        <v>0.01164290615472101</v>
      </c>
      <c r="AD279" s="24" t="inlineStr">
        <is>
          <t>yfinance_download</t>
        </is>
      </c>
      <c r="AE279" s="24" t="inlineStr">
        <is>
          <t>042700.KS</t>
        </is>
      </c>
    </row>
    <row r="280" ht="24" customHeight="1">
      <c r="A280" s="29" t="inlineStr">
        <is>
          <t>2024-07-25</t>
        </is>
      </c>
      <c r="B280" s="31" t="n">
        <v>138000</v>
      </c>
      <c r="C280" s="31" t="n">
        <v>138700</v>
      </c>
      <c r="D280" s="31" t="n">
        <v>132500</v>
      </c>
      <c r="E280" s="31" t="n">
        <v>135500</v>
      </c>
      <c r="F280" s="31" t="n">
        <v>134012.6875</v>
      </c>
      <c r="G280" s="31" t="n">
        <v>1628935</v>
      </c>
      <c r="H280" s="36" t="n">
        <v>-0.05509065550906556</v>
      </c>
      <c r="I280" s="36" t="n">
        <v>-0.283068783068783</v>
      </c>
      <c r="J280" s="31" t="n">
        <v>158715</v>
      </c>
      <c r="K280" s="31" t="n">
        <v>157253.3333333333</v>
      </c>
      <c r="L280" s="31" t="n">
        <v>130215.8333333333</v>
      </c>
      <c r="M280" s="36" t="n">
        <v>0.4328923541917382</v>
      </c>
      <c r="N280" s="36" t="n">
        <v>0.5403401046889409</v>
      </c>
      <c r="O280" s="36" t="n">
        <v>-0.2199194012665515</v>
      </c>
      <c r="P280" s="36" t="n">
        <v>-0.01239067055393583</v>
      </c>
      <c r="Q280" s="36" t="n">
        <v>1.265886287625418</v>
      </c>
      <c r="R280" s="36" t="n">
        <v>-0.146268468638755</v>
      </c>
      <c r="S280" s="36" t="n">
        <v>-0.1383330507037477</v>
      </c>
      <c r="T280" s="36" t="n">
        <v>0.04058006258839497</v>
      </c>
      <c r="U280" s="31" t="n">
        <v>189000</v>
      </c>
      <c r="V280" s="31" t="n">
        <v>43500</v>
      </c>
      <c r="W280" s="36" t="n">
        <v>-0.283068783068783</v>
      </c>
      <c r="X280" s="36" t="n">
        <v>2.114942528735632</v>
      </c>
      <c r="Y280" s="31" t="n">
        <v>95312200</v>
      </c>
      <c r="Z280" s="31" t="n">
        <v>12914803100000</v>
      </c>
      <c r="AA280" s="31" t="n">
        <v>220720692500</v>
      </c>
      <c r="AB280" s="31" t="n">
        <v>186042939190</v>
      </c>
      <c r="AC280" s="36" t="n">
        <v>0.01709051936688063</v>
      </c>
      <c r="AD280" s="29" t="inlineStr">
        <is>
          <t>yfinance_download</t>
        </is>
      </c>
      <c r="AE280" s="29" t="inlineStr">
        <is>
          <t>042700.KS</t>
        </is>
      </c>
    </row>
    <row r="281" ht="24" customHeight="1">
      <c r="A281" s="24" t="inlineStr">
        <is>
          <t>2024-07-26</t>
        </is>
      </c>
      <c r="B281" s="30" t="n">
        <v>135700</v>
      </c>
      <c r="C281" s="30" t="n">
        <v>140800</v>
      </c>
      <c r="D281" s="30" t="n">
        <v>132200</v>
      </c>
      <c r="E281" s="30" t="n">
        <v>137500</v>
      </c>
      <c r="F281" s="30" t="n">
        <v>135990.734375</v>
      </c>
      <c r="G281" s="30" t="n">
        <v>1258289</v>
      </c>
      <c r="H281" s="35" t="n">
        <v>0.01476014760147604</v>
      </c>
      <c r="I281" s="35" t="n">
        <v>-0.2724867724867724</v>
      </c>
      <c r="J281" s="30" t="n">
        <v>156975</v>
      </c>
      <c r="K281" s="30" t="n">
        <v>157260</v>
      </c>
      <c r="L281" s="30" t="n">
        <v>130865.8333333333</v>
      </c>
      <c r="M281" s="35" t="n">
        <v>0.443097954214356</v>
      </c>
      <c r="N281" s="35" t="n">
        <v>0.5411389673831182</v>
      </c>
      <c r="O281" s="35" t="n">
        <v>-0.2019733023795706</v>
      </c>
      <c r="P281" s="35" t="n">
        <v>0.002917578409919797</v>
      </c>
      <c r="Q281" s="35" t="n">
        <v>1.310924369747899</v>
      </c>
      <c r="R281" s="35" t="n">
        <v>-0.1240643414556458</v>
      </c>
      <c r="S281" s="35" t="n">
        <v>-0.1256517868498028</v>
      </c>
      <c r="T281" s="35" t="n">
        <v>0.05069441348964276</v>
      </c>
      <c r="U281" s="30" t="n">
        <v>189000</v>
      </c>
      <c r="V281" s="30" t="n">
        <v>43500</v>
      </c>
      <c r="W281" s="35" t="n">
        <v>-0.2724867724867724</v>
      </c>
      <c r="X281" s="35" t="n">
        <v>2.160919540229885</v>
      </c>
      <c r="Y281" s="30" t="n">
        <v>95312200</v>
      </c>
      <c r="Z281" s="30" t="n">
        <v>13105427500000</v>
      </c>
      <c r="AA281" s="30" t="n">
        <v>173014737500</v>
      </c>
      <c r="AB281" s="30" t="n">
        <v>188516824445</v>
      </c>
      <c r="AC281" s="35" t="n">
        <v>0.01320176220882531</v>
      </c>
      <c r="AD281" s="24" t="inlineStr">
        <is>
          <t>yfinance_download</t>
        </is>
      </c>
      <c r="AE281" s="24" t="inlineStr">
        <is>
          <t>042700.KS</t>
        </is>
      </c>
    </row>
    <row r="282" ht="24" customHeight="1">
      <c r="A282" s="29" t="inlineStr">
        <is>
          <t>2024-07-29</t>
        </is>
      </c>
      <c r="B282" s="31" t="n">
        <v>138900</v>
      </c>
      <c r="C282" s="31" t="n">
        <v>140500</v>
      </c>
      <c r="D282" s="31" t="n">
        <v>136000</v>
      </c>
      <c r="E282" s="31" t="n">
        <v>137400</v>
      </c>
      <c r="F282" s="31" t="n">
        <v>135891.828125</v>
      </c>
      <c r="G282" s="31" t="n">
        <v>665775</v>
      </c>
      <c r="H282" s="36" t="n">
        <v>-0.0007272727272726875</v>
      </c>
      <c r="I282" s="36" t="n">
        <v>-0.273015873015873</v>
      </c>
      <c r="J282" s="31" t="n">
        <v>155305</v>
      </c>
      <c r="K282" s="31" t="n">
        <v>157300</v>
      </c>
      <c r="L282" s="31" t="n">
        <v>131521.6666666667</v>
      </c>
      <c r="M282" s="36" t="n">
        <v>0.4445124076563752</v>
      </c>
      <c r="N282" s="36" t="n">
        <v>0.5401293583982354</v>
      </c>
      <c r="O282" s="36" t="n">
        <v>-0.1955503512880562</v>
      </c>
      <c r="P282" s="36" t="n">
        <v>0.01777777777777767</v>
      </c>
      <c r="Q282" s="36" t="n">
        <v>1.340715502555366</v>
      </c>
      <c r="R282" s="36" t="n">
        <v>-0.1152892695019477</v>
      </c>
      <c r="S282" s="36" t="n">
        <v>-0.1265098537825811</v>
      </c>
      <c r="T282" s="36" t="n">
        <v>0.04469479046544933</v>
      </c>
      <c r="U282" s="31" t="n">
        <v>189000</v>
      </c>
      <c r="V282" s="31" t="n">
        <v>43500</v>
      </c>
      <c r="W282" s="36" t="n">
        <v>-0.273015873015873</v>
      </c>
      <c r="X282" s="36" t="n">
        <v>2.158620689655173</v>
      </c>
      <c r="Y282" s="31" t="n">
        <v>95312200</v>
      </c>
      <c r="Z282" s="31" t="n">
        <v>13095896280000</v>
      </c>
      <c r="AA282" s="31" t="n">
        <v>91477485000</v>
      </c>
      <c r="AB282" s="31" t="n">
        <v>188084456755</v>
      </c>
      <c r="AC282" s="36" t="n">
        <v>0.006985202314079415</v>
      </c>
      <c r="AD282" s="29" t="inlineStr">
        <is>
          <t>yfinance_download</t>
        </is>
      </c>
      <c r="AE282" s="29" t="inlineStr">
        <is>
          <t>042700.KS</t>
        </is>
      </c>
    </row>
    <row r="283" ht="24" customHeight="1">
      <c r="A283" s="24" t="inlineStr">
        <is>
          <t>2024-07-30</t>
        </is>
      </c>
      <c r="B283" s="30" t="n">
        <v>135200</v>
      </c>
      <c r="C283" s="30" t="n">
        <v>135600</v>
      </c>
      <c r="D283" s="30" t="n">
        <v>125300</v>
      </c>
      <c r="E283" s="30" t="n">
        <v>128700</v>
      </c>
      <c r="F283" s="30" t="n">
        <v>127287.3203125</v>
      </c>
      <c r="G283" s="30" t="n">
        <v>1784351</v>
      </c>
      <c r="H283" s="35" t="n">
        <v>-0.0633187772925764</v>
      </c>
      <c r="I283" s="35" t="n">
        <v>-0.319047619047619</v>
      </c>
      <c r="J283" s="30" t="n">
        <v>153310</v>
      </c>
      <c r="K283" s="30" t="n">
        <v>157228.3333333333</v>
      </c>
      <c r="L283" s="30" t="n">
        <v>132115.8333333333</v>
      </c>
      <c r="M283" s="35" t="n">
        <v>0.482595929964034</v>
      </c>
      <c r="N283" s="35" t="n">
        <v>0.5550808536844515</v>
      </c>
      <c r="O283" s="35" t="n">
        <v>-0.2366548042704626</v>
      </c>
      <c r="P283" s="35" t="n">
        <v>-0.03233082706766921</v>
      </c>
      <c r="Q283" s="35" t="n">
        <v>1.242160278745644</v>
      </c>
      <c r="R283" s="35" t="n">
        <v>-0.1605244276302915</v>
      </c>
      <c r="S283" s="35" t="n">
        <v>-0.1814452441777882</v>
      </c>
      <c r="T283" s="35" t="n">
        <v>-0.02585483698017532</v>
      </c>
      <c r="U283" s="30" t="n">
        <v>189000</v>
      </c>
      <c r="V283" s="30" t="n">
        <v>43800</v>
      </c>
      <c r="W283" s="35" t="n">
        <v>-0.319047619047619</v>
      </c>
      <c r="X283" s="35" t="n">
        <v>1.938356164383562</v>
      </c>
      <c r="Y283" s="30" t="n">
        <v>95312200</v>
      </c>
      <c r="Z283" s="30" t="n">
        <v>12266680140000</v>
      </c>
      <c r="AA283" s="30" t="n">
        <v>229645973700</v>
      </c>
      <c r="AB283" s="30" t="n">
        <v>192327619390</v>
      </c>
      <c r="AC283" s="35" t="n">
        <v>0.01872111859761919</v>
      </c>
      <c r="AD283" s="24" t="inlineStr">
        <is>
          <t>yfinance_download</t>
        </is>
      </c>
      <c r="AE283" s="24" t="inlineStr">
        <is>
          <t>042700.KS</t>
        </is>
      </c>
    </row>
    <row r="284" ht="24" customHeight="1">
      <c r="A284" s="29" t="inlineStr">
        <is>
          <t>2024-07-31</t>
        </is>
      </c>
      <c r="B284" s="31" t="n">
        <v>127500</v>
      </c>
      <c r="C284" s="31" t="n">
        <v>131200</v>
      </c>
      <c r="D284" s="31" t="n">
        <v>121800</v>
      </c>
      <c r="E284" s="31" t="n">
        <v>131200</v>
      </c>
      <c r="F284" s="31" t="n">
        <v>129759.8828125</v>
      </c>
      <c r="G284" s="31" t="n">
        <v>2126109</v>
      </c>
      <c r="H284" s="36" t="n">
        <v>0.0194250194250194</v>
      </c>
      <c r="I284" s="36" t="n">
        <v>-0.3058201058201058</v>
      </c>
      <c r="J284" s="31" t="n">
        <v>151530</v>
      </c>
      <c r="K284" s="31" t="n">
        <v>157248.3333333333</v>
      </c>
      <c r="L284" s="31" t="n">
        <v>132714.1666666667</v>
      </c>
      <c r="M284" s="36" t="n">
        <v>0.4961329771328755</v>
      </c>
      <c r="N284" s="36" t="n">
        <v>0.5544455996878175</v>
      </c>
      <c r="O284" s="36" t="n">
        <v>-0.2134292565947242</v>
      </c>
      <c r="P284" s="36" t="n">
        <v>0.009230769230769154</v>
      </c>
      <c r="Q284" s="36" t="n">
        <v>1.208754208754209</v>
      </c>
      <c r="R284" s="36" t="n">
        <v>-0.1341648518445192</v>
      </c>
      <c r="S284" s="36" t="n">
        <v>-0.165650934297131</v>
      </c>
      <c r="T284" s="36" t="n">
        <v>-0.01140923161933216</v>
      </c>
      <c r="U284" s="31" t="n">
        <v>189000</v>
      </c>
      <c r="V284" s="31" t="n">
        <v>43800</v>
      </c>
      <c r="W284" s="36" t="n">
        <v>-0.3058201058201058</v>
      </c>
      <c r="X284" s="36" t="n">
        <v>1.995433789954338</v>
      </c>
      <c r="Y284" s="31" t="n">
        <v>95312200</v>
      </c>
      <c r="Z284" s="31" t="n">
        <v>12504960640000</v>
      </c>
      <c r="AA284" s="31" t="n">
        <v>278945500800</v>
      </c>
      <c r="AB284" s="31" t="n">
        <v>197102145430</v>
      </c>
      <c r="AC284" s="36" t="n">
        <v>0.02230678758857733</v>
      </c>
      <c r="AD284" s="29" t="inlineStr">
        <is>
          <t>yfinance_download</t>
        </is>
      </c>
      <c r="AE284" s="29" t="inlineStr">
        <is>
          <t>042700.KS</t>
        </is>
      </c>
    </row>
    <row r="285" ht="24" customHeight="1">
      <c r="A285" s="24" t="inlineStr">
        <is>
          <t>2024-08-01</t>
        </is>
      </c>
      <c r="B285" s="30" t="n">
        <v>137400</v>
      </c>
      <c r="C285" s="30" t="n">
        <v>137500</v>
      </c>
      <c r="D285" s="30" t="n">
        <v>127000</v>
      </c>
      <c r="E285" s="30" t="n">
        <v>127300</v>
      </c>
      <c r="F285" s="30" t="n">
        <v>125902.6953125</v>
      </c>
      <c r="G285" s="30" t="n">
        <v>1920279</v>
      </c>
      <c r="H285" s="35" t="n">
        <v>-0.02972560975609762</v>
      </c>
      <c r="I285" s="35" t="n">
        <v>-0.3264550264550264</v>
      </c>
      <c r="J285" s="30" t="n">
        <v>149885</v>
      </c>
      <c r="K285" s="30" t="n">
        <v>157095</v>
      </c>
      <c r="L285" s="30" t="n">
        <v>133285</v>
      </c>
      <c r="M285" s="35" t="n">
        <v>0.4899299427675345</v>
      </c>
      <c r="N285" s="35" t="n">
        <v>0.5482372064311403</v>
      </c>
      <c r="O285" s="35" t="n">
        <v>-0.2053682896379525</v>
      </c>
      <c r="P285" s="35" t="n">
        <v>-0.06739926739926738</v>
      </c>
      <c r="Q285" s="35" t="n">
        <v>1.164965986394558</v>
      </c>
      <c r="R285" s="35" t="n">
        <v>-0.1506821896787537</v>
      </c>
      <c r="S285" s="35" t="n">
        <v>-0.1896623062478119</v>
      </c>
      <c r="T285" s="35" t="n">
        <v>-0.04490377761938702</v>
      </c>
      <c r="U285" s="30" t="n">
        <v>189000</v>
      </c>
      <c r="V285" s="30" t="n">
        <v>43800</v>
      </c>
      <c r="W285" s="35" t="n">
        <v>-0.3264550264550264</v>
      </c>
      <c r="X285" s="35" t="n">
        <v>1.906392694063927</v>
      </c>
      <c r="Y285" s="30" t="n">
        <v>95312200</v>
      </c>
      <c r="Z285" s="30" t="n">
        <v>12133243060000</v>
      </c>
      <c r="AA285" s="30" t="n">
        <v>244451516700</v>
      </c>
      <c r="AB285" s="30" t="n">
        <v>189054831535</v>
      </c>
      <c r="AC285" s="35" t="n">
        <v>0.020147252922501</v>
      </c>
      <c r="AD285" s="24" t="inlineStr">
        <is>
          <t>yfinance_download</t>
        </is>
      </c>
      <c r="AE285" s="24" t="inlineStr">
        <is>
          <t>042700.KS</t>
        </is>
      </c>
    </row>
    <row r="286" ht="24" customHeight="1">
      <c r="A286" s="29" t="inlineStr">
        <is>
          <t>2024-08-02</t>
        </is>
      </c>
      <c r="B286" s="31" t="n">
        <v>119100</v>
      </c>
      <c r="C286" s="31" t="n">
        <v>121200</v>
      </c>
      <c r="D286" s="31" t="n">
        <v>115100</v>
      </c>
      <c r="E286" s="31" t="n">
        <v>115400</v>
      </c>
      <c r="F286" s="31" t="n">
        <v>114133.3125</v>
      </c>
      <c r="G286" s="31" t="n">
        <v>2054482</v>
      </c>
      <c r="H286" s="36" t="n">
        <v>-0.09347996857816188</v>
      </c>
      <c r="I286" s="36" t="n">
        <v>-0.3894179894179894</v>
      </c>
      <c r="J286" s="31" t="n">
        <v>147385</v>
      </c>
      <c r="K286" s="31" t="n">
        <v>156671.6666666667</v>
      </c>
      <c r="L286" s="31" t="n">
        <v>133738.3333333333</v>
      </c>
      <c r="M286" s="36" t="n">
        <v>0.5429349440162969</v>
      </c>
      <c r="N286" s="36" t="n">
        <v>0.5761240223394083</v>
      </c>
      <c r="O286" s="36" t="n">
        <v>-0.3022974607013301</v>
      </c>
      <c r="P286" s="36" t="n">
        <v>-0.1803977272727273</v>
      </c>
      <c r="Q286" s="36" t="n">
        <v>0.8918032786885246</v>
      </c>
      <c r="R286" s="36" t="n">
        <v>-0.2170166570546528</v>
      </c>
      <c r="S286" s="36" t="n">
        <v>-0.2634277629437358</v>
      </c>
      <c r="T286" s="36" t="n">
        <v>-0.1371209949777551</v>
      </c>
      <c r="U286" s="31" t="n">
        <v>189000</v>
      </c>
      <c r="V286" s="31" t="n">
        <v>43800</v>
      </c>
      <c r="W286" s="36" t="n">
        <v>-0.3894179894179894</v>
      </c>
      <c r="X286" s="36" t="n">
        <v>1.634703196347032</v>
      </c>
      <c r="Y286" s="31" t="n">
        <v>95312200</v>
      </c>
      <c r="Z286" s="31" t="n">
        <v>10999027880000</v>
      </c>
      <c r="AA286" s="31" t="n">
        <v>237087222800</v>
      </c>
      <c r="AB286" s="31" t="n">
        <v>184486196635</v>
      </c>
      <c r="AC286" s="36" t="n">
        <v>0.02155528882976156</v>
      </c>
      <c r="AD286" s="29" t="inlineStr">
        <is>
          <t>yfinance_download</t>
        </is>
      </c>
      <c r="AE286" s="29" t="inlineStr">
        <is>
          <t>042700.KS</t>
        </is>
      </c>
    </row>
    <row r="287" ht="24" customHeight="1">
      <c r="A287" s="24" t="inlineStr">
        <is>
          <t>2024-08-05</t>
        </is>
      </c>
      <c r="B287" s="30" t="n">
        <v>112500</v>
      </c>
      <c r="C287" s="30" t="n">
        <v>114500</v>
      </c>
      <c r="D287" s="30" t="n">
        <v>98100</v>
      </c>
      <c r="E287" s="30" t="n">
        <v>102600</v>
      </c>
      <c r="F287" s="30" t="n">
        <v>101473.8125</v>
      </c>
      <c r="G287" s="30" t="n">
        <v>2438987</v>
      </c>
      <c r="H287" s="35" t="n">
        <v>-0.1109185441941074</v>
      </c>
      <c r="I287" s="35" t="n">
        <v>-0.4571428571428572</v>
      </c>
      <c r="J287" s="30" t="n">
        <v>144390</v>
      </c>
      <c r="K287" s="30" t="n">
        <v>156021.6666666667</v>
      </c>
      <c r="L287" s="30" t="n">
        <v>134090</v>
      </c>
      <c r="M287" s="35" t="n">
        <v>0.6366399726509178</v>
      </c>
      <c r="N287" s="35" t="n">
        <v>0.6170166541429675</v>
      </c>
      <c r="O287" s="35" t="n">
        <v>-0.3686153846153846</v>
      </c>
      <c r="P287" s="35" t="n">
        <v>-0.2754237288135594</v>
      </c>
      <c r="Q287" s="35" t="n">
        <v>0.6986754966887416</v>
      </c>
      <c r="R287" s="35" t="n">
        <v>-0.2894244753791814</v>
      </c>
      <c r="S287" s="35" t="n">
        <v>-0.3423990257763344</v>
      </c>
      <c r="T287" s="35" t="n">
        <v>-0.2348422701170856</v>
      </c>
      <c r="U287" s="30" t="n">
        <v>189000</v>
      </c>
      <c r="V287" s="30" t="n">
        <v>43800</v>
      </c>
      <c r="W287" s="35" t="n">
        <v>-0.4571428571428572</v>
      </c>
      <c r="X287" s="35" t="n">
        <v>1.342465753424658</v>
      </c>
      <c r="Y287" s="30" t="n">
        <v>95312200</v>
      </c>
      <c r="Z287" s="30" t="n">
        <v>9779031720000</v>
      </c>
      <c r="AA287" s="30" t="n">
        <v>250240066200</v>
      </c>
      <c r="AB287" s="30" t="n">
        <v>190627541820</v>
      </c>
      <c r="AC287" s="35" t="n">
        <v>0.0255894523471287</v>
      </c>
      <c r="AD287" s="24" t="inlineStr">
        <is>
          <t>yfinance_download</t>
        </is>
      </c>
      <c r="AE287" s="24" t="inlineStr">
        <is>
          <t>042700.KS</t>
        </is>
      </c>
    </row>
    <row r="288" ht="24" customHeight="1">
      <c r="A288" s="29" t="inlineStr">
        <is>
          <t>2024-08-06</t>
        </is>
      </c>
      <c r="B288" s="31" t="n">
        <v>107500</v>
      </c>
      <c r="C288" s="31" t="n">
        <v>111000</v>
      </c>
      <c r="D288" s="31" t="n">
        <v>105300</v>
      </c>
      <c r="E288" s="31" t="n">
        <v>107600</v>
      </c>
      <c r="F288" s="31" t="n">
        <v>106418.9296875</v>
      </c>
      <c r="G288" s="31" t="n">
        <v>2072809</v>
      </c>
      <c r="H288" s="36" t="n">
        <v>0.04873294346978563</v>
      </c>
      <c r="I288" s="36" t="n">
        <v>-0.4306878306878307</v>
      </c>
      <c r="J288" s="31" t="n">
        <v>141565</v>
      </c>
      <c r="K288" s="31" t="n">
        <v>155496.6666666667</v>
      </c>
      <c r="L288" s="31" t="n">
        <v>134332.5</v>
      </c>
      <c r="M288" s="36" t="n">
        <v>0.6761303812241971</v>
      </c>
      <c r="N288" s="36" t="n">
        <v>0.6259552293836937</v>
      </c>
      <c r="O288" s="36" t="n">
        <v>-0.34430225472273</v>
      </c>
      <c r="P288" s="36" t="n">
        <v>-0.2264557872034507</v>
      </c>
      <c r="Q288" s="36" t="n">
        <v>0.3707006369426751</v>
      </c>
      <c r="R288" s="36" t="n">
        <v>-0.2399251227351393</v>
      </c>
      <c r="S288" s="36" t="n">
        <v>-0.3080237518489142</v>
      </c>
      <c r="T288" s="36" t="n">
        <v>-0.1990024752014591</v>
      </c>
      <c r="U288" s="31" t="n">
        <v>189000</v>
      </c>
      <c r="V288" s="31" t="n">
        <v>45600</v>
      </c>
      <c r="W288" s="36" t="n">
        <v>-0.4306878306878307</v>
      </c>
      <c r="X288" s="36" t="n">
        <v>1.359649122807018</v>
      </c>
      <c r="Y288" s="31" t="n">
        <v>95312200</v>
      </c>
      <c r="Z288" s="31" t="n">
        <v>10255592720000</v>
      </c>
      <c r="AA288" s="31" t="n">
        <v>223034248400</v>
      </c>
      <c r="AB288" s="31" t="n">
        <v>194805808330</v>
      </c>
      <c r="AC288" s="36" t="n">
        <v>0.02174757271367149</v>
      </c>
      <c r="AD288" s="29" t="inlineStr">
        <is>
          <t>yfinance_download</t>
        </is>
      </c>
      <c r="AE288" s="29" t="inlineStr">
        <is>
          <t>042700.KS</t>
        </is>
      </c>
    </row>
    <row r="289" ht="24" customHeight="1">
      <c r="A289" s="24" t="inlineStr">
        <is>
          <t>2024-08-07</t>
        </is>
      </c>
      <c r="B289" s="30" t="n">
        <v>106400</v>
      </c>
      <c r="C289" s="30" t="n">
        <v>110400</v>
      </c>
      <c r="D289" s="30" t="n">
        <v>102000</v>
      </c>
      <c r="E289" s="30" t="n">
        <v>107900</v>
      </c>
      <c r="F289" s="30" t="n">
        <v>106715.6328125</v>
      </c>
      <c r="G289" s="30" t="n">
        <v>1962624</v>
      </c>
      <c r="H289" s="35" t="n">
        <v>0.002788104089219257</v>
      </c>
      <c r="I289" s="35" t="n">
        <v>-0.4291005291005291</v>
      </c>
      <c r="J289" s="30" t="n">
        <v>138840</v>
      </c>
      <c r="K289" s="30" t="n">
        <v>154966.6666666667</v>
      </c>
      <c r="L289" s="30" t="n">
        <v>134556.6666666667</v>
      </c>
      <c r="M289" s="35" t="n">
        <v>0.680213992542657</v>
      </c>
      <c r="N289" s="35" t="n">
        <v>0.625881716872821</v>
      </c>
      <c r="O289" s="35" t="n">
        <v>-0.3355911330049262</v>
      </c>
      <c r="P289" s="35" t="n">
        <v>-0.227630637079456</v>
      </c>
      <c r="Q289" s="35" t="n">
        <v>0.3320987654320988</v>
      </c>
      <c r="R289" s="35" t="n">
        <v>-0.2228464419475655</v>
      </c>
      <c r="S289" s="35" t="n">
        <v>-0.303721230372123</v>
      </c>
      <c r="T289" s="35" t="n">
        <v>-0.1981073649267966</v>
      </c>
      <c r="U289" s="30" t="n">
        <v>189000</v>
      </c>
      <c r="V289" s="30" t="n">
        <v>45600</v>
      </c>
      <c r="W289" s="35" t="n">
        <v>-0.4291005291005291</v>
      </c>
      <c r="X289" s="35" t="n">
        <v>1.366228070175439</v>
      </c>
      <c r="Y289" s="30" t="n">
        <v>95312200</v>
      </c>
      <c r="Z289" s="30" t="n">
        <v>10284186380000</v>
      </c>
      <c r="AA289" s="30" t="n">
        <v>211767129600</v>
      </c>
      <c r="AB289" s="30" t="n">
        <v>199820954090</v>
      </c>
      <c r="AC289" s="35" t="n">
        <v>0.02059152973071653</v>
      </c>
      <c r="AD289" s="24" t="inlineStr">
        <is>
          <t>yfinance_download</t>
        </is>
      </c>
      <c r="AE289" s="24" t="inlineStr">
        <is>
          <t>042700.KS</t>
        </is>
      </c>
    </row>
    <row r="290" ht="24" customHeight="1">
      <c r="A290" s="29" t="inlineStr">
        <is>
          <t>2024-08-08</t>
        </is>
      </c>
      <c r="B290" s="31" t="n">
        <v>103100</v>
      </c>
      <c r="C290" s="31" t="n">
        <v>106300</v>
      </c>
      <c r="D290" s="31" t="n">
        <v>102400</v>
      </c>
      <c r="E290" s="31" t="n">
        <v>104900</v>
      </c>
      <c r="F290" s="31" t="n">
        <v>103748.5703125</v>
      </c>
      <c r="G290" s="31" t="n">
        <v>1006558</v>
      </c>
      <c r="H290" s="36" t="n">
        <v>-0.02780352177942536</v>
      </c>
      <c r="I290" s="36" t="n">
        <v>-0.444973544973545</v>
      </c>
      <c r="J290" s="31" t="n">
        <v>136035</v>
      </c>
      <c r="K290" s="31" t="n">
        <v>154351.6666666667</v>
      </c>
      <c r="L290" s="31" t="n">
        <v>134772.5</v>
      </c>
      <c r="M290" s="36" t="n">
        <v>0.6796130541527076</v>
      </c>
      <c r="N290" s="36" t="n">
        <v>0.6266133129538408</v>
      </c>
      <c r="O290" s="36" t="n">
        <v>-0.3484472049689441</v>
      </c>
      <c r="P290" s="36" t="n">
        <v>-0.2602256699576869</v>
      </c>
      <c r="Q290" s="36" t="n">
        <v>0.3278481012658228</v>
      </c>
      <c r="R290" s="36" t="n">
        <v>-0.2288749218951005</v>
      </c>
      <c r="S290" s="36" t="n">
        <v>-0.3203831078381617</v>
      </c>
      <c r="T290" s="36" t="n">
        <v>-0.2216513012669499</v>
      </c>
      <c r="U290" s="31" t="n">
        <v>189000</v>
      </c>
      <c r="V290" s="31" t="n">
        <v>45600</v>
      </c>
      <c r="W290" s="36" t="n">
        <v>-0.444973544973545</v>
      </c>
      <c r="X290" s="36" t="n">
        <v>1.300438596491228</v>
      </c>
      <c r="Y290" s="31" t="n">
        <v>95312200</v>
      </c>
      <c r="Z290" s="31" t="n">
        <v>9998249780000</v>
      </c>
      <c r="AA290" s="31" t="n">
        <v>105587934200</v>
      </c>
      <c r="AB290" s="31" t="n">
        <v>197127703250</v>
      </c>
      <c r="AC290" s="36" t="n">
        <v>0.01056064176464293</v>
      </c>
      <c r="AD290" s="29" t="inlineStr">
        <is>
          <t>yfinance_download</t>
        </is>
      </c>
      <c r="AE290" s="29" t="inlineStr">
        <is>
          <t>042700.KS</t>
        </is>
      </c>
    </row>
    <row r="291" ht="24" customHeight="1">
      <c r="A291" s="24" t="inlineStr">
        <is>
          <t>2024-08-09</t>
        </is>
      </c>
      <c r="B291" s="30" t="n">
        <v>110900</v>
      </c>
      <c r="C291" s="30" t="n">
        <v>114600</v>
      </c>
      <c r="D291" s="30" t="n">
        <v>107300</v>
      </c>
      <c r="E291" s="30" t="n">
        <v>108500</v>
      </c>
      <c r="F291" s="30" t="n">
        <v>107309.0546875</v>
      </c>
      <c r="G291" s="30" t="n">
        <v>1644085</v>
      </c>
      <c r="H291" s="35" t="n">
        <v>0.03431839847473794</v>
      </c>
      <c r="I291" s="35" t="n">
        <v>-0.4259259259259259</v>
      </c>
      <c r="J291" s="30" t="n">
        <v>133435</v>
      </c>
      <c r="K291" s="30" t="n">
        <v>153758.3333333333</v>
      </c>
      <c r="L291" s="30" t="n">
        <v>135051.6666666667</v>
      </c>
      <c r="M291" s="35" t="n">
        <v>0.7046898278298125</v>
      </c>
      <c r="N291" s="35" t="n">
        <v>0.630224485247366</v>
      </c>
      <c r="O291" s="35" t="n">
        <v>-0.32398753894081</v>
      </c>
      <c r="P291" s="35" t="n">
        <v>-0.2470506592643997</v>
      </c>
      <c r="Q291" s="35" t="n">
        <v>0.4466666666666668</v>
      </c>
      <c r="R291" s="35" t="n">
        <v>-0.1868700116161427</v>
      </c>
      <c r="S291" s="35" t="n">
        <v>-0.2943471898542085</v>
      </c>
      <c r="T291" s="35" t="n">
        <v>-0.1966037689279411</v>
      </c>
      <c r="U291" s="30" t="n">
        <v>189000</v>
      </c>
      <c r="V291" s="30" t="n">
        <v>45600</v>
      </c>
      <c r="W291" s="35" t="n">
        <v>-0.4259259259259259</v>
      </c>
      <c r="X291" s="35" t="n">
        <v>1.379385964912281</v>
      </c>
      <c r="Y291" s="30" t="n">
        <v>95312200</v>
      </c>
      <c r="Z291" s="30" t="n">
        <v>10341373700000</v>
      </c>
      <c r="AA291" s="30" t="n">
        <v>178383222500</v>
      </c>
      <c r="AB291" s="30" t="n">
        <v>198351611625</v>
      </c>
      <c r="AC291" s="35" t="n">
        <v>0.01724947068685856</v>
      </c>
      <c r="AD291" s="24" t="inlineStr">
        <is>
          <t>yfinance_download</t>
        </is>
      </c>
      <c r="AE291" s="24" t="inlineStr">
        <is>
          <t>042700.KS</t>
        </is>
      </c>
    </row>
    <row r="292" ht="24" customHeight="1">
      <c r="A292" s="29" t="inlineStr">
        <is>
          <t>2024-08-12</t>
        </is>
      </c>
      <c r="B292" s="31" t="n">
        <v>109100</v>
      </c>
      <c r="C292" s="31" t="n">
        <v>119300</v>
      </c>
      <c r="D292" s="31" t="n">
        <v>109000</v>
      </c>
      <c r="E292" s="31" t="n">
        <v>114200</v>
      </c>
      <c r="F292" s="31" t="n">
        <v>112946.484375</v>
      </c>
      <c r="G292" s="31" t="n">
        <v>2225144</v>
      </c>
      <c r="H292" s="36" t="n">
        <v>0.05253456221198149</v>
      </c>
      <c r="I292" s="36" t="n">
        <v>-0.3957671957671958</v>
      </c>
      <c r="J292" s="31" t="n">
        <v>131250</v>
      </c>
      <c r="K292" s="31" t="n">
        <v>153330</v>
      </c>
      <c r="L292" s="31" t="n">
        <v>135375</v>
      </c>
      <c r="M292" s="36" t="n">
        <v>0.7484484296557319</v>
      </c>
      <c r="N292" s="36" t="n">
        <v>0.6384468674621709</v>
      </c>
      <c r="O292" s="36" t="n">
        <v>-0.2767574414186194</v>
      </c>
      <c r="P292" s="36" t="n">
        <v>-0.1837026447462473</v>
      </c>
      <c r="Q292" s="36" t="n">
        <v>0.5145888594164456</v>
      </c>
      <c r="R292" s="36" t="n">
        <v>-0.1299047619047619</v>
      </c>
      <c r="S292" s="36" t="n">
        <v>-0.2552012000260875</v>
      </c>
      <c r="T292" s="36" t="n">
        <v>-0.1564173591874423</v>
      </c>
      <c r="U292" s="31" t="n">
        <v>189000</v>
      </c>
      <c r="V292" s="31" t="n">
        <v>45600</v>
      </c>
      <c r="W292" s="36" t="n">
        <v>-0.3957671957671958</v>
      </c>
      <c r="X292" s="36" t="n">
        <v>1.504385964912281</v>
      </c>
      <c r="Y292" s="31" t="n">
        <v>95312200</v>
      </c>
      <c r="Z292" s="31" t="n">
        <v>10884653240000</v>
      </c>
      <c r="AA292" s="31" t="n">
        <v>254111444800</v>
      </c>
      <c r="AB292" s="31" t="n">
        <v>205808398385</v>
      </c>
      <c r="AC292" s="36" t="n">
        <v>0.02334584659676306</v>
      </c>
      <c r="AD292" s="29" t="inlineStr">
        <is>
          <t>yfinance_download</t>
        </is>
      </c>
      <c r="AE292" s="29" t="inlineStr">
        <is>
          <t>042700.KS</t>
        </is>
      </c>
    </row>
    <row r="293" ht="24" customHeight="1">
      <c r="A293" s="24" t="inlineStr">
        <is>
          <t>2024-08-13</t>
        </is>
      </c>
      <c r="B293" s="30" t="n">
        <v>117100</v>
      </c>
      <c r="C293" s="30" t="n">
        <v>117700</v>
      </c>
      <c r="D293" s="30" t="n">
        <v>112000</v>
      </c>
      <c r="E293" s="30" t="n">
        <v>113200</v>
      </c>
      <c r="F293" s="30" t="n">
        <v>111957.4609375</v>
      </c>
      <c r="G293" s="30" t="n">
        <v>1097379</v>
      </c>
      <c r="H293" s="35" t="n">
        <v>-0.008756567425569184</v>
      </c>
      <c r="I293" s="35" t="n">
        <v>-0.4010582010582011</v>
      </c>
      <c r="J293" s="30" t="n">
        <v>128505</v>
      </c>
      <c r="K293" s="30" t="n">
        <v>152861.6666666667</v>
      </c>
      <c r="L293" s="30" t="n">
        <v>135697.5</v>
      </c>
      <c r="M293" s="35" t="n">
        <v>0.687830492612896</v>
      </c>
      <c r="N293" s="35" t="n">
        <v>0.638025313625146</v>
      </c>
      <c r="O293" s="35" t="n">
        <v>-0.3265913146936348</v>
      </c>
      <c r="P293" s="35" t="n">
        <v>-0.1988676574663836</v>
      </c>
      <c r="Q293" s="35" t="n">
        <v>0.5194630872483221</v>
      </c>
      <c r="R293" s="35" t="n">
        <v>-0.1191004241080114</v>
      </c>
      <c r="S293" s="35" t="n">
        <v>-0.2594611685946988</v>
      </c>
      <c r="T293" s="35" t="n">
        <v>-0.1657915584295953</v>
      </c>
      <c r="U293" s="30" t="n">
        <v>189000</v>
      </c>
      <c r="V293" s="30" t="n">
        <v>45600</v>
      </c>
      <c r="W293" s="35" t="n">
        <v>-0.4010582010582011</v>
      </c>
      <c r="X293" s="35" t="n">
        <v>1.482456140350877</v>
      </c>
      <c r="Y293" s="30" t="n">
        <v>95312200</v>
      </c>
      <c r="Z293" s="30" t="n">
        <v>10789341040000</v>
      </c>
      <c r="AA293" s="30" t="n">
        <v>124223302800</v>
      </c>
      <c r="AB293" s="30" t="n">
        <v>194383595770</v>
      </c>
      <c r="AC293" s="35" t="n">
        <v>0.01151352082944261</v>
      </c>
      <c r="AD293" s="24" t="inlineStr">
        <is>
          <t>yfinance_download</t>
        </is>
      </c>
      <c r="AE293" s="24" t="inlineStr">
        <is>
          <t>042700.KS</t>
        </is>
      </c>
    </row>
    <row r="294" ht="24" customHeight="1">
      <c r="A294" s="29" t="inlineStr">
        <is>
          <t>2024-08-14</t>
        </is>
      </c>
      <c r="B294" s="31" t="n">
        <v>119300</v>
      </c>
      <c r="C294" s="31" t="n">
        <v>121200</v>
      </c>
      <c r="D294" s="31" t="n">
        <v>116600</v>
      </c>
      <c r="E294" s="31" t="n">
        <v>118500</v>
      </c>
      <c r="F294" s="31" t="n">
        <v>117199.28125</v>
      </c>
      <c r="G294" s="31" t="n">
        <v>1738957</v>
      </c>
      <c r="H294" s="36" t="n">
        <v>0.04681978798586584</v>
      </c>
      <c r="I294" s="36" t="n">
        <v>-0.373015873015873</v>
      </c>
      <c r="J294" s="31" t="n">
        <v>126460</v>
      </c>
      <c r="K294" s="31" t="n">
        <v>152500</v>
      </c>
      <c r="L294" s="31" t="n">
        <v>136064.1666666667</v>
      </c>
      <c r="M294" s="36" t="n">
        <v>0.7134427309201941</v>
      </c>
      <c r="N294" s="36" t="n">
        <v>0.6459994115493636</v>
      </c>
      <c r="O294" s="36" t="n">
        <v>-0.2565872020075283</v>
      </c>
      <c r="P294" s="36" t="n">
        <v>-0.1547788873038516</v>
      </c>
      <c r="Q294" s="36" t="n">
        <v>0.5906040268456376</v>
      </c>
      <c r="R294" s="36" t="n">
        <v>-0.06294480468132213</v>
      </c>
      <c r="S294" s="36" t="n">
        <v>-0.2229508196721312</v>
      </c>
      <c r="T294" s="36" t="n">
        <v>-0.1290873791164707</v>
      </c>
      <c r="U294" s="31" t="n">
        <v>189000</v>
      </c>
      <c r="V294" s="31" t="n">
        <v>45600</v>
      </c>
      <c r="W294" s="36" t="n">
        <v>-0.373015873015873</v>
      </c>
      <c r="X294" s="36" t="n">
        <v>1.598684210526316</v>
      </c>
      <c r="Y294" s="31" t="n">
        <v>95312200</v>
      </c>
      <c r="Z294" s="31" t="n">
        <v>11294495700000</v>
      </c>
      <c r="AA294" s="31" t="n">
        <v>206066404500</v>
      </c>
      <c r="AB294" s="31" t="n">
        <v>192317667275</v>
      </c>
      <c r="AC294" s="36" t="n">
        <v>0.01824485218051834</v>
      </c>
      <c r="AD294" s="29" t="inlineStr">
        <is>
          <t>yfinance_download</t>
        </is>
      </c>
      <c r="AE294" s="29" t="inlineStr">
        <is>
          <t>042700.KS</t>
        </is>
      </c>
    </row>
    <row r="295" ht="24" customHeight="1">
      <c r="A295" s="24" t="inlineStr">
        <is>
          <t>2024-08-16</t>
        </is>
      </c>
      <c r="B295" s="30" t="n">
        <v>123700</v>
      </c>
      <c r="C295" s="30" t="n">
        <v>129700</v>
      </c>
      <c r="D295" s="30" t="n">
        <v>123100</v>
      </c>
      <c r="E295" s="30" t="n">
        <v>127700</v>
      </c>
      <c r="F295" s="30" t="n">
        <v>126298.3046875</v>
      </c>
      <c r="G295" s="30" t="n">
        <v>2119325</v>
      </c>
      <c r="H295" s="35" t="n">
        <v>0.07763713080168766</v>
      </c>
      <c r="I295" s="35" t="n">
        <v>-0.3243386243386244</v>
      </c>
      <c r="J295" s="30" t="n">
        <v>125170</v>
      </c>
      <c r="K295" s="30" t="n">
        <v>152173.3333333333</v>
      </c>
      <c r="L295" s="30" t="n">
        <v>136531.6666666667</v>
      </c>
      <c r="M295" s="35" t="n">
        <v>0.7770516189147338</v>
      </c>
      <c r="N295" s="35" t="n">
        <v>0.6576551463662558</v>
      </c>
      <c r="O295" s="35" t="n">
        <v>-0.1680781758957655</v>
      </c>
      <c r="P295" s="35" t="n">
        <v>-0.13306177868296</v>
      </c>
      <c r="Q295" s="35" t="n">
        <v>0.7835195530726258</v>
      </c>
      <c r="R295" s="35" t="n">
        <v>0.02021251098506038</v>
      </c>
      <c r="S295" s="35" t="n">
        <v>-0.1608253745728556</v>
      </c>
      <c r="T295" s="35" t="n">
        <v>-0.06468584821592049</v>
      </c>
      <c r="U295" s="30" t="n">
        <v>189000</v>
      </c>
      <c r="V295" s="30" t="n">
        <v>45600</v>
      </c>
      <c r="W295" s="35" t="n">
        <v>-0.3243386243386244</v>
      </c>
      <c r="X295" s="35" t="n">
        <v>1.800438596491228</v>
      </c>
      <c r="Y295" s="30" t="n">
        <v>95312200</v>
      </c>
      <c r="Z295" s="30" t="n">
        <v>12171367940000</v>
      </c>
      <c r="AA295" s="30" t="n">
        <v>270637802500</v>
      </c>
      <c r="AB295" s="30" t="n">
        <v>195729716850</v>
      </c>
      <c r="AC295" s="35" t="n">
        <v>0.02223561097110338</v>
      </c>
      <c r="AD295" s="24" t="inlineStr">
        <is>
          <t>yfinance_download</t>
        </is>
      </c>
      <c r="AE295" s="24" t="inlineStr">
        <is>
          <t>042700.KS</t>
        </is>
      </c>
    </row>
    <row r="296" ht="24" customHeight="1">
      <c r="A296" s="29" t="inlineStr">
        <is>
          <t>2024-08-19</t>
        </is>
      </c>
      <c r="B296" s="31" t="n">
        <v>128000</v>
      </c>
      <c r="C296" s="31" t="n">
        <v>129000</v>
      </c>
      <c r="D296" s="31" t="n">
        <v>124600</v>
      </c>
      <c r="E296" s="31" t="n">
        <v>124900</v>
      </c>
      <c r="F296" s="31" t="n">
        <v>123529.0390625</v>
      </c>
      <c r="G296" s="31" t="n">
        <v>905341</v>
      </c>
      <c r="H296" s="36" t="n">
        <v>-0.02192638997650742</v>
      </c>
      <c r="I296" s="36" t="n">
        <v>-0.3391534391534392</v>
      </c>
      <c r="J296" s="31" t="n">
        <v>123865</v>
      </c>
      <c r="K296" s="31" t="n">
        <v>151815</v>
      </c>
      <c r="L296" s="31" t="n">
        <v>136935.8333333333</v>
      </c>
      <c r="M296" s="36" t="n">
        <v>0.7781068413252102</v>
      </c>
      <c r="N296" s="36" t="n">
        <v>0.6589233655446989</v>
      </c>
      <c r="O296" s="36" t="n">
        <v>-0.1728476821192053</v>
      </c>
      <c r="P296" s="36" t="n">
        <v>-0.1468579234972678</v>
      </c>
      <c r="Q296" s="36" t="n">
        <v>0.6348167539267016</v>
      </c>
      <c r="R296" s="36" t="n">
        <v>0.008355871311508389</v>
      </c>
      <c r="S296" s="36" t="n">
        <v>-0.1772881467575668</v>
      </c>
      <c r="T296" s="36" t="n">
        <v>-0.08789396493491486</v>
      </c>
      <c r="U296" s="31" t="n">
        <v>189000</v>
      </c>
      <c r="V296" s="31" t="n">
        <v>45600</v>
      </c>
      <c r="W296" s="36" t="n">
        <v>-0.3391534391534392</v>
      </c>
      <c r="X296" s="36" t="n">
        <v>1.739035087719298</v>
      </c>
      <c r="Y296" s="31" t="n">
        <v>95312200</v>
      </c>
      <c r="Z296" s="31" t="n">
        <v>11904493780000</v>
      </c>
      <c r="AA296" s="31" t="n">
        <v>113077090900</v>
      </c>
      <c r="AB296" s="31" t="n">
        <v>196517664345</v>
      </c>
      <c r="AC296" s="36" t="n">
        <v>0.009498689569645859</v>
      </c>
      <c r="AD296" s="29" t="inlineStr">
        <is>
          <t>yfinance_download</t>
        </is>
      </c>
      <c r="AE296" s="29" t="inlineStr">
        <is>
          <t>042700.KS</t>
        </is>
      </c>
    </row>
    <row r="297" ht="24" customHeight="1">
      <c r="A297" s="24" t="inlineStr">
        <is>
          <t>2024-08-20</t>
        </is>
      </c>
      <c r="B297" s="30" t="n">
        <v>128900</v>
      </c>
      <c r="C297" s="30" t="n">
        <v>129800</v>
      </c>
      <c r="D297" s="30" t="n">
        <v>125400</v>
      </c>
      <c r="E297" s="30" t="n">
        <v>125500</v>
      </c>
      <c r="F297" s="30" t="n">
        <v>124122.453125</v>
      </c>
      <c r="G297" s="30" t="n">
        <v>854630</v>
      </c>
      <c r="H297" s="35" t="n">
        <v>0.004803843074459468</v>
      </c>
      <c r="I297" s="35" t="n">
        <v>-0.3359788359788359</v>
      </c>
      <c r="J297" s="30" t="n">
        <v>122870</v>
      </c>
      <c r="K297" s="30" t="n">
        <v>151445</v>
      </c>
      <c r="L297" s="30" t="n">
        <v>137366.6666666667</v>
      </c>
      <c r="M297" s="35" t="n">
        <v>0.7717184191923129</v>
      </c>
      <c r="N297" s="35" t="n">
        <v>0.6586943237475833</v>
      </c>
      <c r="O297" s="35" t="n">
        <v>-0.1368638239339752</v>
      </c>
      <c r="P297" s="35" t="n">
        <v>-0.1503046716316858</v>
      </c>
      <c r="Q297" s="35" t="n">
        <v>0.7005420054200542</v>
      </c>
      <c r="R297" s="35" t="n">
        <v>0.02140473671359966</v>
      </c>
      <c r="S297" s="35" t="n">
        <v>-0.1713163194559081</v>
      </c>
      <c r="T297" s="35" t="n">
        <v>-0.08638679932055315</v>
      </c>
      <c r="U297" s="30" t="n">
        <v>189000</v>
      </c>
      <c r="V297" s="30" t="n">
        <v>45600</v>
      </c>
      <c r="W297" s="35" t="n">
        <v>-0.3359788359788359</v>
      </c>
      <c r="X297" s="35" t="n">
        <v>1.75219298245614</v>
      </c>
      <c r="Y297" s="30" t="n">
        <v>95312200</v>
      </c>
      <c r="Z297" s="30" t="n">
        <v>11961681100000</v>
      </c>
      <c r="AA297" s="30" t="n">
        <v>107256065000</v>
      </c>
      <c r="AB297" s="30" t="n">
        <v>192630672115</v>
      </c>
      <c r="AC297" s="35" t="n">
        <v>0.008966638058926349</v>
      </c>
      <c r="AD297" s="24" t="inlineStr">
        <is>
          <t>yfinance_download</t>
        </is>
      </c>
      <c r="AE297" s="24" t="inlineStr">
        <is>
          <t>042700.KS</t>
        </is>
      </c>
    </row>
    <row r="298" ht="24" customHeight="1">
      <c r="A298" s="29" t="inlineStr">
        <is>
          <t>2024-08-21</t>
        </is>
      </c>
      <c r="B298" s="31" t="n">
        <v>123000</v>
      </c>
      <c r="C298" s="31" t="n">
        <v>126200</v>
      </c>
      <c r="D298" s="31" t="n">
        <v>121000</v>
      </c>
      <c r="E298" s="31" t="n">
        <v>124800</v>
      </c>
      <c r="F298" s="31" t="n">
        <v>123430.1328125</v>
      </c>
      <c r="G298" s="31" t="n">
        <v>621977</v>
      </c>
      <c r="H298" s="36" t="n">
        <v>-0.005577689243027928</v>
      </c>
      <c r="I298" s="36" t="n">
        <v>-0.3396825396825397</v>
      </c>
      <c r="J298" s="31" t="n">
        <v>121835</v>
      </c>
      <c r="K298" s="31" t="n">
        <v>150988.3333333333</v>
      </c>
      <c r="L298" s="31" t="n">
        <v>137759.1666666667</v>
      </c>
      <c r="M298" s="36" t="n">
        <v>0.7712988542454818</v>
      </c>
      <c r="N298" s="36" t="n">
        <v>0.6552718933933287</v>
      </c>
      <c r="O298" s="36" t="n">
        <v>-0.1422680412371135</v>
      </c>
      <c r="P298" s="36" t="n">
        <v>-0.1800262812089356</v>
      </c>
      <c r="Q298" s="36" t="n">
        <v>0.6061776061776061</v>
      </c>
      <c r="R298" s="36" t="n">
        <v>0.02433619239134899</v>
      </c>
      <c r="S298" s="36" t="n">
        <v>-0.1734460719923173</v>
      </c>
      <c r="T298" s="36" t="n">
        <v>-0.09407117493693695</v>
      </c>
      <c r="U298" s="31" t="n">
        <v>189000</v>
      </c>
      <c r="V298" s="31" t="n">
        <v>45600</v>
      </c>
      <c r="W298" s="36" t="n">
        <v>-0.3396825396825397</v>
      </c>
      <c r="X298" s="36" t="n">
        <v>1.736842105263158</v>
      </c>
      <c r="Y298" s="31" t="n">
        <v>95312200</v>
      </c>
      <c r="Z298" s="31" t="n">
        <v>11894962560000</v>
      </c>
      <c r="AA298" s="31" t="n">
        <v>77622729600</v>
      </c>
      <c r="AB298" s="31" t="n">
        <v>187824156370</v>
      </c>
      <c r="AC298" s="36" t="n">
        <v>0.00652568086771683</v>
      </c>
      <c r="AD298" s="29" t="inlineStr">
        <is>
          <t>yfinance_download</t>
        </is>
      </c>
      <c r="AE298" s="29" t="inlineStr">
        <is>
          <t>042700.KS</t>
        </is>
      </c>
    </row>
    <row r="299" ht="24" customHeight="1">
      <c r="A299" s="24" t="inlineStr">
        <is>
          <t>2024-08-22</t>
        </is>
      </c>
      <c r="B299" s="30" t="n">
        <v>125600</v>
      </c>
      <c r="C299" s="30" t="n">
        <v>126200</v>
      </c>
      <c r="D299" s="30" t="n">
        <v>118300</v>
      </c>
      <c r="E299" s="30" t="n">
        <v>120700</v>
      </c>
      <c r="F299" s="30" t="n">
        <v>119375.1328125</v>
      </c>
      <c r="G299" s="30" t="n">
        <v>906777</v>
      </c>
      <c r="H299" s="35" t="n">
        <v>-0.0328525641025641</v>
      </c>
      <c r="I299" s="35" t="n">
        <v>-0.3613756613756614</v>
      </c>
      <c r="J299" s="30" t="n">
        <v>120700</v>
      </c>
      <c r="K299" s="30" t="n">
        <v>150283.3333333333</v>
      </c>
      <c r="L299" s="30" t="n">
        <v>138075.8333333333</v>
      </c>
      <c r="M299" s="35" t="n">
        <v>0.7765658112719422</v>
      </c>
      <c r="N299" s="35" t="n">
        <v>0.6399497095507631</v>
      </c>
      <c r="O299" s="35" t="n">
        <v>-0.1582984658298466</v>
      </c>
      <c r="P299" s="35" t="n">
        <v>-0.2595092024539877</v>
      </c>
      <c r="Q299" s="35" t="n">
        <v>0.4594921402660217</v>
      </c>
      <c r="R299" s="35" t="n">
        <v>0</v>
      </c>
      <c r="S299" s="35" t="n">
        <v>-0.1968503937007875</v>
      </c>
      <c r="T299" s="35" t="n">
        <v>-0.1258426830666723</v>
      </c>
      <c r="U299" s="30" t="n">
        <v>189000</v>
      </c>
      <c r="V299" s="30" t="n">
        <v>45600</v>
      </c>
      <c r="W299" s="35" t="n">
        <v>-0.3613756613756614</v>
      </c>
      <c r="X299" s="35" t="n">
        <v>1.646929824561404</v>
      </c>
      <c r="Y299" s="30" t="n">
        <v>95312200</v>
      </c>
      <c r="Z299" s="30" t="n">
        <v>11504182540000</v>
      </c>
      <c r="AA299" s="30" t="n">
        <v>109447983900</v>
      </c>
      <c r="AB299" s="30" t="n">
        <v>185339927695</v>
      </c>
      <c r="AC299" s="35" t="n">
        <v>0.009513755846575779</v>
      </c>
      <c r="AD299" s="24" t="inlineStr">
        <is>
          <t>yfinance_download</t>
        </is>
      </c>
      <c r="AE299" s="24" t="inlineStr">
        <is>
          <t>042700.KS</t>
        </is>
      </c>
    </row>
    <row r="300" ht="24" customHeight="1">
      <c r="A300" s="29" t="inlineStr">
        <is>
          <t>2024-08-23</t>
        </is>
      </c>
      <c r="B300" s="31" t="n">
        <v>117400</v>
      </c>
      <c r="C300" s="31" t="n">
        <v>118900</v>
      </c>
      <c r="D300" s="31" t="n">
        <v>116800</v>
      </c>
      <c r="E300" s="31" t="n">
        <v>117800</v>
      </c>
      <c r="F300" s="31" t="n">
        <v>116506.96875</v>
      </c>
      <c r="G300" s="31" t="n">
        <v>665017</v>
      </c>
      <c r="H300" s="36" t="n">
        <v>-0.02402651201325601</v>
      </c>
      <c r="I300" s="36" t="n">
        <v>-0.3767195767195767</v>
      </c>
      <c r="J300" s="31" t="n">
        <v>119815</v>
      </c>
      <c r="K300" s="31" t="n">
        <v>149426.6666666667</v>
      </c>
      <c r="L300" s="31" t="n">
        <v>138306.6666666667</v>
      </c>
      <c r="M300" s="36" t="n">
        <v>0.7589005403431098</v>
      </c>
      <c r="N300" s="36" t="n">
        <v>0.6350793329686418</v>
      </c>
      <c r="O300" s="36" t="n">
        <v>-0.1306273062730627</v>
      </c>
      <c r="P300" s="36" t="n">
        <v>-0.3037825059101655</v>
      </c>
      <c r="Q300" s="36" t="n">
        <v>0.3074361820199778</v>
      </c>
      <c r="R300" s="36" t="n">
        <v>-0.01681759379042691</v>
      </c>
      <c r="S300" s="36" t="n">
        <v>-0.2116534308914071</v>
      </c>
      <c r="T300" s="36" t="n">
        <v>-0.148269545936566</v>
      </c>
      <c r="U300" s="31" t="n">
        <v>189000</v>
      </c>
      <c r="V300" s="31" t="n">
        <v>45600</v>
      </c>
      <c r="W300" s="36" t="n">
        <v>-0.3767195767195767</v>
      </c>
      <c r="X300" s="36" t="n">
        <v>1.583333333333333</v>
      </c>
      <c r="Y300" s="31" t="n">
        <v>95312200</v>
      </c>
      <c r="Z300" s="31" t="n">
        <v>11227777160000</v>
      </c>
      <c r="AA300" s="31" t="n">
        <v>78339002600</v>
      </c>
      <c r="AB300" s="31" t="n">
        <v>178220843200</v>
      </c>
      <c r="AC300" s="36" t="n">
        <v>0.006977249502162368</v>
      </c>
      <c r="AD300" s="29" t="inlineStr">
        <is>
          <t>yfinance_download</t>
        </is>
      </c>
      <c r="AE300" s="29" t="inlineStr">
        <is>
          <t>042700.KS</t>
        </is>
      </c>
    </row>
    <row r="301" ht="24" customHeight="1">
      <c r="A301" s="24" t="inlineStr">
        <is>
          <t>2024-08-26</t>
        </is>
      </c>
      <c r="B301" s="30" t="n">
        <v>120200</v>
      </c>
      <c r="C301" s="30" t="n">
        <v>120600</v>
      </c>
      <c r="D301" s="30" t="n">
        <v>115100</v>
      </c>
      <c r="E301" s="30" t="n">
        <v>115400</v>
      </c>
      <c r="F301" s="30" t="n">
        <v>114133.3125</v>
      </c>
      <c r="G301" s="30" t="n">
        <v>631347</v>
      </c>
      <c r="H301" s="35" t="n">
        <v>-0.02037351443123936</v>
      </c>
      <c r="I301" s="35" t="n">
        <v>-0.3894179894179894</v>
      </c>
      <c r="J301" s="30" t="n">
        <v>118710</v>
      </c>
      <c r="K301" s="30" t="n">
        <v>148595</v>
      </c>
      <c r="L301" s="30" t="n">
        <v>138561.6666666667</v>
      </c>
      <c r="M301" s="35" t="n">
        <v>0.7564796758692179</v>
      </c>
      <c r="N301" s="35" t="n">
        <v>0.6347821353538129</v>
      </c>
      <c r="O301" s="35" t="n">
        <v>-0.1607272727272727</v>
      </c>
      <c r="P301" s="35" t="n">
        <v>-0.3018753781004234</v>
      </c>
      <c r="Q301" s="35" t="n">
        <v>0.3608490566037736</v>
      </c>
      <c r="R301" s="35" t="n">
        <v>-0.02788307640468368</v>
      </c>
      <c r="S301" s="35" t="n">
        <v>-0.2233924425451731</v>
      </c>
      <c r="T301" s="35" t="n">
        <v>-0.1671578238329504</v>
      </c>
      <c r="U301" s="30" t="n">
        <v>189000</v>
      </c>
      <c r="V301" s="30" t="n">
        <v>48150</v>
      </c>
      <c r="W301" s="35" t="n">
        <v>-0.3894179894179894</v>
      </c>
      <c r="X301" s="35" t="n">
        <v>1.396677050882658</v>
      </c>
      <c r="Y301" s="30" t="n">
        <v>95312200</v>
      </c>
      <c r="Z301" s="30" t="n">
        <v>10999027880000</v>
      </c>
      <c r="AA301" s="30" t="n">
        <v>72857443800</v>
      </c>
      <c r="AB301" s="30" t="n">
        <v>173212978515</v>
      </c>
      <c r="AC301" s="35" t="n">
        <v>0.006623989373868193</v>
      </c>
      <c r="AD301" s="24" t="inlineStr">
        <is>
          <t>yfinance_download</t>
        </is>
      </c>
      <c r="AE301" s="24" t="inlineStr">
        <is>
          <t>042700.KS</t>
        </is>
      </c>
    </row>
    <row r="302" ht="24" customHeight="1">
      <c r="A302" s="29" t="inlineStr">
        <is>
          <t>2024-08-27</t>
        </is>
      </c>
      <c r="B302" s="31" t="n">
        <v>113200</v>
      </c>
      <c r="C302" s="31" t="n">
        <v>116800</v>
      </c>
      <c r="D302" s="31" t="n">
        <v>113000</v>
      </c>
      <c r="E302" s="31" t="n">
        <v>115100</v>
      </c>
      <c r="F302" s="31" t="n">
        <v>113836.609375</v>
      </c>
      <c r="G302" s="31" t="n">
        <v>529080</v>
      </c>
      <c r="H302" s="36" t="n">
        <v>-0.002599653379549371</v>
      </c>
      <c r="I302" s="36" t="n">
        <v>-0.391005291005291</v>
      </c>
      <c r="J302" s="31" t="n">
        <v>117595</v>
      </c>
      <c r="K302" s="31" t="n">
        <v>147818.3333333333</v>
      </c>
      <c r="L302" s="31" t="n">
        <v>138725.8333333333</v>
      </c>
      <c r="M302" s="36" t="n">
        <v>0.7562825280455137</v>
      </c>
      <c r="N302" s="36" t="n">
        <v>0.6338563894673769</v>
      </c>
      <c r="O302" s="36" t="n">
        <v>-0.1622998544395924</v>
      </c>
      <c r="P302" s="36" t="n">
        <v>-0.2881880024737168</v>
      </c>
      <c r="Q302" s="36" t="n">
        <v>0.2064989517819706</v>
      </c>
      <c r="R302" s="36" t="n">
        <v>-0.0212168884731494</v>
      </c>
      <c r="S302" s="36" t="n">
        <v>-0.2213415115400661</v>
      </c>
      <c r="T302" s="36" t="n">
        <v>-0.1703059391725886</v>
      </c>
      <c r="U302" s="31" t="n">
        <v>189000</v>
      </c>
      <c r="V302" s="31" t="n">
        <v>48450</v>
      </c>
      <c r="W302" s="36" t="n">
        <v>-0.391005291005291</v>
      </c>
      <c r="X302" s="36" t="n">
        <v>1.375644994840041</v>
      </c>
      <c r="Y302" s="31" t="n">
        <v>95312200</v>
      </c>
      <c r="Z302" s="31" t="n">
        <v>10970434220000</v>
      </c>
      <c r="AA302" s="31" t="n">
        <v>60897108000</v>
      </c>
      <c r="AB302" s="31" t="n">
        <v>171683959665</v>
      </c>
      <c r="AC302" s="36" t="n">
        <v>0.005551020750753839</v>
      </c>
      <c r="AD302" s="29" t="inlineStr">
        <is>
          <t>yfinance_download</t>
        </is>
      </c>
      <c r="AE302" s="29" t="inlineStr">
        <is>
          <t>042700.KS</t>
        </is>
      </c>
    </row>
    <row r="303" ht="24" customHeight="1">
      <c r="A303" s="24" t="inlineStr">
        <is>
          <t>2024-08-28</t>
        </is>
      </c>
      <c r="B303" s="30" t="n">
        <v>116000</v>
      </c>
      <c r="C303" s="30" t="n">
        <v>124200</v>
      </c>
      <c r="D303" s="30" t="n">
        <v>113600</v>
      </c>
      <c r="E303" s="30" t="n">
        <v>122800</v>
      </c>
      <c r="F303" s="30" t="n">
        <v>121452.0859375</v>
      </c>
      <c r="G303" s="30" t="n">
        <v>1442239</v>
      </c>
      <c r="H303" s="35" t="n">
        <v>0.06689834926151184</v>
      </c>
      <c r="I303" s="35" t="n">
        <v>-0.3502645502645503</v>
      </c>
      <c r="J303" s="30" t="n">
        <v>117300</v>
      </c>
      <c r="K303" s="30" t="n">
        <v>147420</v>
      </c>
      <c r="L303" s="30" t="n">
        <v>138959.1666666667</v>
      </c>
      <c r="M303" s="35" t="n">
        <v>0.7704216965110091</v>
      </c>
      <c r="N303" s="35" t="n">
        <v>0.6236582151843337</v>
      </c>
      <c r="O303" s="35" t="n">
        <v>-0.04584304584304588</v>
      </c>
      <c r="P303" s="35" t="n">
        <v>-0.1629175187457396</v>
      </c>
      <c r="Q303" s="35" t="n">
        <v>0.2953586497890295</v>
      </c>
      <c r="R303" s="35" t="n">
        <v>0.04688832054560965</v>
      </c>
      <c r="S303" s="35" t="n">
        <v>-0.1670058336725003</v>
      </c>
      <c r="T303" s="35" t="n">
        <v>-0.1162871586976989</v>
      </c>
      <c r="U303" s="30" t="n">
        <v>189000</v>
      </c>
      <c r="V303" s="30" t="n">
        <v>48450</v>
      </c>
      <c r="W303" s="35" t="n">
        <v>-0.3502645502645503</v>
      </c>
      <c r="X303" s="35" t="n">
        <v>1.534571723426212</v>
      </c>
      <c r="Y303" s="30" t="n">
        <v>95312200</v>
      </c>
      <c r="Z303" s="30" t="n">
        <v>11704338160000</v>
      </c>
      <c r="AA303" s="30" t="n">
        <v>177106949200</v>
      </c>
      <c r="AB303" s="30" t="n">
        <v>169057008440</v>
      </c>
      <c r="AC303" s="35" t="n">
        <v>0.01513173549661009</v>
      </c>
      <c r="AD303" s="24" t="inlineStr">
        <is>
          <t>yfinance_download</t>
        </is>
      </c>
      <c r="AE303" s="24" t="inlineStr">
        <is>
          <t>042700.KS</t>
        </is>
      </c>
    </row>
    <row r="304" ht="24" customHeight="1">
      <c r="A304" s="29" t="inlineStr">
        <is>
          <t>2024-08-29</t>
        </is>
      </c>
      <c r="B304" s="31" t="n">
        <v>114000</v>
      </c>
      <c r="C304" s="31" t="n">
        <v>114900</v>
      </c>
      <c r="D304" s="31" t="n">
        <v>111100</v>
      </c>
      <c r="E304" s="31" t="n">
        <v>111200</v>
      </c>
      <c r="F304" s="31" t="n">
        <v>109979.4140625</v>
      </c>
      <c r="G304" s="31" t="n">
        <v>1974828</v>
      </c>
      <c r="H304" s="36" t="n">
        <v>-0.09446254071661242</v>
      </c>
      <c r="I304" s="36" t="n">
        <v>-0.4116402116402117</v>
      </c>
      <c r="J304" s="31" t="n">
        <v>116300</v>
      </c>
      <c r="K304" s="31" t="n">
        <v>146796.6666666667</v>
      </c>
      <c r="L304" s="31" t="n">
        <v>139040.8333333333</v>
      </c>
      <c r="M304" s="36" t="n">
        <v>0.8334598636303725</v>
      </c>
      <c r="N304" s="36" t="n">
        <v>0.6507732691450904</v>
      </c>
      <c r="O304" s="36" t="n">
        <v>-0.1524390243902439</v>
      </c>
      <c r="P304" s="36" t="n">
        <v>-0.2516823687752355</v>
      </c>
      <c r="Q304" s="36" t="n">
        <v>0.096646942800789</v>
      </c>
      <c r="R304" s="36" t="n">
        <v>-0.0438521066208083</v>
      </c>
      <c r="S304" s="36" t="n">
        <v>-0.2424896114807329</v>
      </c>
      <c r="T304" s="36" t="n">
        <v>-0.2002349429723883</v>
      </c>
      <c r="U304" s="31" t="n">
        <v>189000</v>
      </c>
      <c r="V304" s="31" t="n">
        <v>48450</v>
      </c>
      <c r="W304" s="36" t="n">
        <v>-0.4116402116402117</v>
      </c>
      <c r="X304" s="36" t="n">
        <v>1.29514963880289</v>
      </c>
      <c r="Y304" s="31" t="n">
        <v>95312200</v>
      </c>
      <c r="Z304" s="31" t="n">
        <v>10598716640000</v>
      </c>
      <c r="AA304" s="31" t="n">
        <v>219600873600</v>
      </c>
      <c r="AB304" s="31" t="n">
        <v>166089777080</v>
      </c>
      <c r="AC304" s="36" t="n">
        <v>0.02071957210094825</v>
      </c>
      <c r="AD304" s="29" t="inlineStr">
        <is>
          <t>yfinance_download</t>
        </is>
      </c>
      <c r="AE304" s="29" t="inlineStr">
        <is>
          <t>042700.KS</t>
        </is>
      </c>
    </row>
    <row r="305" ht="24" customHeight="1">
      <c r="A305" s="24" t="inlineStr">
        <is>
          <t>2024-08-30</t>
        </is>
      </c>
      <c r="B305" s="30" t="n">
        <v>112300</v>
      </c>
      <c r="C305" s="30" t="n">
        <v>114500</v>
      </c>
      <c r="D305" s="30" t="n">
        <v>110900</v>
      </c>
      <c r="E305" s="30" t="n">
        <v>114500</v>
      </c>
      <c r="F305" s="30" t="n">
        <v>113243.1875</v>
      </c>
      <c r="G305" s="30" t="n">
        <v>1075656</v>
      </c>
      <c r="H305" s="35" t="n">
        <v>0.02967625899280568</v>
      </c>
      <c r="I305" s="35" t="n">
        <v>-0.3941798941798942</v>
      </c>
      <c r="J305" s="30" t="n">
        <v>115660</v>
      </c>
      <c r="K305" s="30" t="n">
        <v>146108.3333333333</v>
      </c>
      <c r="L305" s="30" t="n">
        <v>139172.5</v>
      </c>
      <c r="M305" s="35" t="n">
        <v>0.8385383156205969</v>
      </c>
      <c r="N305" s="35" t="n">
        <v>0.6454263911254962</v>
      </c>
      <c r="O305" s="35" t="n">
        <v>-0.1005498821681068</v>
      </c>
      <c r="P305" s="35" t="n">
        <v>-0.2650834403080873</v>
      </c>
      <c r="Q305" s="35" t="n">
        <v>0.160081053698075</v>
      </c>
      <c r="R305" s="35" t="n">
        <v>-0.0100293965070033</v>
      </c>
      <c r="S305" s="35" t="n">
        <v>-0.216334911310101</v>
      </c>
      <c r="T305" s="35" t="n">
        <v>-0.1772799942517379</v>
      </c>
      <c r="U305" s="30" t="n">
        <v>189000</v>
      </c>
      <c r="V305" s="30" t="n">
        <v>48450</v>
      </c>
      <c r="W305" s="35" t="n">
        <v>-0.3941798941798942</v>
      </c>
      <c r="X305" s="35" t="n">
        <v>1.363261093911249</v>
      </c>
      <c r="Y305" s="30" t="n">
        <v>95312200</v>
      </c>
      <c r="Z305" s="30" t="n">
        <v>10913246900000</v>
      </c>
      <c r="AA305" s="30" t="n">
        <v>123162612000</v>
      </c>
      <c r="AB305" s="30" t="n">
        <v>160025331845</v>
      </c>
      <c r="AC305" s="35" t="n">
        <v>0.0112856066694505</v>
      </c>
      <c r="AD305" s="24" t="inlineStr">
        <is>
          <t>yfinance_download</t>
        </is>
      </c>
      <c r="AE305" s="24" t="inlineStr">
        <is>
          <t>042700.KS</t>
        </is>
      </c>
    </row>
    <row r="306" ht="24" customHeight="1">
      <c r="A306" s="29" t="inlineStr">
        <is>
          <t>2024-09-02</t>
        </is>
      </c>
      <c r="B306" s="31" t="n">
        <v>114100</v>
      </c>
      <c r="C306" s="31" t="n">
        <v>114200</v>
      </c>
      <c r="D306" s="31" t="n">
        <v>110700</v>
      </c>
      <c r="E306" s="31" t="n">
        <v>111400</v>
      </c>
      <c r="F306" s="31" t="n">
        <v>110177.21875</v>
      </c>
      <c r="G306" s="31" t="n">
        <v>746626</v>
      </c>
      <c r="H306" s="36" t="n">
        <v>-0.02707423580786028</v>
      </c>
      <c r="I306" s="36" t="n">
        <v>-0.4105820105820106</v>
      </c>
      <c r="J306" s="31" t="n">
        <v>115460</v>
      </c>
      <c r="K306" s="31" t="n">
        <v>145351.6666666667</v>
      </c>
      <c r="L306" s="31" t="n">
        <v>139266.6666666667</v>
      </c>
      <c r="M306" s="36" t="n">
        <v>0.7752186567138123</v>
      </c>
      <c r="N306" s="36" t="n">
        <v>0.6466986542386135</v>
      </c>
      <c r="O306" s="36" t="n">
        <v>-0.03466204506065862</v>
      </c>
      <c r="P306" s="36" t="n">
        <v>-0.2895408163265306</v>
      </c>
      <c r="Q306" s="36" t="n">
        <v>0.112887112887113</v>
      </c>
      <c r="R306" s="36" t="n">
        <v>-0.03516369305387146</v>
      </c>
      <c r="S306" s="36" t="n">
        <v>-0.233582919585832</v>
      </c>
      <c r="T306" s="36" t="n">
        <v>-0.2000957395883197</v>
      </c>
      <c r="U306" s="31" t="n">
        <v>189000</v>
      </c>
      <c r="V306" s="31" t="n">
        <v>48450</v>
      </c>
      <c r="W306" s="36" t="n">
        <v>-0.4105820105820106</v>
      </c>
      <c r="X306" s="36" t="n">
        <v>1.299277605779154</v>
      </c>
      <c r="Y306" s="31" t="n">
        <v>95312200</v>
      </c>
      <c r="Z306" s="31" t="n">
        <v>10617779080000</v>
      </c>
      <c r="AA306" s="31" t="n">
        <v>83174136400</v>
      </c>
      <c r="AB306" s="31" t="n">
        <v>152329677525</v>
      </c>
      <c r="AC306" s="36" t="n">
        <v>0.007833477770946427</v>
      </c>
      <c r="AD306" s="29" t="inlineStr">
        <is>
          <t>yfinance_download</t>
        </is>
      </c>
      <c r="AE306" s="29" t="inlineStr">
        <is>
          <t>042700.KS</t>
        </is>
      </c>
    </row>
    <row r="307" ht="24" customHeight="1">
      <c r="A307" s="24" t="inlineStr">
        <is>
          <t>2024-09-03</t>
        </is>
      </c>
      <c r="B307" s="30" t="n">
        <v>111100</v>
      </c>
      <c r="C307" s="30" t="n">
        <v>112200</v>
      </c>
      <c r="D307" s="30" t="n">
        <v>108000</v>
      </c>
      <c r="E307" s="30" t="n">
        <v>108600</v>
      </c>
      <c r="F307" s="30" t="n">
        <v>107407.9453125</v>
      </c>
      <c r="G307" s="30" t="n">
        <v>661268</v>
      </c>
      <c r="H307" s="35" t="n">
        <v>-0.0251346499102334</v>
      </c>
      <c r="I307" s="35" t="n">
        <v>-0.4253968253968254</v>
      </c>
      <c r="J307" s="30" t="n">
        <v>115760</v>
      </c>
      <c r="K307" s="30" t="n">
        <v>144495</v>
      </c>
      <c r="L307" s="30" t="n">
        <v>139360</v>
      </c>
      <c r="M307" s="35" t="n">
        <v>0.6653352923798577</v>
      </c>
      <c r="N307" s="35" t="n">
        <v>0.6458325646553248</v>
      </c>
      <c r="O307" s="35" t="n">
        <v>0.0584795321637428</v>
      </c>
      <c r="P307" s="35" t="n">
        <v>-0.32125</v>
      </c>
      <c r="Q307" s="35" t="n">
        <v>0.1149897330595482</v>
      </c>
      <c r="R307" s="35" t="n">
        <v>-0.06185210780926054</v>
      </c>
      <c r="S307" s="35" t="n">
        <v>-0.2484169002387626</v>
      </c>
      <c r="T307" s="35" t="n">
        <v>-0.220723306544202</v>
      </c>
      <c r="U307" s="30" t="n">
        <v>189000</v>
      </c>
      <c r="V307" s="30" t="n">
        <v>48450</v>
      </c>
      <c r="W307" s="35" t="n">
        <v>-0.4253968253968254</v>
      </c>
      <c r="X307" s="35" t="n">
        <v>1.241486068111455</v>
      </c>
      <c r="Y307" s="30" t="n">
        <v>95312200</v>
      </c>
      <c r="Z307" s="30" t="n">
        <v>10350904920000</v>
      </c>
      <c r="AA307" s="30" t="n">
        <v>71813704800</v>
      </c>
      <c r="AB307" s="30" t="n">
        <v>143408359455</v>
      </c>
      <c r="AC307" s="35" t="n">
        <v>0.006937915607865519</v>
      </c>
      <c r="AD307" s="24" t="inlineStr">
        <is>
          <t>yfinance_download</t>
        </is>
      </c>
      <c r="AE307" s="24" t="inlineStr">
        <is>
          <t>042700.KS</t>
        </is>
      </c>
    </row>
    <row r="308" ht="24" customHeight="1">
      <c r="A308" s="29" t="inlineStr">
        <is>
          <t>2024-09-04</t>
        </is>
      </c>
      <c r="B308" s="31" t="n">
        <v>100000</v>
      </c>
      <c r="C308" s="31" t="n">
        <v>102400</v>
      </c>
      <c r="D308" s="31" t="n">
        <v>98900</v>
      </c>
      <c r="E308" s="31" t="n">
        <v>101000</v>
      </c>
      <c r="F308" s="31" t="n">
        <v>99891.375</v>
      </c>
      <c r="G308" s="31" t="n">
        <v>1229958</v>
      </c>
      <c r="H308" s="36" t="n">
        <v>-0.06998158379373853</v>
      </c>
      <c r="I308" s="36" t="n">
        <v>-0.4656084656084656</v>
      </c>
      <c r="J308" s="31" t="n">
        <v>115430</v>
      </c>
      <c r="K308" s="31" t="n">
        <v>143523.3333333333</v>
      </c>
      <c r="L308" s="31" t="n">
        <v>139384.1666666667</v>
      </c>
      <c r="M308" s="36" t="n">
        <v>0.6916455848773022</v>
      </c>
      <c r="N308" s="36" t="n">
        <v>0.6591506550637924</v>
      </c>
      <c r="O308" s="36" t="n">
        <v>-0.06133828996282531</v>
      </c>
      <c r="P308" s="36" t="n">
        <v>-0.3659761456371626</v>
      </c>
      <c r="Q308" s="36" t="n">
        <v>0.02956167176350655</v>
      </c>
      <c r="R308" s="36" t="n">
        <v>-0.1250108290738976</v>
      </c>
      <c r="S308" s="36" t="n">
        <v>-0.296281673130966</v>
      </c>
      <c r="T308" s="36" t="n">
        <v>-0.2753839807247356</v>
      </c>
      <c r="U308" s="31" t="n">
        <v>189000</v>
      </c>
      <c r="V308" s="31" t="n">
        <v>48450</v>
      </c>
      <c r="W308" s="36" t="n">
        <v>-0.4656084656084656</v>
      </c>
      <c r="X308" s="36" t="n">
        <v>1.084623323013416</v>
      </c>
      <c r="Y308" s="31" t="n">
        <v>95312200</v>
      </c>
      <c r="Z308" s="31" t="n">
        <v>9626532200000</v>
      </c>
      <c r="AA308" s="31" t="n">
        <v>124225758000</v>
      </c>
      <c r="AB308" s="31" t="n">
        <v>138467934935</v>
      </c>
      <c r="AC308" s="36" t="n">
        <v>0.01290451799454844</v>
      </c>
      <c r="AD308" s="29" t="inlineStr">
        <is>
          <t>yfinance_download</t>
        </is>
      </c>
      <c r="AE308" s="29" t="inlineStr">
        <is>
          <t>042700.KS</t>
        </is>
      </c>
    </row>
    <row r="309" ht="24" customHeight="1">
      <c r="A309" s="24" t="inlineStr">
        <is>
          <t>2024-09-05</t>
        </is>
      </c>
      <c r="B309" s="30" t="n">
        <v>102100</v>
      </c>
      <c r="C309" s="30" t="n">
        <v>104100</v>
      </c>
      <c r="D309" s="30" t="n">
        <v>99100</v>
      </c>
      <c r="E309" s="30" t="n">
        <v>99800</v>
      </c>
      <c r="F309" s="30" t="n">
        <v>98704.546875</v>
      </c>
      <c r="G309" s="30" t="n">
        <v>912271</v>
      </c>
      <c r="H309" s="35" t="n">
        <v>-0.01188118811881189</v>
      </c>
      <c r="I309" s="35" t="n">
        <v>-0.4719576719576719</v>
      </c>
      <c r="J309" s="30" t="n">
        <v>115025</v>
      </c>
      <c r="K309" s="30" t="n">
        <v>142288.3333333333</v>
      </c>
      <c r="L309" s="30" t="n">
        <v>139381.6666666667</v>
      </c>
      <c r="M309" s="35" t="n">
        <v>0.6921869240679187</v>
      </c>
      <c r="N309" s="35" t="n">
        <v>0.6265016503325511</v>
      </c>
      <c r="O309" s="35" t="n">
        <v>-0.07506950880444851</v>
      </c>
      <c r="P309" s="35" t="n">
        <v>-0.4261069580218516</v>
      </c>
      <c r="Q309" s="35" t="n">
        <v>-0.002997002997003007</v>
      </c>
      <c r="R309" s="35" t="n">
        <v>-0.1323625298848077</v>
      </c>
      <c r="S309" s="35" t="n">
        <v>-0.2986072880184603</v>
      </c>
      <c r="T309" s="35" t="n">
        <v>-0.2839804374080761</v>
      </c>
      <c r="U309" s="30" t="n">
        <v>189000</v>
      </c>
      <c r="V309" s="30" t="n">
        <v>48450</v>
      </c>
      <c r="W309" s="35" t="n">
        <v>-0.4719576719576719</v>
      </c>
      <c r="X309" s="35" t="n">
        <v>1.059855521155831</v>
      </c>
      <c r="Y309" s="30" t="n">
        <v>95312200</v>
      </c>
      <c r="Z309" s="30" t="n">
        <v>9512157560000</v>
      </c>
      <c r="AA309" s="30" t="n">
        <v>91044645800</v>
      </c>
      <c r="AB309" s="30" t="n">
        <v>132431810745</v>
      </c>
      <c r="AC309" s="35" t="n">
        <v>0.009571397995219919</v>
      </c>
      <c r="AD309" s="24" t="inlineStr">
        <is>
          <t>yfinance_download</t>
        </is>
      </c>
      <c r="AE309" s="24" t="inlineStr">
        <is>
          <t>042700.KS</t>
        </is>
      </c>
    </row>
    <row r="310" ht="24" customHeight="1">
      <c r="A310" s="29" t="inlineStr">
        <is>
          <t>2024-09-06</t>
        </is>
      </c>
      <c r="B310" s="31" t="n">
        <v>99400</v>
      </c>
      <c r="C310" s="31" t="n">
        <v>99800</v>
      </c>
      <c r="D310" s="31" t="n">
        <v>95100</v>
      </c>
      <c r="E310" s="31" t="n">
        <v>96500</v>
      </c>
      <c r="F310" s="31" t="n">
        <v>95440.7734375</v>
      </c>
      <c r="G310" s="31" t="n">
        <v>983019</v>
      </c>
      <c r="H310" s="36" t="n">
        <v>-0.03306613226452904</v>
      </c>
      <c r="I310" s="36" t="n">
        <v>-0.4894179894179894</v>
      </c>
      <c r="J310" s="31" t="n">
        <v>114605</v>
      </c>
      <c r="K310" s="31" t="n">
        <v>140746.6666666667</v>
      </c>
      <c r="L310" s="31" t="n">
        <v>139361.6666666667</v>
      </c>
      <c r="M310" s="36" t="n">
        <v>0.6949358738537638</v>
      </c>
      <c r="N310" s="36" t="n">
        <v>0.59607378258979</v>
      </c>
      <c r="O310" s="36" t="n">
        <v>-0.08007626310772165</v>
      </c>
      <c r="P310" s="36" t="n">
        <v>-0.4894179894179894</v>
      </c>
      <c r="Q310" s="36" t="n">
        <v>-0.02426693629929222</v>
      </c>
      <c r="R310" s="36" t="n">
        <v>-0.1579774006369704</v>
      </c>
      <c r="S310" s="36" t="n">
        <v>-0.3143709738537325</v>
      </c>
      <c r="T310" s="36" t="n">
        <v>-0.3075570757142686</v>
      </c>
      <c r="U310" s="31" t="n">
        <v>189000</v>
      </c>
      <c r="V310" s="31" t="n">
        <v>48450</v>
      </c>
      <c r="W310" s="36" t="n">
        <v>-0.4894179894179894</v>
      </c>
      <c r="X310" s="36" t="n">
        <v>0.9917440660474717</v>
      </c>
      <c r="Y310" s="31" t="n">
        <v>95312200</v>
      </c>
      <c r="Z310" s="31" t="n">
        <v>9197627300000</v>
      </c>
      <c r="AA310" s="31" t="n">
        <v>94861333500</v>
      </c>
      <c r="AB310" s="31" t="n">
        <v>131895480710</v>
      </c>
      <c r="AC310" s="36" t="n">
        <v>0.01031367442992607</v>
      </c>
      <c r="AD310" s="29" t="inlineStr">
        <is>
          <t>yfinance_download</t>
        </is>
      </c>
      <c r="AE310" s="29" t="inlineStr">
        <is>
          <t>042700.KS</t>
        </is>
      </c>
    </row>
    <row r="311" ht="24" customHeight="1">
      <c r="A311" s="24" t="inlineStr">
        <is>
          <t>2024-09-09</t>
        </is>
      </c>
      <c r="B311" s="30" t="n">
        <v>93100</v>
      </c>
      <c r="C311" s="30" t="n">
        <v>98200</v>
      </c>
      <c r="D311" s="30" t="n">
        <v>92700</v>
      </c>
      <c r="E311" s="30" t="n">
        <v>97600</v>
      </c>
      <c r="F311" s="30" t="n">
        <v>96528.6953125</v>
      </c>
      <c r="G311" s="30" t="n">
        <v>796492</v>
      </c>
      <c r="H311" s="35" t="n">
        <v>0.01139896373057003</v>
      </c>
      <c r="I311" s="35" t="n">
        <v>-0.4835978835978836</v>
      </c>
      <c r="J311" s="30" t="n">
        <v>114060</v>
      </c>
      <c r="K311" s="30" t="n">
        <v>139375</v>
      </c>
      <c r="L311" s="30" t="n">
        <v>139373.3333333333</v>
      </c>
      <c r="M311" s="35" t="n">
        <v>0.6831643345981335</v>
      </c>
      <c r="N311" s="35" t="n">
        <v>0.5924644586866652</v>
      </c>
      <c r="O311" s="35" t="n">
        <v>-0.1004608294930875</v>
      </c>
      <c r="P311" s="35" t="n">
        <v>-0.4574763757643135</v>
      </c>
      <c r="Q311" s="35" t="n">
        <v>0.01455301455301461</v>
      </c>
      <c r="R311" s="35" t="n">
        <v>-0.1443100122742417</v>
      </c>
      <c r="S311" s="35" t="n">
        <v>-0.2997309417040359</v>
      </c>
      <c r="T311" s="35" t="n">
        <v>-0.2997225676839186</v>
      </c>
      <c r="U311" s="30" t="n">
        <v>189000</v>
      </c>
      <c r="V311" s="30" t="n">
        <v>48450</v>
      </c>
      <c r="W311" s="35" t="n">
        <v>-0.4835978835978836</v>
      </c>
      <c r="X311" s="35" t="n">
        <v>1.014447884416925</v>
      </c>
      <c r="Y311" s="30" t="n">
        <v>95312200</v>
      </c>
      <c r="Z311" s="30" t="n">
        <v>9302470720000</v>
      </c>
      <c r="AA311" s="30" t="n">
        <v>77737619200</v>
      </c>
      <c r="AB311" s="30" t="n">
        <v>126863200545</v>
      </c>
      <c r="AC311" s="35" t="n">
        <v>0.008356663679990599</v>
      </c>
      <c r="AD311" s="24" t="inlineStr">
        <is>
          <t>yfinance_download</t>
        </is>
      </c>
      <c r="AE311" s="24" t="inlineStr">
        <is>
          <t>042700.KS</t>
        </is>
      </c>
    </row>
    <row r="312" ht="24" customHeight="1">
      <c r="A312" s="29" t="inlineStr">
        <is>
          <t>2024-09-10</t>
        </is>
      </c>
      <c r="B312" s="31" t="n">
        <v>99100</v>
      </c>
      <c r="C312" s="31" t="n">
        <v>100200</v>
      </c>
      <c r="D312" s="31" t="n">
        <v>94500</v>
      </c>
      <c r="E312" s="31" t="n">
        <v>96400</v>
      </c>
      <c r="F312" s="31" t="n">
        <v>95341.8671875</v>
      </c>
      <c r="G312" s="31" t="n">
        <v>918538</v>
      </c>
      <c r="H312" s="36" t="n">
        <v>-0.01229508196721307</v>
      </c>
      <c r="I312" s="36" t="n">
        <v>-0.4899470899470899</v>
      </c>
      <c r="J312" s="31" t="n">
        <v>113170</v>
      </c>
      <c r="K312" s="31" t="n">
        <v>137980</v>
      </c>
      <c r="L312" s="31" t="n">
        <v>139357.5</v>
      </c>
      <c r="M312" s="36" t="n">
        <v>0.6494341605548104</v>
      </c>
      <c r="N312" s="36" t="n">
        <v>0.5920811019973948</v>
      </c>
      <c r="O312" s="36" t="n">
        <v>-0.1558669001751314</v>
      </c>
      <c r="P312" s="36" t="n">
        <v>-0.464741810105497</v>
      </c>
      <c r="Q312" s="36" t="n">
        <v>-0.01932858596134279</v>
      </c>
      <c r="R312" s="36" t="n">
        <v>-0.1481841477423346</v>
      </c>
      <c r="S312" s="36" t="n">
        <v>-0.3013480214523844</v>
      </c>
      <c r="T312" s="36" t="n">
        <v>-0.3082539511687566</v>
      </c>
      <c r="U312" s="31" t="n">
        <v>189000</v>
      </c>
      <c r="V312" s="31" t="n">
        <v>48450</v>
      </c>
      <c r="W312" s="36" t="n">
        <v>-0.4899470899470899</v>
      </c>
      <c r="X312" s="36" t="n">
        <v>0.9896800825593395</v>
      </c>
      <c r="Y312" s="31" t="n">
        <v>95312200</v>
      </c>
      <c r="Z312" s="31" t="n">
        <v>9188096080000</v>
      </c>
      <c r="AA312" s="31" t="n">
        <v>88547063200</v>
      </c>
      <c r="AB312" s="31" t="n">
        <v>118584981465</v>
      </c>
      <c r="AC312" s="36" t="n">
        <v>0.009637150333325639</v>
      </c>
      <c r="AD312" s="29" t="inlineStr">
        <is>
          <t>yfinance_download</t>
        </is>
      </c>
      <c r="AE312" s="29" t="inlineStr">
        <is>
          <t>042700.KS</t>
        </is>
      </c>
    </row>
    <row r="313" ht="24" customHeight="1">
      <c r="A313" s="24" t="inlineStr">
        <is>
          <t>2024-09-11</t>
        </is>
      </c>
      <c r="B313" s="30" t="n">
        <v>96000</v>
      </c>
      <c r="C313" s="30" t="n">
        <v>97800</v>
      </c>
      <c r="D313" s="30" t="n">
        <v>95200</v>
      </c>
      <c r="E313" s="30" t="n">
        <v>96300</v>
      </c>
      <c r="F313" s="30" t="n">
        <v>95242.9609375</v>
      </c>
      <c r="G313" s="30" t="n">
        <v>550779</v>
      </c>
      <c r="H313" s="35" t="n">
        <v>-0.001037344398340245</v>
      </c>
      <c r="I313" s="35" t="n">
        <v>-0.4904761904761905</v>
      </c>
      <c r="J313" s="30" t="n">
        <v>112325</v>
      </c>
      <c r="K313" s="30" t="n">
        <v>136593.3333333333</v>
      </c>
      <c r="L313" s="30" t="n">
        <v>139381.6666666667</v>
      </c>
      <c r="M313" s="35" t="n">
        <v>0.6498358407255319</v>
      </c>
      <c r="N313" s="35" t="n">
        <v>0.5922046306807323</v>
      </c>
      <c r="O313" s="35" t="n">
        <v>-0.1492932862190812</v>
      </c>
      <c r="P313" s="35" t="n">
        <v>-0.4635097493036212</v>
      </c>
      <c r="Q313" s="35" t="n">
        <v>0.03104925053533192</v>
      </c>
      <c r="R313" s="35" t="n">
        <v>-0.1426663699087469</v>
      </c>
      <c r="S313" s="35" t="n">
        <v>-0.294987554297428</v>
      </c>
      <c r="T313" s="35" t="n">
        <v>-0.3090913439118009</v>
      </c>
      <c r="U313" s="30" t="n">
        <v>189000</v>
      </c>
      <c r="V313" s="30" t="n">
        <v>48450</v>
      </c>
      <c r="W313" s="35" t="n">
        <v>-0.4904761904761905</v>
      </c>
      <c r="X313" s="35" t="n">
        <v>0.9876160990712075</v>
      </c>
      <c r="Y313" s="30" t="n">
        <v>95312200</v>
      </c>
      <c r="Z313" s="30" t="n">
        <v>9178564860000</v>
      </c>
      <c r="AA313" s="30" t="n">
        <v>53040017700</v>
      </c>
      <c r="AB313" s="30" t="n">
        <v>115025817210</v>
      </c>
      <c r="AC313" s="35" t="n">
        <v>0.005778683106674697</v>
      </c>
      <c r="AD313" s="24" t="inlineStr">
        <is>
          <t>yfinance_download</t>
        </is>
      </c>
      <c r="AE313" s="24" t="inlineStr">
        <is>
          <t>042700.KS</t>
        </is>
      </c>
    </row>
    <row r="314" ht="24" customHeight="1">
      <c r="A314" s="29" t="inlineStr">
        <is>
          <t>2024-09-12</t>
        </is>
      </c>
      <c r="B314" s="31" t="n">
        <v>102400</v>
      </c>
      <c r="C314" s="31" t="n">
        <v>103400</v>
      </c>
      <c r="D314" s="31" t="n">
        <v>100000</v>
      </c>
      <c r="E314" s="31" t="n">
        <v>101400</v>
      </c>
      <c r="F314" s="31" t="n">
        <v>100286.984375</v>
      </c>
      <c r="G314" s="31" t="n">
        <v>1058507</v>
      </c>
      <c r="H314" s="36" t="n">
        <v>0.05295950155763229</v>
      </c>
      <c r="I314" s="36" t="n">
        <v>-0.4634920634920635</v>
      </c>
      <c r="J314" s="31" t="n">
        <v>111470</v>
      </c>
      <c r="K314" s="31" t="n">
        <v>135333.3333333333</v>
      </c>
      <c r="L314" s="31" t="n">
        <v>139450.8333333333</v>
      </c>
      <c r="M314" s="36" t="n">
        <v>0.6569383968610658</v>
      </c>
      <c r="N314" s="36" t="n">
        <v>0.6058392809514095</v>
      </c>
      <c r="O314" s="36" t="n">
        <v>-0.1443037974683544</v>
      </c>
      <c r="P314" s="36" t="n">
        <v>-0.4271186440677966</v>
      </c>
      <c r="Q314" s="36" t="n">
        <v>0.08915145005370562</v>
      </c>
      <c r="R314" s="36" t="n">
        <v>-0.09033820758948596</v>
      </c>
      <c r="S314" s="36" t="n">
        <v>-0.2507389162561577</v>
      </c>
      <c r="T314" s="36" t="n">
        <v>-0.2728620003465977</v>
      </c>
      <c r="U314" s="31" t="n">
        <v>189000</v>
      </c>
      <c r="V314" s="31" t="n">
        <v>48450</v>
      </c>
      <c r="W314" s="36" t="n">
        <v>-0.4634920634920635</v>
      </c>
      <c r="X314" s="36" t="n">
        <v>1.092879256965944</v>
      </c>
      <c r="Y314" s="31" t="n">
        <v>95312200</v>
      </c>
      <c r="Z314" s="31" t="n">
        <v>9664657080000</v>
      </c>
      <c r="AA314" s="31" t="n">
        <v>107332609800</v>
      </c>
      <c r="AB314" s="31" t="n">
        <v>110089127475</v>
      </c>
      <c r="AC314" s="36" t="n">
        <v>0.01110568216870453</v>
      </c>
      <c r="AD314" s="29" t="inlineStr">
        <is>
          <t>yfinance_download</t>
        </is>
      </c>
      <c r="AE314" s="29" t="inlineStr">
        <is>
          <t>042700.KS</t>
        </is>
      </c>
    </row>
    <row r="315" ht="24" customHeight="1">
      <c r="A315" s="24" t="inlineStr">
        <is>
          <t>2024-09-13</t>
        </is>
      </c>
      <c r="B315" s="30" t="n">
        <v>101300</v>
      </c>
      <c r="C315" s="30" t="n">
        <v>101700</v>
      </c>
      <c r="D315" s="30" t="n">
        <v>98100</v>
      </c>
      <c r="E315" s="30" t="n">
        <v>99500</v>
      </c>
      <c r="F315" s="30" t="n">
        <v>98407.84375</v>
      </c>
      <c r="G315" s="30" t="n">
        <v>631320</v>
      </c>
      <c r="H315" s="35" t="n">
        <v>-0.01873767258382641</v>
      </c>
      <c r="I315" s="35" t="n">
        <v>-0.4735449735449735</v>
      </c>
      <c r="J315" s="30" t="n">
        <v>110060</v>
      </c>
      <c r="K315" s="30" t="n">
        <v>134003.3333333333</v>
      </c>
      <c r="L315" s="30" t="n">
        <v>139498.3333333333</v>
      </c>
      <c r="M315" s="35" t="n">
        <v>0.5765107802044022</v>
      </c>
      <c r="N315" s="35" t="n">
        <v>0.6045160971853151</v>
      </c>
      <c r="O315" s="35" t="n">
        <v>-0.2208300704776821</v>
      </c>
      <c r="P315" s="35" t="n">
        <v>-0.445064138315672</v>
      </c>
      <c r="Q315" s="35" t="n">
        <v>0.06076759061833692</v>
      </c>
      <c r="R315" s="35" t="n">
        <v>-0.09594766491004902</v>
      </c>
      <c r="S315" s="35" t="n">
        <v>-0.2574811571851447</v>
      </c>
      <c r="T315" s="35" t="n">
        <v>-0.2867298295081184</v>
      </c>
      <c r="U315" s="30" t="n">
        <v>189000</v>
      </c>
      <c r="V315" s="30" t="n">
        <v>48450</v>
      </c>
      <c r="W315" s="35" t="n">
        <v>-0.4735449735449735</v>
      </c>
      <c r="X315" s="35" t="n">
        <v>1.053663570691434</v>
      </c>
      <c r="Y315" s="30" t="n">
        <v>95312200</v>
      </c>
      <c r="Z315" s="30" t="n">
        <v>9483563900000</v>
      </c>
      <c r="AA315" s="30" t="n">
        <v>62816340000</v>
      </c>
      <c r="AB315" s="30" t="n">
        <v>99698054350</v>
      </c>
      <c r="AC315" s="35" t="n">
        <v>0.006623706094288035</v>
      </c>
      <c r="AD315" s="24" t="inlineStr">
        <is>
          <t>yfinance_download</t>
        </is>
      </c>
      <c r="AE315" s="24" t="inlineStr">
        <is>
          <t>042700.KS</t>
        </is>
      </c>
    </row>
    <row r="316" ht="24" customHeight="1">
      <c r="A316" s="29" t="inlineStr">
        <is>
          <t>2024-09-19</t>
        </is>
      </c>
      <c r="B316" s="31" t="n">
        <v>97900</v>
      </c>
      <c r="C316" s="31" t="n">
        <v>98000</v>
      </c>
      <c r="D316" s="31" t="n">
        <v>91300</v>
      </c>
      <c r="E316" s="31" t="n">
        <v>96200</v>
      </c>
      <c r="F316" s="31" t="n">
        <v>95144.0625</v>
      </c>
      <c r="G316" s="31" t="n">
        <v>1242107</v>
      </c>
      <c r="H316" s="36" t="n">
        <v>-0.03316582914572863</v>
      </c>
      <c r="I316" s="36" t="n">
        <v>-0.491005291005291</v>
      </c>
      <c r="J316" s="31" t="n">
        <v>108625</v>
      </c>
      <c r="K316" s="31" t="n">
        <v>132601.6666666667</v>
      </c>
      <c r="L316" s="31" t="n">
        <v>139518.3333333333</v>
      </c>
      <c r="M316" s="36" t="n">
        <v>0.5805049975645432</v>
      </c>
      <c r="N316" s="36" t="n">
        <v>0.6057267540128315</v>
      </c>
      <c r="O316" s="36" t="n">
        <v>-0.2297838270616493</v>
      </c>
      <c r="P316" s="36" t="n">
        <v>-0.466444814198558</v>
      </c>
      <c r="Q316" s="36" t="n">
        <v>0.02558635394456288</v>
      </c>
      <c r="R316" s="36" t="n">
        <v>-0.1143843498273878</v>
      </c>
      <c r="S316" s="36" t="n">
        <v>-0.2745189225876999</v>
      </c>
      <c r="T316" s="36" t="n">
        <v>-0.3104848825124537</v>
      </c>
      <c r="U316" s="31" t="n">
        <v>189000</v>
      </c>
      <c r="V316" s="31" t="n">
        <v>48450</v>
      </c>
      <c r="W316" s="36" t="n">
        <v>-0.491005291005291</v>
      </c>
      <c r="X316" s="36" t="n">
        <v>0.9855521155830753</v>
      </c>
      <c r="Y316" s="31" t="n">
        <v>95312200</v>
      </c>
      <c r="Z316" s="31" t="n">
        <v>9169033640000</v>
      </c>
      <c r="AA316" s="31" t="n">
        <v>119490693400</v>
      </c>
      <c r="AB316" s="31" t="n">
        <v>100018734475</v>
      </c>
      <c r="AC316" s="36" t="n">
        <v>0.01303198331378354</v>
      </c>
      <c r="AD316" s="29" t="inlineStr">
        <is>
          <t>yfinance_download</t>
        </is>
      </c>
      <c r="AE316" s="29" t="inlineStr">
        <is>
          <t>042700.KS</t>
        </is>
      </c>
    </row>
    <row r="317" ht="24" customHeight="1">
      <c r="A317" s="24" t="inlineStr">
        <is>
          <t>2024-09-20</t>
        </is>
      </c>
      <c r="B317" s="30" t="n">
        <v>99500</v>
      </c>
      <c r="C317" s="30" t="n">
        <v>102100</v>
      </c>
      <c r="D317" s="30" t="n">
        <v>99100</v>
      </c>
      <c r="E317" s="30" t="n">
        <v>100300</v>
      </c>
      <c r="F317" s="30" t="n">
        <v>99199.0546875</v>
      </c>
      <c r="G317" s="30" t="n">
        <v>956159</v>
      </c>
      <c r="H317" s="35" t="n">
        <v>0.04261954261954259</v>
      </c>
      <c r="I317" s="35" t="n">
        <v>-0.4693121693121693</v>
      </c>
      <c r="J317" s="30" t="n">
        <v>107365</v>
      </c>
      <c r="K317" s="30" t="n">
        <v>131350</v>
      </c>
      <c r="L317" s="30" t="n">
        <v>139542.5</v>
      </c>
      <c r="M317" s="35" t="n">
        <v>0.6100721240173349</v>
      </c>
      <c r="N317" s="35" t="n">
        <v>0.6139537709047878</v>
      </c>
      <c r="O317" s="35" t="n">
        <v>-0.200796812749004</v>
      </c>
      <c r="P317" s="35" t="n">
        <v>-0.428164196123147</v>
      </c>
      <c r="Q317" s="35" t="n">
        <v>0.02977412731006157</v>
      </c>
      <c r="R317" s="35" t="n">
        <v>-0.06580356727052583</v>
      </c>
      <c r="S317" s="35" t="n">
        <v>-0.2363913208983631</v>
      </c>
      <c r="T317" s="35" t="n">
        <v>-0.281222566601573</v>
      </c>
      <c r="U317" s="30" t="n">
        <v>189000</v>
      </c>
      <c r="V317" s="30" t="n">
        <v>48450</v>
      </c>
      <c r="W317" s="35" t="n">
        <v>-0.4693121693121693</v>
      </c>
      <c r="X317" s="35" t="n">
        <v>1.070175438596491</v>
      </c>
      <c r="Y317" s="30" t="n">
        <v>95312200</v>
      </c>
      <c r="Z317" s="30" t="n">
        <v>9559813660000</v>
      </c>
      <c r="AA317" s="30" t="n">
        <v>95902747700</v>
      </c>
      <c r="AB317" s="30" t="n">
        <v>99451068610</v>
      </c>
      <c r="AC317" s="35" t="n">
        <v>0.0100318637068497</v>
      </c>
      <c r="AD317" s="24" t="inlineStr">
        <is>
          <t>yfinance_download</t>
        </is>
      </c>
      <c r="AE317" s="24" t="inlineStr">
        <is>
          <t>042700.KS</t>
        </is>
      </c>
    </row>
    <row r="318" ht="24" customHeight="1">
      <c r="A318" s="29" t="inlineStr">
        <is>
          <t>2024-09-23</t>
        </is>
      </c>
      <c r="B318" s="31" t="n">
        <v>99300</v>
      </c>
      <c r="C318" s="31" t="n">
        <v>103500</v>
      </c>
      <c r="D318" s="31" t="n">
        <v>99000</v>
      </c>
      <c r="E318" s="31" t="n">
        <v>101400</v>
      </c>
      <c r="F318" s="31" t="n">
        <v>100286.984375</v>
      </c>
      <c r="G318" s="31" t="n">
        <v>655936</v>
      </c>
      <c r="H318" s="36" t="n">
        <v>0.01096709870388834</v>
      </c>
      <c r="I318" s="36" t="n">
        <v>-0.4634920634920635</v>
      </c>
      <c r="J318" s="31" t="n">
        <v>106195</v>
      </c>
      <c r="K318" s="31" t="n">
        <v>130158.3333333333</v>
      </c>
      <c r="L318" s="31" t="n">
        <v>139450</v>
      </c>
      <c r="M318" s="36" t="n">
        <v>0.6146291821118423</v>
      </c>
      <c r="N318" s="36" t="n">
        <v>0.6151235580111215</v>
      </c>
      <c r="O318" s="36" t="n">
        <v>-0.1875</v>
      </c>
      <c r="P318" s="36" t="n">
        <v>-0.4135338345864662</v>
      </c>
      <c r="Q318" s="36" t="n">
        <v>-0.09866666666666668</v>
      </c>
      <c r="R318" s="36" t="n">
        <v>-0.0451527849710438</v>
      </c>
      <c r="S318" s="36" t="n">
        <v>-0.2209488443562327</v>
      </c>
      <c r="T318" s="36" t="n">
        <v>-0.272857655073503</v>
      </c>
      <c r="U318" s="31" t="n">
        <v>189000</v>
      </c>
      <c r="V318" s="31" t="n">
        <v>48450</v>
      </c>
      <c r="W318" s="36" t="n">
        <v>-0.4634920634920635</v>
      </c>
      <c r="X318" s="36" t="n">
        <v>1.092879256965944</v>
      </c>
      <c r="Y318" s="31" t="n">
        <v>95312200</v>
      </c>
      <c r="Z318" s="31" t="n">
        <v>9664657080000</v>
      </c>
      <c r="AA318" s="31" t="n">
        <v>66511910400</v>
      </c>
      <c r="AB318" s="31" t="n">
        <v>98895527650</v>
      </c>
      <c r="AC318" s="36" t="n">
        <v>0.006881973136702332</v>
      </c>
      <c r="AD318" s="29" t="inlineStr">
        <is>
          <t>yfinance_download</t>
        </is>
      </c>
      <c r="AE318" s="29" t="inlineStr">
        <is>
          <t>042700.KS</t>
        </is>
      </c>
    </row>
    <row r="319" ht="24" customHeight="1">
      <c r="A319" s="24" t="inlineStr">
        <is>
          <t>2024-09-24</t>
        </is>
      </c>
      <c r="B319" s="30" t="n">
        <v>102000</v>
      </c>
      <c r="C319" s="30" t="n">
        <v>107300</v>
      </c>
      <c r="D319" s="30" t="n">
        <v>101000</v>
      </c>
      <c r="E319" s="30" t="n">
        <v>105600</v>
      </c>
      <c r="F319" s="30" t="n">
        <v>104440.8828125</v>
      </c>
      <c r="G319" s="30" t="n">
        <v>892311</v>
      </c>
      <c r="H319" s="35" t="n">
        <v>0.04142011834319526</v>
      </c>
      <c r="I319" s="35" t="n">
        <v>-0.4412698412698413</v>
      </c>
      <c r="J319" s="30" t="n">
        <v>105440</v>
      </c>
      <c r="K319" s="30" t="n">
        <v>128921.6666666667</v>
      </c>
      <c r="L319" s="30" t="n">
        <v>139376.6666666667</v>
      </c>
      <c r="M319" s="35" t="n">
        <v>0.6336252381008541</v>
      </c>
      <c r="N319" s="35" t="n">
        <v>0.6156354619238147</v>
      </c>
      <c r="O319" s="35" t="n">
        <v>-0.1251035625517812</v>
      </c>
      <c r="P319" s="35" t="n">
        <v>-0.4126807563959956</v>
      </c>
      <c r="Q319" s="35" t="n">
        <v>-0.07692307692307687</v>
      </c>
      <c r="R319" s="35" t="n">
        <v>0.001517450682852806</v>
      </c>
      <c r="S319" s="35" t="n">
        <v>-0.180897961294326</v>
      </c>
      <c r="T319" s="35" t="n">
        <v>-0.2423408987635424</v>
      </c>
      <c r="U319" s="30" t="n">
        <v>189000</v>
      </c>
      <c r="V319" s="30" t="n">
        <v>48450</v>
      </c>
      <c r="W319" s="35" t="n">
        <v>-0.4412698412698413</v>
      </c>
      <c r="X319" s="35" t="n">
        <v>1.179566563467492</v>
      </c>
      <c r="Y319" s="30" t="n">
        <v>95312200</v>
      </c>
      <c r="Z319" s="30" t="n">
        <v>10064968320000</v>
      </c>
      <c r="AA319" s="30" t="n">
        <v>94228041600</v>
      </c>
      <c r="AB319" s="30" t="n">
        <v>98134530535</v>
      </c>
      <c r="AC319" s="35" t="n">
        <v>0.00936198094262854</v>
      </c>
      <c r="AD319" s="24" t="inlineStr">
        <is>
          <t>yfinance_download</t>
        </is>
      </c>
      <c r="AE319" s="24" t="inlineStr">
        <is>
          <t>042700.KS</t>
        </is>
      </c>
    </row>
    <row r="320" ht="24" customHeight="1">
      <c r="A320" s="29" t="inlineStr">
        <is>
          <t>2024-09-25</t>
        </is>
      </c>
      <c r="B320" s="31" t="n">
        <v>109200</v>
      </c>
      <c r="C320" s="31" t="n">
        <v>111500</v>
      </c>
      <c r="D320" s="31" t="n">
        <v>106000</v>
      </c>
      <c r="E320" s="31" t="n">
        <v>106600</v>
      </c>
      <c r="F320" s="31" t="n">
        <v>105429.90625</v>
      </c>
      <c r="G320" s="31" t="n">
        <v>1093071</v>
      </c>
      <c r="H320" s="36" t="n">
        <v>0.009469696969697017</v>
      </c>
      <c r="I320" s="36" t="n">
        <v>-0.435978835978836</v>
      </c>
      <c r="J320" s="31" t="n">
        <v>104880</v>
      </c>
      <c r="K320" s="31" t="n">
        <v>127803.3333333333</v>
      </c>
      <c r="L320" s="31" t="n">
        <v>139148.3333333333</v>
      </c>
      <c r="M320" s="36" t="n">
        <v>0.6320660632581419</v>
      </c>
      <c r="N320" s="36" t="n">
        <v>0.6142764459003839</v>
      </c>
      <c r="O320" s="36" t="n">
        <v>-0.09507640067911716</v>
      </c>
      <c r="P320" s="36" t="n">
        <v>-0.3862982153137594</v>
      </c>
      <c r="Q320" s="36" t="n">
        <v>-0.2044776119402985</v>
      </c>
      <c r="R320" s="36" t="n">
        <v>0.01639969488939741</v>
      </c>
      <c r="S320" s="36" t="n">
        <v>-0.1659059492449336</v>
      </c>
      <c r="T320" s="36" t="n">
        <v>-0.2339110541508462</v>
      </c>
      <c r="U320" s="31" t="n">
        <v>189000</v>
      </c>
      <c r="V320" s="31" t="n">
        <v>48450</v>
      </c>
      <c r="W320" s="36" t="n">
        <v>-0.435978835978836</v>
      </c>
      <c r="X320" s="36" t="n">
        <v>1.200206398348813</v>
      </c>
      <c r="Y320" s="31" t="n">
        <v>95312200</v>
      </c>
      <c r="Z320" s="31" t="n">
        <v>10160280520000</v>
      </c>
      <c r="AA320" s="31" t="n">
        <v>116521368600</v>
      </c>
      <c r="AB320" s="31" t="n">
        <v>100043648835</v>
      </c>
      <c r="AC320" s="36" t="n">
        <v>0.01146832199865285</v>
      </c>
      <c r="AD320" s="29" t="inlineStr">
        <is>
          <t>yfinance_download</t>
        </is>
      </c>
      <c r="AE320" s="29" t="inlineStr">
        <is>
          <t>042700.KS</t>
        </is>
      </c>
    </row>
    <row r="321" ht="24" customHeight="1">
      <c r="A321" s="24" t="inlineStr">
        <is>
          <t>2024-09-26</t>
        </is>
      </c>
      <c r="B321" s="30" t="n">
        <v>113600</v>
      </c>
      <c r="C321" s="30" t="n">
        <v>119000</v>
      </c>
      <c r="D321" s="30" t="n">
        <v>111500</v>
      </c>
      <c r="E321" s="30" t="n">
        <v>114200</v>
      </c>
      <c r="F321" s="30" t="n">
        <v>112946.484375</v>
      </c>
      <c r="G321" s="30" t="n">
        <v>2555656</v>
      </c>
      <c r="H321" s="35" t="n">
        <v>0.07129455909943716</v>
      </c>
      <c r="I321" s="35" t="n">
        <v>-0.3957671957671958</v>
      </c>
      <c r="J321" s="30" t="n">
        <v>104820</v>
      </c>
      <c r="K321" s="30" t="n">
        <v>126835</v>
      </c>
      <c r="L321" s="30" t="n">
        <v>138985.8333333333</v>
      </c>
      <c r="M321" s="35" t="n">
        <v>0.6827199990856637</v>
      </c>
      <c r="N321" s="35" t="n">
        <v>0.6350650816694551</v>
      </c>
      <c r="O321" s="35" t="n">
        <v>-0.0103986135181976</v>
      </c>
      <c r="P321" s="35" t="n">
        <v>-0.3372025536854324</v>
      </c>
      <c r="Q321" s="35" t="n">
        <v>-0.1458489154824233</v>
      </c>
      <c r="R321" s="35" t="n">
        <v>0.08948673917191385</v>
      </c>
      <c r="S321" s="35" t="n">
        <v>-0.09961761343477749</v>
      </c>
      <c r="T321" s="35" t="n">
        <v>-0.1783335232008059</v>
      </c>
      <c r="U321" s="30" t="n">
        <v>189000</v>
      </c>
      <c r="V321" s="30" t="n">
        <v>48450</v>
      </c>
      <c r="W321" s="35" t="n">
        <v>-0.3957671957671958</v>
      </c>
      <c r="X321" s="35" t="n">
        <v>1.357069143446852</v>
      </c>
      <c r="Y321" s="30" t="n">
        <v>95312200</v>
      </c>
      <c r="Z321" s="30" t="n">
        <v>10884653240000</v>
      </c>
      <c r="AA321" s="30" t="n">
        <v>291855915200</v>
      </c>
      <c r="AB321" s="30" t="n">
        <v>110993572405</v>
      </c>
      <c r="AC321" s="35" t="n">
        <v>0.02681352439666695</v>
      </c>
      <c r="AD321" s="24" t="inlineStr">
        <is>
          <t>yfinance_download</t>
        </is>
      </c>
      <c r="AE321" s="24" t="inlineStr">
        <is>
          <t>042700.KS</t>
        </is>
      </c>
    </row>
    <row r="322" ht="24" customHeight="1">
      <c r="A322" s="29" t="inlineStr">
        <is>
          <t>2024-09-27</t>
        </is>
      </c>
      <c r="B322" s="31" t="n">
        <v>114200</v>
      </c>
      <c r="C322" s="31" t="n">
        <v>118000</v>
      </c>
      <c r="D322" s="31" t="n">
        <v>112900</v>
      </c>
      <c r="E322" s="31" t="n">
        <v>113000</v>
      </c>
      <c r="F322" s="31" t="n">
        <v>111759.65625</v>
      </c>
      <c r="G322" s="31" t="n">
        <v>1246923</v>
      </c>
      <c r="H322" s="36" t="n">
        <v>-0.010507880910683</v>
      </c>
      <c r="I322" s="36" t="n">
        <v>-0.4021164021164021</v>
      </c>
      <c r="J322" s="31" t="n">
        <v>104715</v>
      </c>
      <c r="K322" s="31" t="n">
        <v>125871.6666666667</v>
      </c>
      <c r="L322" s="31" t="n">
        <v>138741.6666666667</v>
      </c>
      <c r="M322" s="36" t="n">
        <v>0.6837515496895807</v>
      </c>
      <c r="N322" s="36" t="n">
        <v>0.6351081856198442</v>
      </c>
      <c r="O322" s="36" t="n">
        <v>-0.01824500434404863</v>
      </c>
      <c r="P322" s="36" t="n">
        <v>-0.3384074941451991</v>
      </c>
      <c r="Q322" s="36" t="n">
        <v>-0.2059030217849613</v>
      </c>
      <c r="R322" s="36" t="n">
        <v>0.07911951487370472</v>
      </c>
      <c r="S322" s="36" t="n">
        <v>-0.1022602386028097</v>
      </c>
      <c r="T322" s="36" t="n">
        <v>-0.1855366688690011</v>
      </c>
      <c r="U322" s="31" t="n">
        <v>189000</v>
      </c>
      <c r="V322" s="31" t="n">
        <v>48450</v>
      </c>
      <c r="W322" s="36" t="n">
        <v>-0.4021164021164021</v>
      </c>
      <c r="X322" s="36" t="n">
        <v>1.332301341589267</v>
      </c>
      <c r="Y322" s="31" t="n">
        <v>95312200</v>
      </c>
      <c r="Z322" s="31" t="n">
        <v>10770278600000</v>
      </c>
      <c r="AA322" s="31" t="n">
        <v>140902299000</v>
      </c>
      <c r="AB322" s="31" t="n">
        <v>114993831955</v>
      </c>
      <c r="AC322" s="36" t="n">
        <v>0.01308251199741481</v>
      </c>
      <c r="AD322" s="29" t="inlineStr">
        <is>
          <t>yfinance_download</t>
        </is>
      </c>
      <c r="AE322" s="29" t="inlineStr">
        <is>
          <t>042700.KS</t>
        </is>
      </c>
    </row>
    <row r="323" ht="24" customHeight="1">
      <c r="A323" s="24" t="inlineStr">
        <is>
          <t>2024-09-30</t>
        </is>
      </c>
      <c r="B323" s="30" t="n">
        <v>111000</v>
      </c>
      <c r="C323" s="30" t="n">
        <v>113000</v>
      </c>
      <c r="D323" s="30" t="n">
        <v>108300</v>
      </c>
      <c r="E323" s="30" t="n">
        <v>108300</v>
      </c>
      <c r="F323" s="30" t="n">
        <v>107111.2421875</v>
      </c>
      <c r="G323" s="30" t="n">
        <v>732766</v>
      </c>
      <c r="H323" s="35" t="n">
        <v>-0.04159292035398232</v>
      </c>
      <c r="I323" s="35" t="n">
        <v>-0.426984126984127</v>
      </c>
      <c r="J323" s="30" t="n">
        <v>103990</v>
      </c>
      <c r="K323" s="30" t="n">
        <v>124866.6666666667</v>
      </c>
      <c r="L323" s="30" t="n">
        <v>138431.6666666667</v>
      </c>
      <c r="M323" s="35" t="n">
        <v>0.6505425154350549</v>
      </c>
      <c r="N323" s="35" t="n">
        <v>0.6391372709594285</v>
      </c>
      <c r="O323" s="35" t="n">
        <v>-0.1180781758957655</v>
      </c>
      <c r="P323" s="35" t="n">
        <v>-0.3576512455516014</v>
      </c>
      <c r="Q323" s="35" t="n">
        <v>-0.2556701030927835</v>
      </c>
      <c r="R323" s="35" t="n">
        <v>0.04144629291278012</v>
      </c>
      <c r="S323" s="35" t="n">
        <v>-0.1326748531767219</v>
      </c>
      <c r="T323" s="35" t="n">
        <v>-0.2176645517042102</v>
      </c>
      <c r="U323" s="30" t="n">
        <v>189000</v>
      </c>
      <c r="V323" s="30" t="n">
        <v>48450</v>
      </c>
      <c r="W323" s="35" t="n">
        <v>-0.426984126984127</v>
      </c>
      <c r="X323" s="35" t="n">
        <v>1.235294117647059</v>
      </c>
      <c r="Y323" s="30" t="n">
        <v>95312200</v>
      </c>
      <c r="Z323" s="30" t="n">
        <v>10322311260000</v>
      </c>
      <c r="AA323" s="30" t="n">
        <v>79358557800</v>
      </c>
      <c r="AB323" s="30" t="n">
        <v>110106412385</v>
      </c>
      <c r="AC323" s="35" t="n">
        <v>0.007688060919798305</v>
      </c>
      <c r="AD323" s="24" t="inlineStr">
        <is>
          <t>yfinance_download</t>
        </is>
      </c>
      <c r="AE323" s="24" t="inlineStr">
        <is>
          <t>042700.KS</t>
        </is>
      </c>
    </row>
    <row r="324" ht="24" customHeight="1">
      <c r="A324" s="29" t="inlineStr">
        <is>
          <t>2024-10-02</t>
        </is>
      </c>
      <c r="B324" s="31" t="n">
        <v>105400</v>
      </c>
      <c r="C324" s="31" t="n">
        <v>109300</v>
      </c>
      <c r="D324" s="31" t="n">
        <v>104000</v>
      </c>
      <c r="E324" s="31" t="n">
        <v>107900</v>
      </c>
      <c r="F324" s="31" t="n">
        <v>106715.6328125</v>
      </c>
      <c r="G324" s="31" t="n">
        <v>537353</v>
      </c>
      <c r="H324" s="36" t="n">
        <v>-0.003693444136657398</v>
      </c>
      <c r="I324" s="36" t="n">
        <v>-0.4291005291005291</v>
      </c>
      <c r="J324" s="31" t="n">
        <v>103825</v>
      </c>
      <c r="K324" s="31" t="n">
        <v>123885</v>
      </c>
      <c r="L324" s="31" t="n">
        <v>138123.3333333333</v>
      </c>
      <c r="M324" s="36" t="n">
        <v>0.5592060779733941</v>
      </c>
      <c r="N324" s="36" t="n">
        <v>0.6391046499900966</v>
      </c>
      <c r="O324" s="36" t="n">
        <v>-0.02967625899280579</v>
      </c>
      <c r="P324" s="36" t="n">
        <v>-0.3531175059952039</v>
      </c>
      <c r="Q324" s="36" t="n">
        <v>-0.2553485162180814</v>
      </c>
      <c r="R324" s="36" t="n">
        <v>0.03924873585359978</v>
      </c>
      <c r="S324" s="36" t="n">
        <v>-0.1290309561286677</v>
      </c>
      <c r="T324" s="36" t="n">
        <v>-0.2188141033375969</v>
      </c>
      <c r="U324" s="31" t="n">
        <v>189000</v>
      </c>
      <c r="V324" s="31" t="n">
        <v>48450</v>
      </c>
      <c r="W324" s="36" t="n">
        <v>-0.4291005291005291</v>
      </c>
      <c r="X324" s="36" t="n">
        <v>1.227038183694531</v>
      </c>
      <c r="Y324" s="31" t="n">
        <v>95312200</v>
      </c>
      <c r="Z324" s="31" t="n">
        <v>10284186380000</v>
      </c>
      <c r="AA324" s="31" t="n">
        <v>57980388700</v>
      </c>
      <c r="AB324" s="31" t="n">
        <v>102025388140</v>
      </c>
      <c r="AC324" s="36" t="n">
        <v>0.005637819712481718</v>
      </c>
      <c r="AD324" s="29" t="inlineStr">
        <is>
          <t>yfinance_download</t>
        </is>
      </c>
      <c r="AE324" s="29" t="inlineStr">
        <is>
          <t>042700.KS</t>
        </is>
      </c>
    </row>
    <row r="325" ht="24" customHeight="1">
      <c r="A325" s="24" t="inlineStr">
        <is>
          <t>2024-10-04</t>
        </is>
      </c>
      <c r="B325" s="30" t="n">
        <v>107900</v>
      </c>
      <c r="C325" s="30" t="n">
        <v>109700</v>
      </c>
      <c r="D325" s="30" t="n">
        <v>107400</v>
      </c>
      <c r="E325" s="30" t="n">
        <v>107400</v>
      </c>
      <c r="F325" s="30" t="n">
        <v>106221.125</v>
      </c>
      <c r="G325" s="30" t="n">
        <v>458373</v>
      </c>
      <c r="H325" s="35" t="n">
        <v>-0.004633920296570948</v>
      </c>
      <c r="I325" s="35" t="n">
        <v>-0.4317460317460318</v>
      </c>
      <c r="J325" s="30" t="n">
        <v>103470</v>
      </c>
      <c r="K325" s="30" t="n">
        <v>123005</v>
      </c>
      <c r="L325" s="30" t="n">
        <v>137874.1666666667</v>
      </c>
      <c r="M325" s="35" t="n">
        <v>0.547448063521056</v>
      </c>
      <c r="N325" s="35" t="n">
        <v>0.6353664491442265</v>
      </c>
      <c r="O325" s="35" t="n">
        <v>-0.06200873362445414</v>
      </c>
      <c r="P325" s="35" t="n">
        <v>-0.3295880149812734</v>
      </c>
      <c r="Q325" s="35" t="n">
        <v>-0.2177713037144938</v>
      </c>
      <c r="R325" s="35" t="n">
        <v>0.03798202377500726</v>
      </c>
      <c r="S325" s="35" t="n">
        <v>-0.1268647615950571</v>
      </c>
      <c r="T325" s="35" t="n">
        <v>-0.2210288366807898</v>
      </c>
      <c r="U325" s="30" t="n">
        <v>189000</v>
      </c>
      <c r="V325" s="30" t="n">
        <v>48450</v>
      </c>
      <c r="W325" s="35" t="n">
        <v>-0.4317460317460318</v>
      </c>
      <c r="X325" s="35" t="n">
        <v>1.21671826625387</v>
      </c>
      <c r="Y325" s="30" t="n">
        <v>95312200</v>
      </c>
      <c r="Z325" s="30" t="n">
        <v>10236530280000</v>
      </c>
      <c r="AA325" s="30" t="n">
        <v>49229260200</v>
      </c>
      <c r="AB325" s="30" t="n">
        <v>98328720550</v>
      </c>
      <c r="AC325" s="35" t="n">
        <v>0.004809174481336073</v>
      </c>
      <c r="AD325" s="24" t="inlineStr">
        <is>
          <t>yfinance_download</t>
        </is>
      </c>
      <c r="AE325" s="24" t="inlineStr">
        <is>
          <t>042700.KS</t>
        </is>
      </c>
    </row>
    <row r="326" ht="24" customHeight="1">
      <c r="A326" s="29" t="inlineStr">
        <is>
          <t>2024-10-07</t>
        </is>
      </c>
      <c r="B326" s="31" t="n">
        <v>109000</v>
      </c>
      <c r="C326" s="31" t="n">
        <v>111200</v>
      </c>
      <c r="D326" s="31" t="n">
        <v>107100</v>
      </c>
      <c r="E326" s="31" t="n">
        <v>110800</v>
      </c>
      <c r="F326" s="31" t="n">
        <v>109583.8046875</v>
      </c>
      <c r="G326" s="31" t="n">
        <v>521747</v>
      </c>
      <c r="H326" s="36" t="n">
        <v>0.03165735567970196</v>
      </c>
      <c r="I326" s="36" t="n">
        <v>-0.4137566137566138</v>
      </c>
      <c r="J326" s="31" t="n">
        <v>103440</v>
      </c>
      <c r="K326" s="31" t="n">
        <v>122095</v>
      </c>
      <c r="L326" s="31" t="n">
        <v>137666.6666666667</v>
      </c>
      <c r="M326" s="36" t="n">
        <v>0.5523449871328862</v>
      </c>
      <c r="N326" s="36" t="n">
        <v>0.6351620096715557</v>
      </c>
      <c r="O326" s="36" t="n">
        <v>-0.00538599640933568</v>
      </c>
      <c r="P326" s="36" t="n">
        <v>-0.3301088270858524</v>
      </c>
      <c r="Q326" s="36" t="n">
        <v>-0.1834929992630803</v>
      </c>
      <c r="R326" s="36" t="n">
        <v>0.07115235885537508</v>
      </c>
      <c r="S326" s="36" t="n">
        <v>-0.09250993079159675</v>
      </c>
      <c r="T326" s="36" t="n">
        <v>-0.1951573849878934</v>
      </c>
      <c r="U326" s="31" t="n">
        <v>189000</v>
      </c>
      <c r="V326" s="31" t="n">
        <v>48450</v>
      </c>
      <c r="W326" s="36" t="n">
        <v>-0.4137566137566138</v>
      </c>
      <c r="X326" s="36" t="n">
        <v>1.286893704850361</v>
      </c>
      <c r="Y326" s="31" t="n">
        <v>95312200</v>
      </c>
      <c r="Z326" s="31" t="n">
        <v>10560591760000</v>
      </c>
      <c r="AA326" s="31" t="n">
        <v>57809567600</v>
      </c>
      <c r="AB326" s="31" t="n">
        <v>97060492110</v>
      </c>
      <c r="AC326" s="36" t="n">
        <v>0.005474084115150002</v>
      </c>
      <c r="AD326" s="29" t="inlineStr">
        <is>
          <t>yfinance_download</t>
        </is>
      </c>
      <c r="AE326" s="29" t="inlineStr">
        <is>
          <t>042700.KS</t>
        </is>
      </c>
    </row>
    <row r="327" ht="24" customHeight="1">
      <c r="A327" s="24" t="inlineStr">
        <is>
          <t>2024-10-08</t>
        </is>
      </c>
      <c r="B327" s="30" t="n">
        <v>110600</v>
      </c>
      <c r="C327" s="30" t="n">
        <v>111200</v>
      </c>
      <c r="D327" s="30" t="n">
        <v>107100</v>
      </c>
      <c r="E327" s="30" t="n">
        <v>107400</v>
      </c>
      <c r="F327" s="30" t="n">
        <v>106221.125</v>
      </c>
      <c r="G327" s="30" t="n">
        <v>421986</v>
      </c>
      <c r="H327" s="35" t="n">
        <v>-0.03068592057761732</v>
      </c>
      <c r="I327" s="35" t="n">
        <v>-0.4317460317460318</v>
      </c>
      <c r="J327" s="30" t="n">
        <v>103380</v>
      </c>
      <c r="K327" s="30" t="n">
        <v>121176.6666666667</v>
      </c>
      <c r="L327" s="30" t="n">
        <v>137457.5</v>
      </c>
      <c r="M327" s="35" t="n">
        <v>0.5560747099761677</v>
      </c>
      <c r="N327" s="35" t="n">
        <v>0.6367645115369263</v>
      </c>
      <c r="O327" s="35" t="n">
        <v>-0.01104972375690605</v>
      </c>
      <c r="P327" s="35" t="n">
        <v>-0.3390769230769231</v>
      </c>
      <c r="Q327" s="35" t="n">
        <v>-0.189433962264151</v>
      </c>
      <c r="R327" s="35" t="n">
        <v>0.03888566453859554</v>
      </c>
      <c r="S327" s="35" t="n">
        <v>-0.1136907545457047</v>
      </c>
      <c r="T327" s="35" t="n">
        <v>-0.2186675881636142</v>
      </c>
      <c r="U327" s="30" t="n">
        <v>189000</v>
      </c>
      <c r="V327" s="30" t="n">
        <v>48450</v>
      </c>
      <c r="W327" s="35" t="n">
        <v>-0.4317460317460318</v>
      </c>
      <c r="X327" s="35" t="n">
        <v>1.21671826625387</v>
      </c>
      <c r="Y327" s="30" t="n">
        <v>95312200</v>
      </c>
      <c r="Z327" s="30" t="n">
        <v>10236530280000</v>
      </c>
      <c r="AA327" s="30" t="n">
        <v>45321296400</v>
      </c>
      <c r="AB327" s="30" t="n">
        <v>95735871690</v>
      </c>
      <c r="AC327" s="35" t="n">
        <v>0.004427408033808893</v>
      </c>
      <c r="AD327" s="24" t="inlineStr">
        <is>
          <t>yfinance_download</t>
        </is>
      </c>
      <c r="AE327" s="24" t="inlineStr">
        <is>
          <t>042700.KS</t>
        </is>
      </c>
    </row>
    <row r="328" ht="24" customHeight="1">
      <c r="A328" s="29" t="inlineStr">
        <is>
          <t>2024-10-10</t>
        </is>
      </c>
      <c r="B328" s="31" t="n">
        <v>109500</v>
      </c>
      <c r="C328" s="31" t="n">
        <v>114800</v>
      </c>
      <c r="D328" s="31" t="n">
        <v>109500</v>
      </c>
      <c r="E328" s="31" t="n">
        <v>110700</v>
      </c>
      <c r="F328" s="31" t="n">
        <v>109484.90625</v>
      </c>
      <c r="G328" s="31" t="n">
        <v>925929</v>
      </c>
      <c r="H328" s="36" t="n">
        <v>0.03072625698324027</v>
      </c>
      <c r="I328" s="36" t="n">
        <v>-0.4142857142857143</v>
      </c>
      <c r="J328" s="31" t="n">
        <v>103865</v>
      </c>
      <c r="K328" s="31" t="n">
        <v>120286.6666666667</v>
      </c>
      <c r="L328" s="31" t="n">
        <v>137272.5</v>
      </c>
      <c r="M328" s="36" t="n">
        <v>0.4999919501389273</v>
      </c>
      <c r="N328" s="36" t="n">
        <v>0.6404220934598078</v>
      </c>
      <c r="O328" s="36" t="n">
        <v>0.09603960396039612</v>
      </c>
      <c r="P328" s="36" t="n">
        <v>-0.3254113345521024</v>
      </c>
      <c r="Q328" s="36" t="n">
        <v>-0.1670428893905191</v>
      </c>
      <c r="R328" s="36" t="n">
        <v>0.06580657584364324</v>
      </c>
      <c r="S328" s="36" t="n">
        <v>-0.07969849803247797</v>
      </c>
      <c r="T328" s="36" t="n">
        <v>-0.1935748237993772</v>
      </c>
      <c r="U328" s="31" t="n">
        <v>189000</v>
      </c>
      <c r="V328" s="31" t="n">
        <v>49750</v>
      </c>
      <c r="W328" s="36" t="n">
        <v>-0.4142857142857143</v>
      </c>
      <c r="X328" s="36" t="n">
        <v>1.225125628140704</v>
      </c>
      <c r="Y328" s="31" t="n">
        <v>95312200</v>
      </c>
      <c r="Z328" s="31" t="n">
        <v>10551060540000</v>
      </c>
      <c r="AA328" s="31" t="n">
        <v>102500340300</v>
      </c>
      <c r="AB328" s="31" t="n">
        <v>94649600805</v>
      </c>
      <c r="AC328" s="36" t="n">
        <v>0.009714695495435003</v>
      </c>
      <c r="AD328" s="29" t="inlineStr">
        <is>
          <t>yfinance_download</t>
        </is>
      </c>
      <c r="AE328" s="29" t="inlineStr">
        <is>
          <t>042700.KS</t>
        </is>
      </c>
    </row>
    <row r="329" ht="24" customHeight="1">
      <c r="A329" s="24" t="inlineStr">
        <is>
          <t>2024-10-11</t>
        </is>
      </c>
      <c r="B329" s="30" t="n">
        <v>112200</v>
      </c>
      <c r="C329" s="30" t="n">
        <v>113300</v>
      </c>
      <c r="D329" s="30" t="n">
        <v>108200</v>
      </c>
      <c r="E329" s="30" t="n">
        <v>109500</v>
      </c>
      <c r="F329" s="30" t="n">
        <v>108298.0703125</v>
      </c>
      <c r="G329" s="30" t="n">
        <v>489050</v>
      </c>
      <c r="H329" s="35" t="n">
        <v>-0.01084010840108396</v>
      </c>
      <c r="I329" s="35" t="n">
        <v>-0.4206349206349206</v>
      </c>
      <c r="J329" s="30" t="n">
        <v>104350</v>
      </c>
      <c r="K329" s="30" t="n">
        <v>119405</v>
      </c>
      <c r="L329" s="30" t="n">
        <v>137004.1666666667</v>
      </c>
      <c r="M329" s="35" t="n">
        <v>0.4995375230211959</v>
      </c>
      <c r="N329" s="35" t="n">
        <v>0.6404376889774053</v>
      </c>
      <c r="O329" s="35" t="n">
        <v>0.09719438877755504</v>
      </c>
      <c r="P329" s="35" t="n">
        <v>-0.3257389162561576</v>
      </c>
      <c r="Q329" s="35" t="n">
        <v>-0.2272406492589979</v>
      </c>
      <c r="R329" s="35" t="n">
        <v>0.04935313847628175</v>
      </c>
      <c r="S329" s="35" t="n">
        <v>-0.08295297516854405</v>
      </c>
      <c r="T329" s="35" t="n">
        <v>-0.2007542349685228</v>
      </c>
      <c r="U329" s="30" t="n">
        <v>189000</v>
      </c>
      <c r="V329" s="30" t="n">
        <v>49750</v>
      </c>
      <c r="W329" s="35" t="n">
        <v>-0.4206349206349206</v>
      </c>
      <c r="X329" s="35" t="n">
        <v>1.201005025125628</v>
      </c>
      <c r="Y329" s="30" t="n">
        <v>95312200</v>
      </c>
      <c r="Z329" s="30" t="n">
        <v>10436685900000</v>
      </c>
      <c r="AA329" s="30" t="n">
        <v>53550975000</v>
      </c>
      <c r="AB329" s="30" t="n">
        <v>92774917265</v>
      </c>
      <c r="AC329" s="35" t="n">
        <v>0.005131032543577842</v>
      </c>
      <c r="AD329" s="24" t="inlineStr">
        <is>
          <t>yfinance_download</t>
        </is>
      </c>
      <c r="AE329" s="24" t="inlineStr">
        <is>
          <t>042700.KS</t>
        </is>
      </c>
    </row>
    <row r="330" ht="24" customHeight="1">
      <c r="A330" s="29" t="inlineStr">
        <is>
          <t>2024-10-14</t>
        </is>
      </c>
      <c r="B330" s="31" t="n">
        <v>110200</v>
      </c>
      <c r="C330" s="31" t="n">
        <v>116000</v>
      </c>
      <c r="D330" s="31" t="n">
        <v>110200</v>
      </c>
      <c r="E330" s="31" t="n">
        <v>109500</v>
      </c>
      <c r="F330" s="31" t="n">
        <v>108298.0703125</v>
      </c>
      <c r="G330" s="31" t="n">
        <v>916860</v>
      </c>
      <c r="H330" s="36" t="n">
        <v>0</v>
      </c>
      <c r="I330" s="36" t="n">
        <v>-0.4206349206349206</v>
      </c>
      <c r="J330" s="31" t="n">
        <v>105000</v>
      </c>
      <c r="K330" s="31" t="n">
        <v>118546.6666666667</v>
      </c>
      <c r="L330" s="31" t="n">
        <v>136704.1666666667</v>
      </c>
      <c r="M330" s="36" t="n">
        <v>0.4794022777955377</v>
      </c>
      <c r="N330" s="36" t="n">
        <v>0.6405156287054835</v>
      </c>
      <c r="O330" s="36" t="n">
        <v>0.1347150259067358</v>
      </c>
      <c r="P330" s="36" t="n">
        <v>-0.3198757763975155</v>
      </c>
      <c r="Q330" s="36" t="n">
        <v>-0.2474226804123711</v>
      </c>
      <c r="R330" s="36" t="n">
        <v>0.04285714285714293</v>
      </c>
      <c r="S330" s="36" t="n">
        <v>-0.07631312563266224</v>
      </c>
      <c r="T330" s="36" t="n">
        <v>-0.1990002743149745</v>
      </c>
      <c r="U330" s="31" t="n">
        <v>189000</v>
      </c>
      <c r="V330" s="31" t="n">
        <v>49750</v>
      </c>
      <c r="W330" s="36" t="n">
        <v>-0.4206349206349206</v>
      </c>
      <c r="X330" s="36" t="n">
        <v>1.201005025125628</v>
      </c>
      <c r="Y330" s="31" t="n">
        <v>95312200</v>
      </c>
      <c r="Z330" s="31" t="n">
        <v>10436685900000</v>
      </c>
      <c r="AA330" s="31" t="n">
        <v>100396170000</v>
      </c>
      <c r="AB330" s="31" t="n">
        <v>93051659090</v>
      </c>
      <c r="AC330" s="36" t="n">
        <v>0.009619545032010592</v>
      </c>
      <c r="AD330" s="29" t="inlineStr">
        <is>
          <t>yfinance_download</t>
        </is>
      </c>
      <c r="AE330" s="29" t="inlineStr">
        <is>
          <t>042700.KS</t>
        </is>
      </c>
    </row>
    <row r="331" ht="24" customHeight="1">
      <c r="A331" s="24" t="inlineStr">
        <is>
          <t>2024-10-15</t>
        </is>
      </c>
      <c r="B331" s="30" t="n">
        <v>116000</v>
      </c>
      <c r="C331" s="30" t="n">
        <v>116500</v>
      </c>
      <c r="D331" s="30" t="n">
        <v>110600</v>
      </c>
      <c r="E331" s="30" t="n">
        <v>112000</v>
      </c>
      <c r="F331" s="30" t="n">
        <v>110770.6328125</v>
      </c>
      <c r="G331" s="30" t="n">
        <v>840526</v>
      </c>
      <c r="H331" s="35" t="n">
        <v>0.02283105022831045</v>
      </c>
      <c r="I331" s="35" t="n">
        <v>-0.4074074074074074</v>
      </c>
      <c r="J331" s="30" t="n">
        <v>105720</v>
      </c>
      <c r="K331" s="30" t="n">
        <v>117738.3333333333</v>
      </c>
      <c r="L331" s="30" t="n">
        <v>136418.3333333333</v>
      </c>
      <c r="M331" s="35" t="n">
        <v>0.4825745302097768</v>
      </c>
      <c r="N331" s="35" t="n">
        <v>0.6431461996362731</v>
      </c>
      <c r="O331" s="35" t="n">
        <v>0.1475409836065573</v>
      </c>
      <c r="P331" s="35" t="n">
        <v>-0.3021806853582555</v>
      </c>
      <c r="Q331" s="35" t="n">
        <v>-0.2344497607655502</v>
      </c>
      <c r="R331" s="35" t="n">
        <v>0.05940219447597417</v>
      </c>
      <c r="S331" s="35" t="n">
        <v>-0.04873802075223299</v>
      </c>
      <c r="T331" s="35" t="n">
        <v>-0.1789959805011546</v>
      </c>
      <c r="U331" s="30" t="n">
        <v>189000</v>
      </c>
      <c r="V331" s="30" t="n">
        <v>49750</v>
      </c>
      <c r="W331" s="35" t="n">
        <v>-0.4074074074074074</v>
      </c>
      <c r="X331" s="35" t="n">
        <v>1.251256281407035</v>
      </c>
      <c r="Y331" s="30" t="n">
        <v>95312200</v>
      </c>
      <c r="Z331" s="30" t="n">
        <v>10674966400000</v>
      </c>
      <c r="AA331" s="30" t="n">
        <v>94138912000</v>
      </c>
      <c r="AB331" s="30" t="n">
        <v>93871723730</v>
      </c>
      <c r="AC331" s="35" t="n">
        <v>0.008818661199720497</v>
      </c>
      <c r="AD331" s="24" t="inlineStr">
        <is>
          <t>yfinance_download</t>
        </is>
      </c>
      <c r="AE331" s="24" t="inlineStr">
        <is>
          <t>042700.KS</t>
        </is>
      </c>
    </row>
    <row r="332" ht="24" customHeight="1">
      <c r="A332" s="29" t="inlineStr">
        <is>
          <t>2024-10-16</t>
        </is>
      </c>
      <c r="B332" s="31" t="n">
        <v>107400</v>
      </c>
      <c r="C332" s="31" t="n">
        <v>110700</v>
      </c>
      <c r="D332" s="31" t="n">
        <v>105800</v>
      </c>
      <c r="E332" s="31" t="n">
        <v>108700</v>
      </c>
      <c r="F332" s="31" t="n">
        <v>107506.8515625</v>
      </c>
      <c r="G332" s="31" t="n">
        <v>884075</v>
      </c>
      <c r="H332" s="36" t="n">
        <v>-0.02946428571428572</v>
      </c>
      <c r="I332" s="36" t="n">
        <v>-0.4248677248677248</v>
      </c>
      <c r="J332" s="31" t="n">
        <v>106335</v>
      </c>
      <c r="K332" s="31" t="n">
        <v>116918.3333333333</v>
      </c>
      <c r="L332" s="31" t="n">
        <v>136155</v>
      </c>
      <c r="M332" s="36" t="n">
        <v>0.495513793055354</v>
      </c>
      <c r="N332" s="36" t="n">
        <v>0.6446912045607671</v>
      </c>
      <c r="O332" s="36" t="n">
        <v>0.1275933609958506</v>
      </c>
      <c r="P332" s="36" t="n">
        <v>-0.311589613679544</v>
      </c>
      <c r="Q332" s="36" t="n">
        <v>-0.225231646471846</v>
      </c>
      <c r="R332" s="36" t="n">
        <v>0.02224103070484795</v>
      </c>
      <c r="S332" s="36" t="n">
        <v>-0.07029122892047146</v>
      </c>
      <c r="T332" s="36" t="n">
        <v>-0.2016451837978774</v>
      </c>
      <c r="U332" s="31" t="n">
        <v>189000</v>
      </c>
      <c r="V332" s="31" t="n">
        <v>49750</v>
      </c>
      <c r="W332" s="36" t="n">
        <v>-0.4248677248677248</v>
      </c>
      <c r="X332" s="36" t="n">
        <v>1.184924623115578</v>
      </c>
      <c r="Y332" s="31" t="n">
        <v>95312200</v>
      </c>
      <c r="Z332" s="31" t="n">
        <v>10360436140000</v>
      </c>
      <c r="AA332" s="31" t="n">
        <v>96098952500</v>
      </c>
      <c r="AB332" s="31" t="n">
        <v>94249318195</v>
      </c>
      <c r="AC332" s="36" t="n">
        <v>0.009275570178843841</v>
      </c>
      <c r="AD332" s="29" t="inlineStr">
        <is>
          <t>yfinance_download</t>
        </is>
      </c>
      <c r="AE332" s="29" t="inlineStr">
        <is>
          <t>042700.KS</t>
        </is>
      </c>
    </row>
    <row r="333" ht="24" customHeight="1">
      <c r="A333" s="24" t="inlineStr">
        <is>
          <t>2024-10-17</t>
        </is>
      </c>
      <c r="B333" s="30" t="n">
        <v>113000</v>
      </c>
      <c r="C333" s="30" t="n">
        <v>117300</v>
      </c>
      <c r="D333" s="30" t="n">
        <v>111000</v>
      </c>
      <c r="E333" s="30" t="n">
        <v>116300</v>
      </c>
      <c r="F333" s="30" t="n">
        <v>115023.4296875</v>
      </c>
      <c r="G333" s="30" t="n">
        <v>2401909</v>
      </c>
      <c r="H333" s="35" t="n">
        <v>0.06991720331186757</v>
      </c>
      <c r="I333" s="35" t="n">
        <v>-0.3846560846560847</v>
      </c>
      <c r="J333" s="30" t="n">
        <v>107335</v>
      </c>
      <c r="K333" s="30" t="n">
        <v>116055</v>
      </c>
      <c r="L333" s="30" t="n">
        <v>135988.3333333333</v>
      </c>
      <c r="M333" s="35" t="n">
        <v>0.5429748499351414</v>
      </c>
      <c r="N333" s="35" t="n">
        <v>0.6472445571533501</v>
      </c>
      <c r="O333" s="35" t="n">
        <v>0.2076843198338525</v>
      </c>
      <c r="P333" s="35" t="n">
        <v>-0.3081499107674004</v>
      </c>
      <c r="Q333" s="35" t="n">
        <v>-0.1467351430667645</v>
      </c>
      <c r="R333" s="35" t="n">
        <v>0.08352354777099724</v>
      </c>
      <c r="S333" s="35" t="n">
        <v>0.002111068028090024</v>
      </c>
      <c r="T333" s="35" t="n">
        <v>-0.144779576679372</v>
      </c>
      <c r="U333" s="30" t="n">
        <v>189000</v>
      </c>
      <c r="V333" s="30" t="n">
        <v>49750</v>
      </c>
      <c r="W333" s="35" t="n">
        <v>-0.3846560846560847</v>
      </c>
      <c r="X333" s="35" t="n">
        <v>1.337688442211055</v>
      </c>
      <c r="Y333" s="30" t="n">
        <v>95312200</v>
      </c>
      <c r="Z333" s="30" t="n">
        <v>11084808860000</v>
      </c>
      <c r="AA333" s="30" t="n">
        <v>279342016700</v>
      </c>
      <c r="AB333" s="30" t="n">
        <v>105564418145</v>
      </c>
      <c r="AC333" s="35" t="n">
        <v>0.02520043604071672</v>
      </c>
      <c r="AD333" s="24" t="inlineStr">
        <is>
          <t>yfinance_download</t>
        </is>
      </c>
      <c r="AE333" s="24" t="inlineStr">
        <is>
          <t>042700.KS</t>
        </is>
      </c>
    </row>
    <row r="334" ht="24" customHeight="1">
      <c r="A334" s="29" t="inlineStr">
        <is>
          <t>2024-10-18</t>
        </is>
      </c>
      <c r="B334" s="31" t="n">
        <v>113600</v>
      </c>
      <c r="C334" s="31" t="n">
        <v>115100</v>
      </c>
      <c r="D334" s="31" t="n">
        <v>104100</v>
      </c>
      <c r="E334" s="31" t="n">
        <v>104200</v>
      </c>
      <c r="F334" s="31" t="n">
        <v>103056.25</v>
      </c>
      <c r="G334" s="31" t="n">
        <v>3296876</v>
      </c>
      <c r="H334" s="36" t="n">
        <v>-0.1040412725709372</v>
      </c>
      <c r="I334" s="36" t="n">
        <v>-0.4486772486772487</v>
      </c>
      <c r="J334" s="31" t="n">
        <v>107475</v>
      </c>
      <c r="K334" s="31" t="n">
        <v>115135</v>
      </c>
      <c r="L334" s="31" t="n">
        <v>135668.3333333333</v>
      </c>
      <c r="M334" s="36" t="n">
        <v>0.6531487584401807</v>
      </c>
      <c r="N334" s="36" t="n">
        <v>0.671683945668296</v>
      </c>
      <c r="O334" s="36" t="n">
        <v>0.02761341222879676</v>
      </c>
      <c r="P334" s="36" t="n">
        <v>-0.3462986198243413</v>
      </c>
      <c r="Q334" s="36" t="n">
        <v>-0.2692847124824684</v>
      </c>
      <c r="R334" s="36" t="n">
        <v>-0.03047220283786922</v>
      </c>
      <c r="S334" s="36" t="n">
        <v>-0.09497546358622488</v>
      </c>
      <c r="T334" s="36" t="n">
        <v>-0.231950467438975</v>
      </c>
      <c r="U334" s="31" t="n">
        <v>189000</v>
      </c>
      <c r="V334" s="31" t="n">
        <v>49750</v>
      </c>
      <c r="W334" s="36" t="n">
        <v>-0.4486772486772487</v>
      </c>
      <c r="X334" s="36" t="n">
        <v>1.094472361809045</v>
      </c>
      <c r="Y334" s="31" t="n">
        <v>95312200</v>
      </c>
      <c r="Z334" s="31" t="n">
        <v>9931531240000</v>
      </c>
      <c r="AA334" s="31" t="n">
        <v>343534479200</v>
      </c>
      <c r="AB334" s="31" t="n">
        <v>117374511615</v>
      </c>
      <c r="AC334" s="36" t="n">
        <v>0.03459028330056383</v>
      </c>
      <c r="AD334" s="29" t="inlineStr">
        <is>
          <t>yfinance_download</t>
        </is>
      </c>
      <c r="AE334" s="29" t="inlineStr">
        <is>
          <t>042700.KS</t>
        </is>
      </c>
    </row>
    <row r="335" ht="24" customHeight="1">
      <c r="A335" s="24" t="inlineStr">
        <is>
          <t>2024-10-21</t>
        </is>
      </c>
      <c r="B335" s="30" t="n">
        <v>104900</v>
      </c>
      <c r="C335" s="30" t="n">
        <v>105600</v>
      </c>
      <c r="D335" s="30" t="n">
        <v>100200</v>
      </c>
      <c r="E335" s="30" t="n">
        <v>101500</v>
      </c>
      <c r="F335" s="30" t="n">
        <v>100385.8828125</v>
      </c>
      <c r="G335" s="30" t="n">
        <v>1238276</v>
      </c>
      <c r="H335" s="35" t="n">
        <v>-0.02591170825335898</v>
      </c>
      <c r="I335" s="35" t="n">
        <v>-0.4629629629629629</v>
      </c>
      <c r="J335" s="30" t="n">
        <v>107575</v>
      </c>
      <c r="K335" s="30" t="n">
        <v>114268.3333333333</v>
      </c>
      <c r="L335" s="30" t="n">
        <v>135377.5</v>
      </c>
      <c r="M335" s="35" t="n">
        <v>0.656682462237272</v>
      </c>
      <c r="N335" s="35" t="n">
        <v>0.6698891193466716</v>
      </c>
      <c r="O335" s="35" t="n">
        <v>0.0201005025125629</v>
      </c>
      <c r="P335" s="35" t="n">
        <v>-0.3387622149837134</v>
      </c>
      <c r="Q335" s="35" t="n">
        <v>-0.2558651026392962</v>
      </c>
      <c r="R335" s="35" t="n">
        <v>-0.05647222867766677</v>
      </c>
      <c r="S335" s="35" t="n">
        <v>-0.1117399104447134</v>
      </c>
      <c r="T335" s="35" t="n">
        <v>-0.2502446861553803</v>
      </c>
      <c r="U335" s="30" t="n">
        <v>189000</v>
      </c>
      <c r="V335" s="30" t="n">
        <v>49750</v>
      </c>
      <c r="W335" s="35" t="n">
        <v>-0.4629629629629629</v>
      </c>
      <c r="X335" s="35" t="n">
        <v>1.040201005025126</v>
      </c>
      <c r="Y335" s="30" t="n">
        <v>95312200</v>
      </c>
      <c r="Z335" s="30" t="n">
        <v>9674188300000</v>
      </c>
      <c r="AA335" s="30" t="n">
        <v>125685014000</v>
      </c>
      <c r="AB335" s="30" t="n">
        <v>120517945315</v>
      </c>
      <c r="AC335" s="35" t="n">
        <v>0.01299178908890992</v>
      </c>
      <c r="AD335" s="24" t="inlineStr">
        <is>
          <t>yfinance_download</t>
        </is>
      </c>
      <c r="AE335" s="24" t="inlineStr">
        <is>
          <t>042700.KS</t>
        </is>
      </c>
    </row>
    <row r="336" ht="24" customHeight="1">
      <c r="A336" s="29" t="inlineStr">
        <is>
          <t>2024-10-22</t>
        </is>
      </c>
      <c r="B336" s="31" t="n">
        <v>103400</v>
      </c>
      <c r="C336" s="31" t="n">
        <v>104200</v>
      </c>
      <c r="D336" s="31" t="n">
        <v>98500</v>
      </c>
      <c r="E336" s="31" t="n">
        <v>98800</v>
      </c>
      <c r="F336" s="31" t="n">
        <v>97715.515625</v>
      </c>
      <c r="G336" s="31" t="n">
        <v>1086967</v>
      </c>
      <c r="H336" s="36" t="n">
        <v>-0.02660098522167487</v>
      </c>
      <c r="I336" s="36" t="n">
        <v>-0.4772486772486773</v>
      </c>
      <c r="J336" s="31" t="n">
        <v>107705</v>
      </c>
      <c r="K336" s="31" t="n">
        <v>113398.3333333333</v>
      </c>
      <c r="L336" s="31" t="n">
        <v>135141.6666666667</v>
      </c>
      <c r="M336" s="36" t="n">
        <v>0.6524436440357347</v>
      </c>
      <c r="N336" s="36" t="n">
        <v>0.6708996126826101</v>
      </c>
      <c r="O336" s="36" t="n">
        <v>0.02702702702702697</v>
      </c>
      <c r="P336" s="36" t="n">
        <v>-0.3456953642384106</v>
      </c>
      <c r="Q336" s="36" t="n">
        <v>-0.2226593233674272</v>
      </c>
      <c r="R336" s="36" t="n">
        <v>-0.08267954133977062</v>
      </c>
      <c r="S336" s="36" t="n">
        <v>-0.1287349902261937</v>
      </c>
      <c r="T336" s="36" t="n">
        <v>-0.2689153357587716</v>
      </c>
      <c r="U336" s="31" t="n">
        <v>189000</v>
      </c>
      <c r="V336" s="31" t="n">
        <v>51500</v>
      </c>
      <c r="W336" s="36" t="n">
        <v>-0.4772486772486773</v>
      </c>
      <c r="X336" s="36" t="n">
        <v>0.9184466019417477</v>
      </c>
      <c r="Y336" s="31" t="n">
        <v>95312200</v>
      </c>
      <c r="Z336" s="31" t="n">
        <v>9416845360000</v>
      </c>
      <c r="AA336" s="31" t="n">
        <v>107392339600</v>
      </c>
      <c r="AB336" s="31" t="n">
        <v>119913027625</v>
      </c>
      <c r="AC336" s="36" t="n">
        <v>0.01140427982986438</v>
      </c>
      <c r="AD336" s="29" t="inlineStr">
        <is>
          <t>yfinance_download</t>
        </is>
      </c>
      <c r="AE336" s="29" t="inlineStr">
        <is>
          <t>042700.KS</t>
        </is>
      </c>
    </row>
    <row r="337" ht="24" customHeight="1">
      <c r="A337" s="24" t="inlineStr">
        <is>
          <t>2024-10-23</t>
        </is>
      </c>
      <c r="B337" s="30" t="n">
        <v>98800</v>
      </c>
      <c r="C337" s="30" t="n">
        <v>102500</v>
      </c>
      <c r="D337" s="30" t="n">
        <v>98800</v>
      </c>
      <c r="E337" s="30" t="n">
        <v>101500</v>
      </c>
      <c r="F337" s="30" t="n">
        <v>100385.8828125</v>
      </c>
      <c r="G337" s="30" t="n">
        <v>933878</v>
      </c>
      <c r="H337" s="35" t="n">
        <v>0.02732793522267207</v>
      </c>
      <c r="I337" s="35" t="n">
        <v>-0.4629629629629629</v>
      </c>
      <c r="J337" s="30" t="n">
        <v>107765</v>
      </c>
      <c r="K337" s="30" t="n">
        <v>112666.6666666667</v>
      </c>
      <c r="L337" s="30" t="n">
        <v>134892.5</v>
      </c>
      <c r="M337" s="35" t="n">
        <v>0.6420373322169183</v>
      </c>
      <c r="N337" s="35" t="n">
        <v>0.6712017048009685</v>
      </c>
      <c r="O337" s="35" t="n">
        <v>0.01196410767696898</v>
      </c>
      <c r="P337" s="35" t="n">
        <v>-0.3019257221458047</v>
      </c>
      <c r="Q337" s="35" t="n">
        <v>-0.2275494672754946</v>
      </c>
      <c r="R337" s="35" t="n">
        <v>-0.05813575836310492</v>
      </c>
      <c r="S337" s="35" t="n">
        <v>-0.09911242603550297</v>
      </c>
      <c r="T337" s="35" t="n">
        <v>-0.2475489741831458</v>
      </c>
      <c r="U337" s="30" t="n">
        <v>189000</v>
      </c>
      <c r="V337" s="30" t="n">
        <v>52400</v>
      </c>
      <c r="W337" s="35" t="n">
        <v>-0.4629629629629629</v>
      </c>
      <c r="X337" s="35" t="n">
        <v>0.9370229007633588</v>
      </c>
      <c r="Y337" s="30" t="n">
        <v>95312200</v>
      </c>
      <c r="Z337" s="30" t="n">
        <v>9674188300000</v>
      </c>
      <c r="AA337" s="30" t="n">
        <v>94788617000</v>
      </c>
      <c r="AB337" s="30" t="n">
        <v>119857321090</v>
      </c>
      <c r="AC337" s="35" t="n">
        <v>0.009798095102200977</v>
      </c>
      <c r="AD337" s="24" t="inlineStr">
        <is>
          <t>yfinance_download</t>
        </is>
      </c>
      <c r="AE337" s="24" t="inlineStr">
        <is>
          <t>042700.KS</t>
        </is>
      </c>
    </row>
    <row r="338" ht="24" customHeight="1">
      <c r="A338" s="29" t="inlineStr">
        <is>
          <t>2024-10-24</t>
        </is>
      </c>
      <c r="B338" s="31" t="n">
        <v>99300</v>
      </c>
      <c r="C338" s="31" t="n">
        <v>101000</v>
      </c>
      <c r="D338" s="31" t="n">
        <v>98100</v>
      </c>
      <c r="E338" s="31" t="n">
        <v>98200</v>
      </c>
      <c r="F338" s="31" t="n">
        <v>97122.109375</v>
      </c>
      <c r="G338" s="31" t="n">
        <v>827590</v>
      </c>
      <c r="H338" s="36" t="n">
        <v>-0.03251231527093601</v>
      </c>
      <c r="I338" s="36" t="n">
        <v>-0.4804232804232804</v>
      </c>
      <c r="J338" s="31" t="n">
        <v>107605</v>
      </c>
      <c r="K338" s="31" t="n">
        <v>111878.3333333333</v>
      </c>
      <c r="L338" s="31" t="n">
        <v>134522.5</v>
      </c>
      <c r="M338" s="36" t="n">
        <v>0.6519023673225312</v>
      </c>
      <c r="N338" s="36" t="n">
        <v>0.6734282641469727</v>
      </c>
      <c r="O338" s="36" t="n">
        <v>-0.0315581854043393</v>
      </c>
      <c r="P338" s="36" t="n">
        <v>-0.3250859106529209</v>
      </c>
      <c r="Q338" s="36" t="n">
        <v>-0.3113604488078542</v>
      </c>
      <c r="R338" s="36" t="n">
        <v>-0.08740300171925097</v>
      </c>
      <c r="S338" s="36" t="n">
        <v>-0.1222607892502271</v>
      </c>
      <c r="T338" s="36" t="n">
        <v>-0.2700105930234719</v>
      </c>
      <c r="U338" s="31" t="n">
        <v>189000</v>
      </c>
      <c r="V338" s="31" t="n">
        <v>52400</v>
      </c>
      <c r="W338" s="36" t="n">
        <v>-0.4804232804232804</v>
      </c>
      <c r="X338" s="36" t="n">
        <v>0.8740458015267176</v>
      </c>
      <c r="Y338" s="31" t="n">
        <v>95312200</v>
      </c>
      <c r="Z338" s="31" t="n">
        <v>9359658040000</v>
      </c>
      <c r="AA338" s="31" t="n">
        <v>81269338000</v>
      </c>
      <c r="AB338" s="31" t="n">
        <v>120595192470</v>
      </c>
      <c r="AC338" s="36" t="n">
        <v>0.008682938805315584</v>
      </c>
      <c r="AD338" s="29" t="inlineStr">
        <is>
          <t>yfinance_download</t>
        </is>
      </c>
      <c r="AE338" s="29" t="inlineStr">
        <is>
          <t>042700.KS</t>
        </is>
      </c>
    </row>
    <row r="339" ht="24" customHeight="1">
      <c r="A339" s="24" t="inlineStr">
        <is>
          <t>2024-10-25</t>
        </is>
      </c>
      <c r="B339" s="30" t="n">
        <v>98500</v>
      </c>
      <c r="C339" s="30" t="n">
        <v>100100</v>
      </c>
      <c r="D339" s="30" t="n">
        <v>96100</v>
      </c>
      <c r="E339" s="30" t="n">
        <v>97800</v>
      </c>
      <c r="F339" s="30" t="n">
        <v>96726.5</v>
      </c>
      <c r="G339" s="30" t="n">
        <v>760816</v>
      </c>
      <c r="H339" s="35" t="n">
        <v>-0.004073319755600768</v>
      </c>
      <c r="I339" s="35" t="n">
        <v>-0.4825396825396825</v>
      </c>
      <c r="J339" s="30" t="n">
        <v>107215</v>
      </c>
      <c r="K339" s="30" t="n">
        <v>111118.3333333333</v>
      </c>
      <c r="L339" s="30" t="n">
        <v>134200</v>
      </c>
      <c r="M339" s="35" t="n">
        <v>0.6325455163524462</v>
      </c>
      <c r="N339" s="35" t="n">
        <v>0.6731846471606715</v>
      </c>
      <c r="O339" s="35" t="n">
        <v>-0.07386363636363635</v>
      </c>
      <c r="P339" s="35" t="n">
        <v>-0.3179916317991632</v>
      </c>
      <c r="Q339" s="35" t="n">
        <v>-0.2835164835164835</v>
      </c>
      <c r="R339" s="35" t="n">
        <v>-0.08781420510189808</v>
      </c>
      <c r="S339" s="35" t="n">
        <v>-0.1198572092813966</v>
      </c>
      <c r="T339" s="35" t="n">
        <v>-0.2712369597615499</v>
      </c>
      <c r="U339" s="30" t="n">
        <v>189000</v>
      </c>
      <c r="V339" s="30" t="n">
        <v>52400</v>
      </c>
      <c r="W339" s="35" t="n">
        <v>-0.4825396825396825</v>
      </c>
      <c r="X339" s="35" t="n">
        <v>0.866412213740458</v>
      </c>
      <c r="Y339" s="30" t="n">
        <v>95312200</v>
      </c>
      <c r="Z339" s="30" t="n">
        <v>9321533160000</v>
      </c>
      <c r="AA339" s="30" t="n">
        <v>74407804800</v>
      </c>
      <c r="AB339" s="30" t="n">
        <v>119604180630</v>
      </c>
      <c r="AC339" s="35" t="n">
        <v>0.007982356928074266</v>
      </c>
      <c r="AD339" s="24" t="inlineStr">
        <is>
          <t>yfinance_download</t>
        </is>
      </c>
      <c r="AE339" s="24" t="inlineStr">
        <is>
          <t>042700.KS</t>
        </is>
      </c>
    </row>
    <row r="340" ht="24" customHeight="1">
      <c r="A340" s="29" t="inlineStr">
        <is>
          <t>2024-10-28</t>
        </is>
      </c>
      <c r="B340" s="31" t="n">
        <v>97800</v>
      </c>
      <c r="C340" s="31" t="n">
        <v>98100</v>
      </c>
      <c r="D340" s="31" t="n">
        <v>94600</v>
      </c>
      <c r="E340" s="31" t="n">
        <v>95500</v>
      </c>
      <c r="F340" s="31" t="n">
        <v>94451.7421875</v>
      </c>
      <c r="G340" s="31" t="n">
        <v>826381</v>
      </c>
      <c r="H340" s="36" t="n">
        <v>-0.02351738241308798</v>
      </c>
      <c r="I340" s="36" t="n">
        <v>-0.4947089947089947</v>
      </c>
      <c r="J340" s="31" t="n">
        <v>106660</v>
      </c>
      <c r="K340" s="31" t="n">
        <v>110451.6666666667</v>
      </c>
      <c r="L340" s="31" t="n">
        <v>133852.5</v>
      </c>
      <c r="M340" s="36" t="n">
        <v>0.6347084505387472</v>
      </c>
      <c r="N340" s="36" t="n">
        <v>0.6663170846430883</v>
      </c>
      <c r="O340" s="36" t="n">
        <v>-0.1041275797373359</v>
      </c>
      <c r="P340" s="36" t="n">
        <v>-0.2952029520295203</v>
      </c>
      <c r="Q340" s="36" t="n">
        <v>-0.3039358600583091</v>
      </c>
      <c r="R340" s="36" t="n">
        <v>-0.1046315394712169</v>
      </c>
      <c r="S340" s="36" t="n">
        <v>-0.1353684115223854</v>
      </c>
      <c r="T340" s="36" t="n">
        <v>-0.2865280812835024</v>
      </c>
      <c r="U340" s="31" t="n">
        <v>189000</v>
      </c>
      <c r="V340" s="31" t="n">
        <v>52400</v>
      </c>
      <c r="W340" s="36" t="n">
        <v>-0.4947089947089947</v>
      </c>
      <c r="X340" s="36" t="n">
        <v>0.8225190839694656</v>
      </c>
      <c r="Y340" s="31" t="n">
        <v>95312200</v>
      </c>
      <c r="Z340" s="31" t="n">
        <v>9102315100000</v>
      </c>
      <c r="AA340" s="31" t="n">
        <v>78919385500</v>
      </c>
      <c r="AB340" s="31" t="n">
        <v>117724081475</v>
      </c>
      <c r="AC340" s="36" t="n">
        <v>0.008670254175226256</v>
      </c>
      <c r="AD340" s="29" t="inlineStr">
        <is>
          <t>yfinance_download</t>
        </is>
      </c>
      <c r="AE340" s="29" t="inlineStr">
        <is>
          <t>042700.KS</t>
        </is>
      </c>
    </row>
    <row r="341" ht="24" customHeight="1">
      <c r="A341" s="24" t="inlineStr">
        <is>
          <t>2024-10-29</t>
        </is>
      </c>
      <c r="B341" s="30" t="n">
        <v>95000</v>
      </c>
      <c r="C341" s="30" t="n">
        <v>95800</v>
      </c>
      <c r="D341" s="30" t="n">
        <v>91200</v>
      </c>
      <c r="E341" s="30" t="n">
        <v>92600</v>
      </c>
      <c r="F341" s="30" t="n">
        <v>91583.5703125</v>
      </c>
      <c r="G341" s="30" t="n">
        <v>1190415</v>
      </c>
      <c r="H341" s="35" t="n">
        <v>-0.03036649214659681</v>
      </c>
      <c r="I341" s="35" t="n">
        <v>-0.5100529100529101</v>
      </c>
      <c r="J341" s="30" t="n">
        <v>105580</v>
      </c>
      <c r="K341" s="30" t="n">
        <v>109703.3333333333</v>
      </c>
      <c r="L341" s="30" t="n">
        <v>133481.6666666667</v>
      </c>
      <c r="M341" s="35" t="n">
        <v>0.5727985057084644</v>
      </c>
      <c r="N341" s="35" t="n">
        <v>0.667037996945587</v>
      </c>
      <c r="O341" s="35" t="n">
        <v>-0.1891418563922942</v>
      </c>
      <c r="P341" s="35" t="n">
        <v>-0.3265454545454546</v>
      </c>
      <c r="Q341" s="35" t="n">
        <v>-0.324580598103574</v>
      </c>
      <c r="R341" s="35" t="n">
        <v>-0.1229399507482478</v>
      </c>
      <c r="S341" s="35" t="n">
        <v>-0.1559053204095895</v>
      </c>
      <c r="T341" s="35" t="n">
        <v>-0.3062717726529236</v>
      </c>
      <c r="U341" s="30" t="n">
        <v>189000</v>
      </c>
      <c r="V341" s="30" t="n">
        <v>52400</v>
      </c>
      <c r="W341" s="35" t="n">
        <v>-0.5100529100529101</v>
      </c>
      <c r="X341" s="35" t="n">
        <v>0.7671755725190839</v>
      </c>
      <c r="Y341" s="30" t="n">
        <v>95312200</v>
      </c>
      <c r="Z341" s="30" t="n">
        <v>8825909720000</v>
      </c>
      <c r="AA341" s="30" t="n">
        <v>110232429000</v>
      </c>
      <c r="AB341" s="30" t="n">
        <v>108642907165</v>
      </c>
      <c r="AC341" s="35" t="n">
        <v>0.0124896393116516</v>
      </c>
      <c r="AD341" s="24" t="inlineStr">
        <is>
          <t>yfinance_download</t>
        </is>
      </c>
      <c r="AE341" s="24" t="inlineStr">
        <is>
          <t>042700.KS</t>
        </is>
      </c>
    </row>
    <row r="342" ht="24" customHeight="1">
      <c r="A342" s="29" t="inlineStr">
        <is>
          <t>2024-10-30</t>
        </is>
      </c>
      <c r="B342" s="31" t="n">
        <v>94900</v>
      </c>
      <c r="C342" s="31" t="n">
        <v>99700</v>
      </c>
      <c r="D342" s="31" t="n">
        <v>94600</v>
      </c>
      <c r="E342" s="31" t="n">
        <v>96300</v>
      </c>
      <c r="F342" s="31" t="n">
        <v>95242.9609375</v>
      </c>
      <c r="G342" s="31" t="n">
        <v>1966946</v>
      </c>
      <c r="H342" s="36" t="n">
        <v>0.03995680345572361</v>
      </c>
      <c r="I342" s="36" t="n">
        <v>-0.4904761904761905</v>
      </c>
      <c r="J342" s="31" t="n">
        <v>104745</v>
      </c>
      <c r="K342" s="31" t="n">
        <v>109018.3333333333</v>
      </c>
      <c r="L342" s="31" t="n">
        <v>133159.1666666667</v>
      </c>
      <c r="M342" s="36" t="n">
        <v>0.5993642945020271</v>
      </c>
      <c r="N342" s="36" t="n">
        <v>0.6735092753028598</v>
      </c>
      <c r="O342" s="36" t="n">
        <v>-0.147787610619469</v>
      </c>
      <c r="P342" s="36" t="n">
        <v>-0.2991266375545851</v>
      </c>
      <c r="Q342" s="36" t="n">
        <v>-0.2866666666666666</v>
      </c>
      <c r="R342" s="36" t="n">
        <v>-0.08062437347844764</v>
      </c>
      <c r="S342" s="36" t="n">
        <v>-0.1166623350812555</v>
      </c>
      <c r="T342" s="36" t="n">
        <v>-0.2768053269583393</v>
      </c>
      <c r="U342" s="31" t="n">
        <v>189000</v>
      </c>
      <c r="V342" s="31" t="n">
        <v>52400</v>
      </c>
      <c r="W342" s="36" t="n">
        <v>-0.4904761904761905</v>
      </c>
      <c r="X342" s="36" t="n">
        <v>0.8377862595419847</v>
      </c>
      <c r="Y342" s="31" t="n">
        <v>95312200</v>
      </c>
      <c r="Z342" s="31" t="n">
        <v>9178564860000</v>
      </c>
      <c r="AA342" s="31" t="n">
        <v>189416899800</v>
      </c>
      <c r="AB342" s="31" t="n">
        <v>111068637205</v>
      </c>
      <c r="AC342" s="36" t="n">
        <v>0.02063687544721452</v>
      </c>
      <c r="AD342" s="29" t="inlineStr">
        <is>
          <t>yfinance_download</t>
        </is>
      </c>
      <c r="AE342" s="29" t="inlineStr">
        <is>
          <t>042700.KS</t>
        </is>
      </c>
    </row>
    <row r="343" ht="24" customHeight="1">
      <c r="A343" s="24" t="inlineStr">
        <is>
          <t>2024-10-31</t>
        </is>
      </c>
      <c r="B343" s="30" t="n">
        <v>94800</v>
      </c>
      <c r="C343" s="30" t="n">
        <v>96200</v>
      </c>
      <c r="D343" s="30" t="n">
        <v>92000</v>
      </c>
      <c r="E343" s="30" t="n">
        <v>92000</v>
      </c>
      <c r="F343" s="30" t="n">
        <v>90990.1640625</v>
      </c>
      <c r="G343" s="30" t="n">
        <v>936140</v>
      </c>
      <c r="H343" s="35" t="n">
        <v>-0.04465212876427826</v>
      </c>
      <c r="I343" s="35" t="n">
        <v>-0.5132275132275133</v>
      </c>
      <c r="J343" s="30" t="n">
        <v>103930</v>
      </c>
      <c r="K343" s="30" t="n">
        <v>108406.6666666667</v>
      </c>
      <c r="L343" s="30" t="n">
        <v>132817.5</v>
      </c>
      <c r="M343" s="35" t="n">
        <v>0.6017809319151138</v>
      </c>
      <c r="N343" s="35" t="n">
        <v>0.6676676250826108</v>
      </c>
      <c r="O343" s="35" t="n">
        <v>-0.1505078485687904</v>
      </c>
      <c r="P343" s="35" t="n">
        <v>-0.2851592851592851</v>
      </c>
      <c r="Q343" s="35" t="n">
        <v>-0.3082706766917294</v>
      </c>
      <c r="R343" s="35" t="n">
        <v>-0.1147888001539498</v>
      </c>
      <c r="S343" s="35" t="n">
        <v>-0.1513437057991514</v>
      </c>
      <c r="T343" s="35" t="n">
        <v>-0.3073201950044233</v>
      </c>
      <c r="U343" s="30" t="n">
        <v>189000</v>
      </c>
      <c r="V343" s="30" t="n">
        <v>52400</v>
      </c>
      <c r="W343" s="35" t="n">
        <v>-0.5132275132275133</v>
      </c>
      <c r="X343" s="35" t="n">
        <v>0.7557251908396947</v>
      </c>
      <c r="Y343" s="30" t="n">
        <v>95312200</v>
      </c>
      <c r="Z343" s="30" t="n">
        <v>8768722400000</v>
      </c>
      <c r="AA343" s="30" t="n">
        <v>86124880000</v>
      </c>
      <c r="AB343" s="30" t="n">
        <v>111406953315</v>
      </c>
      <c r="AC343" s="35" t="n">
        <v>0.009821827635916493</v>
      </c>
      <c r="AD343" s="24" t="inlineStr">
        <is>
          <t>yfinance_download</t>
        </is>
      </c>
      <c r="AE343" s="24" t="inlineStr">
        <is>
          <t>042700.KS</t>
        </is>
      </c>
    </row>
    <row r="344" ht="24" customHeight="1">
      <c r="A344" s="29" t="inlineStr">
        <is>
          <t>2024-11-01</t>
        </is>
      </c>
      <c r="B344" s="31" t="n">
        <v>89800</v>
      </c>
      <c r="C344" s="31" t="n">
        <v>93700</v>
      </c>
      <c r="D344" s="31" t="n">
        <v>89600</v>
      </c>
      <c r="E344" s="31" t="n">
        <v>92800</v>
      </c>
      <c r="F344" s="31" t="n">
        <v>91781.3828125</v>
      </c>
      <c r="G344" s="31" t="n">
        <v>632192</v>
      </c>
      <c r="H344" s="36" t="n">
        <v>0.008695652173912993</v>
      </c>
      <c r="I344" s="36" t="n">
        <v>-0.508994708994709</v>
      </c>
      <c r="J344" s="31" t="n">
        <v>103175</v>
      </c>
      <c r="K344" s="31" t="n">
        <v>107766.6666666667</v>
      </c>
      <c r="L344" s="31" t="n">
        <v>132507.5</v>
      </c>
      <c r="M344" s="36" t="n">
        <v>0.6044020581771935</v>
      </c>
      <c r="N344" s="36" t="n">
        <v>0.6663728072323175</v>
      </c>
      <c r="O344" s="36" t="n">
        <v>-0.1399443929564411</v>
      </c>
      <c r="P344" s="36" t="n">
        <v>-0.2926829268292683</v>
      </c>
      <c r="Q344" s="36" t="n">
        <v>-0.2861538461538462</v>
      </c>
      <c r="R344" s="36" t="n">
        <v>-0.1005573055488248</v>
      </c>
      <c r="S344" s="36" t="n">
        <v>-0.1388802969378287</v>
      </c>
      <c r="T344" s="36" t="n">
        <v>-0.2996622832669849</v>
      </c>
      <c r="U344" s="31" t="n">
        <v>189000</v>
      </c>
      <c r="V344" s="31" t="n">
        <v>52400</v>
      </c>
      <c r="W344" s="36" t="n">
        <v>-0.508994708994709</v>
      </c>
      <c r="X344" s="36" t="n">
        <v>0.7709923664122138</v>
      </c>
      <c r="Y344" s="31" t="n">
        <v>95312200</v>
      </c>
      <c r="Z344" s="31" t="n">
        <v>8844972160000</v>
      </c>
      <c r="AA344" s="31" t="n">
        <v>58667417600</v>
      </c>
      <c r="AB344" s="31" t="n">
        <v>111441304760</v>
      </c>
      <c r="AC344" s="36" t="n">
        <v>0.006632854975543529</v>
      </c>
      <c r="AD344" s="29" t="inlineStr">
        <is>
          <t>yfinance_download</t>
        </is>
      </c>
      <c r="AE344" s="29" t="inlineStr">
        <is>
          <t>042700.KS</t>
        </is>
      </c>
    </row>
    <row r="345" ht="24" customHeight="1">
      <c r="A345" s="24" t="inlineStr">
        <is>
          <t>2024-11-04</t>
        </is>
      </c>
      <c r="B345" s="30" t="n">
        <v>93000</v>
      </c>
      <c r="C345" s="30" t="n">
        <v>95800</v>
      </c>
      <c r="D345" s="30" t="n">
        <v>91300</v>
      </c>
      <c r="E345" s="30" t="n">
        <v>95600</v>
      </c>
      <c r="F345" s="30" t="n">
        <v>94550.6484375</v>
      </c>
      <c r="G345" s="30" t="n">
        <v>742098</v>
      </c>
      <c r="H345" s="35" t="n">
        <v>0.03017241379310343</v>
      </c>
      <c r="I345" s="35" t="n">
        <v>-0.4941798941798942</v>
      </c>
      <c r="J345" s="30" t="n">
        <v>102585</v>
      </c>
      <c r="K345" s="30" t="n">
        <v>107238.3333333333</v>
      </c>
      <c r="L345" s="30" t="n">
        <v>132166.6666666667</v>
      </c>
      <c r="M345" s="35" t="n">
        <v>0.618526533856399</v>
      </c>
      <c r="N345" s="35" t="n">
        <v>0.6681363571036812</v>
      </c>
      <c r="O345" s="35" t="n">
        <v>-0.1098696461824954</v>
      </c>
      <c r="P345" s="35" t="n">
        <v>-0.2490180675569521</v>
      </c>
      <c r="Q345" s="35" t="n">
        <v>-0.2996336996336997</v>
      </c>
      <c r="R345" s="35" t="n">
        <v>-0.0680898766876249</v>
      </c>
      <c r="S345" s="35" t="n">
        <v>-0.1085277341746577</v>
      </c>
      <c r="T345" s="35" t="n">
        <v>-0.276670870113493</v>
      </c>
      <c r="U345" s="30" t="n">
        <v>189000</v>
      </c>
      <c r="V345" s="30" t="n">
        <v>52400</v>
      </c>
      <c r="W345" s="35" t="n">
        <v>-0.4941798941798942</v>
      </c>
      <c r="X345" s="35" t="n">
        <v>0.8244274809160306</v>
      </c>
      <c r="Y345" s="30" t="n">
        <v>95312200</v>
      </c>
      <c r="Z345" s="30" t="n">
        <v>9111846320000</v>
      </c>
      <c r="AA345" s="30" t="n">
        <v>70944568800</v>
      </c>
      <c r="AB345" s="30" t="n">
        <v>112527070190</v>
      </c>
      <c r="AC345" s="35" t="n">
        <v>0.007785970736170186</v>
      </c>
      <c r="AD345" s="24" t="inlineStr">
        <is>
          <t>yfinance_download</t>
        </is>
      </c>
      <c r="AE345" s="24" t="inlineStr">
        <is>
          <t>042700.KS</t>
        </is>
      </c>
    </row>
    <row r="346" ht="24" customHeight="1">
      <c r="A346" s="29" t="inlineStr">
        <is>
          <t>2024-11-05</t>
        </is>
      </c>
      <c r="B346" s="31" t="n">
        <v>94700</v>
      </c>
      <c r="C346" s="31" t="n">
        <v>98100</v>
      </c>
      <c r="D346" s="31" t="n">
        <v>93500</v>
      </c>
      <c r="E346" s="31" t="n">
        <v>95500</v>
      </c>
      <c r="F346" s="31" t="n">
        <v>94451.7421875</v>
      </c>
      <c r="G346" s="31" t="n">
        <v>833100</v>
      </c>
      <c r="H346" s="36" t="n">
        <v>-0.001046025104602499</v>
      </c>
      <c r="I346" s="36" t="n">
        <v>-0.4947089947089947</v>
      </c>
      <c r="J346" s="31" t="n">
        <v>101820</v>
      </c>
      <c r="K346" s="31" t="n">
        <v>106906.6666666667</v>
      </c>
      <c r="L346" s="31" t="n">
        <v>131789.1666666667</v>
      </c>
      <c r="M346" s="36" t="n">
        <v>0.6034821769258785</v>
      </c>
      <c r="N346" s="36" t="n">
        <v>0.6415139795534528</v>
      </c>
      <c r="O346" s="36" t="n">
        <v>-0.1380866425992779</v>
      </c>
      <c r="P346" s="36" t="n">
        <v>-0.1724436741767764</v>
      </c>
      <c r="Q346" s="36" t="n">
        <v>-0.3217329545454546</v>
      </c>
      <c r="R346" s="36" t="n">
        <v>-0.06207032017285408</v>
      </c>
      <c r="S346" s="36" t="n">
        <v>-0.1066974307807433</v>
      </c>
      <c r="T346" s="36" t="n">
        <v>-0.2753577367891897</v>
      </c>
      <c r="U346" s="31" t="n">
        <v>189000</v>
      </c>
      <c r="V346" s="31" t="n">
        <v>52400</v>
      </c>
      <c r="W346" s="36" t="n">
        <v>-0.4947089947089947</v>
      </c>
      <c r="X346" s="36" t="n">
        <v>0.8225190839694656</v>
      </c>
      <c r="Y346" s="31" t="n">
        <v>95312200</v>
      </c>
      <c r="Z346" s="31" t="n">
        <v>9102315100000</v>
      </c>
      <c r="AA346" s="31" t="n">
        <v>79561050000</v>
      </c>
      <c r="AB346" s="31" t="n">
        <v>113614644310</v>
      </c>
      <c r="AC346" s="36" t="n">
        <v>0.008740748823340558</v>
      </c>
      <c r="AD346" s="29" t="inlineStr">
        <is>
          <t>yfinance_download</t>
        </is>
      </c>
      <c r="AE346" s="29" t="inlineStr">
        <is>
          <t>042700.KS</t>
        </is>
      </c>
    </row>
    <row r="347" ht="24" customHeight="1">
      <c r="A347" s="24" t="inlineStr">
        <is>
          <t>2024-11-06</t>
        </is>
      </c>
      <c r="B347" s="30" t="n">
        <v>97500</v>
      </c>
      <c r="C347" s="30" t="n">
        <v>99000</v>
      </c>
      <c r="D347" s="30" t="n">
        <v>92700</v>
      </c>
      <c r="E347" s="30" t="n">
        <v>93100</v>
      </c>
      <c r="F347" s="30" t="n">
        <v>92078.0859375</v>
      </c>
      <c r="G347" s="30" t="n">
        <v>810771</v>
      </c>
      <c r="H347" s="35" t="n">
        <v>-0.02513089005235603</v>
      </c>
      <c r="I347" s="35" t="n">
        <v>-0.5074074074074074</v>
      </c>
      <c r="J347" s="30" t="n">
        <v>101105</v>
      </c>
      <c r="K347" s="30" t="n">
        <v>106748.3333333333</v>
      </c>
      <c r="L347" s="30" t="n">
        <v>131385</v>
      </c>
      <c r="M347" s="35" t="n">
        <v>0.6008708210509474</v>
      </c>
      <c r="N347" s="35" t="n">
        <v>0.6023935226814522</v>
      </c>
      <c r="O347" s="35" t="n">
        <v>-0.133147113594041</v>
      </c>
      <c r="P347" s="35" t="n">
        <v>-0.09259259259259256</v>
      </c>
      <c r="Q347" s="35" t="n">
        <v>-0.3425141242937854</v>
      </c>
      <c r="R347" s="35" t="n">
        <v>-0.07917511497947682</v>
      </c>
      <c r="S347" s="35" t="n">
        <v>-0.1278552358350638</v>
      </c>
      <c r="T347" s="35" t="n">
        <v>-0.2913955169920462</v>
      </c>
      <c r="U347" s="30" t="n">
        <v>189000</v>
      </c>
      <c r="V347" s="30" t="n">
        <v>52400</v>
      </c>
      <c r="W347" s="35" t="n">
        <v>-0.5074074074074074</v>
      </c>
      <c r="X347" s="35" t="n">
        <v>0.7767175572519085</v>
      </c>
      <c r="Y347" s="30" t="n">
        <v>95312200</v>
      </c>
      <c r="Z347" s="30" t="n">
        <v>8873565820000</v>
      </c>
      <c r="AA347" s="30" t="n">
        <v>75482780100</v>
      </c>
      <c r="AB347" s="30" t="n">
        <v>115122718495</v>
      </c>
      <c r="AC347" s="35" t="n">
        <v>0.008506476610549332</v>
      </c>
      <c r="AD347" s="24" t="inlineStr">
        <is>
          <t>yfinance_download</t>
        </is>
      </c>
      <c r="AE347" s="24" t="inlineStr">
        <is>
          <t>042700.KS</t>
        </is>
      </c>
    </row>
    <row r="348" ht="24" customHeight="1">
      <c r="A348" s="29" t="inlineStr">
        <is>
          <t>2024-11-07</t>
        </is>
      </c>
      <c r="B348" s="31" t="n">
        <v>94300</v>
      </c>
      <c r="C348" s="31" t="n">
        <v>94800</v>
      </c>
      <c r="D348" s="31" t="n">
        <v>91300</v>
      </c>
      <c r="E348" s="31" t="n">
        <v>93100</v>
      </c>
      <c r="F348" s="31" t="n">
        <v>92078.0859375</v>
      </c>
      <c r="G348" s="31" t="n">
        <v>574866</v>
      </c>
      <c r="H348" s="36" t="n">
        <v>0</v>
      </c>
      <c r="I348" s="36" t="n">
        <v>-0.5074074074074074</v>
      </c>
      <c r="J348" s="31" t="n">
        <v>100225</v>
      </c>
      <c r="K348" s="31" t="n">
        <v>106506.6666666667</v>
      </c>
      <c r="L348" s="31" t="n">
        <v>131001.6666666667</v>
      </c>
      <c r="M348" s="36" t="n">
        <v>0.5853716240115892</v>
      </c>
      <c r="N348" s="36" t="n">
        <v>0.5934541380911753</v>
      </c>
      <c r="O348" s="36" t="n">
        <v>-0.1589882565492322</v>
      </c>
      <c r="P348" s="36" t="n">
        <v>-0.1347583643122676</v>
      </c>
      <c r="Q348" s="36" t="n">
        <v>-0.3306973400431344</v>
      </c>
      <c r="R348" s="36" t="n">
        <v>-0.07109004739336489</v>
      </c>
      <c r="S348" s="36" t="n">
        <v>-0.1258763144717076</v>
      </c>
      <c r="T348" s="36" t="n">
        <v>-0.289322018803832</v>
      </c>
      <c r="U348" s="31" t="n">
        <v>189000</v>
      </c>
      <c r="V348" s="31" t="n">
        <v>52400</v>
      </c>
      <c r="W348" s="36" t="n">
        <v>-0.5074074074074074</v>
      </c>
      <c r="X348" s="36" t="n">
        <v>0.7767175572519085</v>
      </c>
      <c r="Y348" s="31" t="n">
        <v>95312200</v>
      </c>
      <c r="Z348" s="31" t="n">
        <v>8873565820000</v>
      </c>
      <c r="AA348" s="31" t="n">
        <v>53520024600</v>
      </c>
      <c r="AB348" s="31" t="n">
        <v>112673702710</v>
      </c>
      <c r="AC348" s="36" t="n">
        <v>0.006031399967685144</v>
      </c>
      <c r="AD348" s="29" t="inlineStr">
        <is>
          <t>yfinance_download</t>
        </is>
      </c>
      <c r="AE348" s="29" t="inlineStr">
        <is>
          <t>042700.KS</t>
        </is>
      </c>
    </row>
    <row r="349" ht="24" customHeight="1">
      <c r="A349" s="24" t="inlineStr">
        <is>
          <t>2024-11-08</t>
        </is>
      </c>
      <c r="B349" s="30" t="n">
        <v>93500</v>
      </c>
      <c r="C349" s="30" t="n">
        <v>96800</v>
      </c>
      <c r="D349" s="30" t="n">
        <v>93500</v>
      </c>
      <c r="E349" s="30" t="n">
        <v>94200</v>
      </c>
      <c r="F349" s="30" t="n">
        <v>93166.015625</v>
      </c>
      <c r="G349" s="30" t="n">
        <v>695102</v>
      </c>
      <c r="H349" s="35" t="n">
        <v>0.01181525241675607</v>
      </c>
      <c r="I349" s="35" t="n">
        <v>-0.5015873015873016</v>
      </c>
      <c r="J349" s="30" t="n">
        <v>99460</v>
      </c>
      <c r="K349" s="30" t="n">
        <v>106278.3333333333</v>
      </c>
      <c r="L349" s="30" t="n">
        <v>130622.5</v>
      </c>
      <c r="M349" s="35" t="n">
        <v>0.5894047174410535</v>
      </c>
      <c r="N349" s="35" t="n">
        <v>0.5940350310879746</v>
      </c>
      <c r="O349" s="35" t="n">
        <v>-0.1397260273972603</v>
      </c>
      <c r="P349" s="35" t="n">
        <v>-0.1269694161260426</v>
      </c>
      <c r="Q349" s="35" t="n">
        <v>-0.3256979241231209</v>
      </c>
      <c r="R349" s="35" t="n">
        <v>-0.0528855821435753</v>
      </c>
      <c r="S349" s="35" t="n">
        <v>-0.1136481252058275</v>
      </c>
      <c r="T349" s="35" t="n">
        <v>-0.2788378724951673</v>
      </c>
      <c r="U349" s="30" t="n">
        <v>189000</v>
      </c>
      <c r="V349" s="30" t="n">
        <v>52400</v>
      </c>
      <c r="W349" s="35" t="n">
        <v>-0.5015873015873016</v>
      </c>
      <c r="X349" s="35" t="n">
        <v>0.7977099236641221</v>
      </c>
      <c r="Y349" s="30" t="n">
        <v>95312200</v>
      </c>
      <c r="Z349" s="30" t="n">
        <v>8978409240000</v>
      </c>
      <c r="AA349" s="30" t="n">
        <v>65478608400</v>
      </c>
      <c r="AB349" s="30" t="n">
        <v>113270084380</v>
      </c>
      <c r="AC349" s="35" t="n">
        <v>0.007292896397313251</v>
      </c>
      <c r="AD349" s="24" t="inlineStr">
        <is>
          <t>yfinance_download</t>
        </is>
      </c>
      <c r="AE349" s="24" t="inlineStr">
        <is>
          <t>042700.KS</t>
        </is>
      </c>
    </row>
    <row r="350" ht="24" customHeight="1">
      <c r="A350" s="29" t="inlineStr">
        <is>
          <t>2024-11-11</t>
        </is>
      </c>
      <c r="B350" s="31" t="n">
        <v>92500</v>
      </c>
      <c r="C350" s="31" t="n">
        <v>93300</v>
      </c>
      <c r="D350" s="31" t="n">
        <v>88000</v>
      </c>
      <c r="E350" s="31" t="n">
        <v>88100</v>
      </c>
      <c r="F350" s="31" t="n">
        <v>87132.96875</v>
      </c>
      <c r="G350" s="31" t="n">
        <v>894260</v>
      </c>
      <c r="H350" s="36" t="n">
        <v>-0.06475583864118895</v>
      </c>
      <c r="I350" s="36" t="n">
        <v>-0.5338624338624338</v>
      </c>
      <c r="J350" s="31" t="n">
        <v>98390</v>
      </c>
      <c r="K350" s="31" t="n">
        <v>105998.3333333333</v>
      </c>
      <c r="L350" s="31" t="n">
        <v>130175</v>
      </c>
      <c r="M350" s="36" t="n">
        <v>0.6232989421394421</v>
      </c>
      <c r="N350" s="36" t="n">
        <v>0.6057177465307335</v>
      </c>
      <c r="O350" s="36" t="n">
        <v>-0.1954337899543379</v>
      </c>
      <c r="P350" s="36" t="n">
        <v>-0.1601525262154433</v>
      </c>
      <c r="Q350" s="36" t="n">
        <v>-0.3787023977433004</v>
      </c>
      <c r="R350" s="36" t="n">
        <v>-0.104583799166582</v>
      </c>
      <c r="S350" s="36" t="n">
        <v>-0.1688548562084309</v>
      </c>
      <c r="T350" s="36" t="n">
        <v>-0.3232187439984636</v>
      </c>
      <c r="U350" s="31" t="n">
        <v>189000</v>
      </c>
      <c r="V350" s="31" t="n">
        <v>52400</v>
      </c>
      <c r="W350" s="36" t="n">
        <v>-0.5338624338624338</v>
      </c>
      <c r="X350" s="36" t="n">
        <v>0.6812977099236641</v>
      </c>
      <c r="Y350" s="31" t="n">
        <v>95312200</v>
      </c>
      <c r="Z350" s="31" t="n">
        <v>8397004820000</v>
      </c>
      <c r="AA350" s="31" t="n">
        <v>78784306000</v>
      </c>
      <c r="AB350" s="31" t="n">
        <v>112189491180</v>
      </c>
      <c r="AC350" s="36" t="n">
        <v>0.009382429531581476</v>
      </c>
      <c r="AD350" s="29" t="inlineStr">
        <is>
          <t>yfinance_download</t>
        </is>
      </c>
      <c r="AE350" s="29" t="inlineStr">
        <is>
          <t>042700.KS</t>
        </is>
      </c>
    </row>
    <row r="351" ht="24" customHeight="1">
      <c r="A351" s="24" t="inlineStr">
        <is>
          <t>2024-11-12</t>
        </is>
      </c>
      <c r="B351" s="30" t="n">
        <v>86200</v>
      </c>
      <c r="C351" s="30" t="n">
        <v>86800</v>
      </c>
      <c r="D351" s="30" t="n">
        <v>82300</v>
      </c>
      <c r="E351" s="30" t="n">
        <v>84700</v>
      </c>
      <c r="F351" s="30" t="n">
        <v>83770.2890625</v>
      </c>
      <c r="G351" s="30" t="n">
        <v>1358606</v>
      </c>
      <c r="H351" s="35" t="n">
        <v>-0.0385925085130534</v>
      </c>
      <c r="I351" s="35" t="n">
        <v>-0.5518518518518518</v>
      </c>
      <c r="J351" s="30" t="n">
        <v>97025</v>
      </c>
      <c r="K351" s="30" t="n">
        <v>105601.6666666667</v>
      </c>
      <c r="L351" s="30" t="n">
        <v>129680</v>
      </c>
      <c r="M351" s="35" t="n">
        <v>0.6184141515940135</v>
      </c>
      <c r="N351" s="35" t="n">
        <v>0.605380981697507</v>
      </c>
      <c r="O351" s="35" t="n">
        <v>-0.24375</v>
      </c>
      <c r="P351" s="35" t="n">
        <v>-0.2193548387096774</v>
      </c>
      <c r="Q351" s="35" t="n">
        <v>-0.4122137404580153</v>
      </c>
      <c r="R351" s="35" t="n">
        <v>-0.1270291162071631</v>
      </c>
      <c r="S351" s="35" t="n">
        <v>-0.1979293256103913</v>
      </c>
      <c r="T351" s="35" t="n">
        <v>-0.3468537939543491</v>
      </c>
      <c r="U351" s="30" t="n">
        <v>189000</v>
      </c>
      <c r="V351" s="30" t="n">
        <v>52400</v>
      </c>
      <c r="W351" s="35" t="n">
        <v>-0.5518518518518518</v>
      </c>
      <c r="X351" s="35" t="n">
        <v>0.616412213740458</v>
      </c>
      <c r="Y351" s="30" t="n">
        <v>95312200</v>
      </c>
      <c r="Z351" s="30" t="n">
        <v>8072943340000</v>
      </c>
      <c r="AA351" s="30" t="n">
        <v>115073928200</v>
      </c>
      <c r="AB351" s="30" t="n">
        <v>113236241990</v>
      </c>
      <c r="AC351" s="35" t="n">
        <v>0.01425427175115043</v>
      </c>
      <c r="AD351" s="24" t="inlineStr">
        <is>
          <t>yfinance_download</t>
        </is>
      </c>
      <c r="AE351" s="24" t="inlineStr">
        <is>
          <t>042700.KS</t>
        </is>
      </c>
    </row>
    <row r="352" ht="24" customHeight="1">
      <c r="A352" s="29" t="inlineStr">
        <is>
          <t>2024-11-13</t>
        </is>
      </c>
      <c r="B352" s="31" t="n">
        <v>84700</v>
      </c>
      <c r="C352" s="31" t="n">
        <v>85900</v>
      </c>
      <c r="D352" s="31" t="n">
        <v>81700</v>
      </c>
      <c r="E352" s="31" t="n">
        <v>82100</v>
      </c>
      <c r="F352" s="31" t="n">
        <v>81198.828125</v>
      </c>
      <c r="G352" s="31" t="n">
        <v>715712</v>
      </c>
      <c r="H352" s="36" t="n">
        <v>-0.03069657615112165</v>
      </c>
      <c r="I352" s="36" t="n">
        <v>-0.5656084656084657</v>
      </c>
      <c r="J352" s="31" t="n">
        <v>95695</v>
      </c>
      <c r="K352" s="31" t="n">
        <v>105066.6666666667</v>
      </c>
      <c r="L352" s="31" t="n">
        <v>129198.3333333333</v>
      </c>
      <c r="M352" s="36" t="n">
        <v>0.6188609210906675</v>
      </c>
      <c r="N352" s="36" t="n">
        <v>0.5965003593741367</v>
      </c>
      <c r="O352" s="36" t="n">
        <v>-0.2447102115915364</v>
      </c>
      <c r="P352" s="36" t="n">
        <v>-0.2810858143607706</v>
      </c>
      <c r="Q352" s="36" t="n">
        <v>-0.4131522516082916</v>
      </c>
      <c r="R352" s="36" t="n">
        <v>-0.1420659386592821</v>
      </c>
      <c r="S352" s="36" t="n">
        <v>-0.2185913705583756</v>
      </c>
      <c r="T352" s="36" t="n">
        <v>-0.3645428862601426</v>
      </c>
      <c r="U352" s="31" t="n">
        <v>189000</v>
      </c>
      <c r="V352" s="31" t="n">
        <v>52400</v>
      </c>
      <c r="W352" s="36" t="n">
        <v>-0.5656084656084657</v>
      </c>
      <c r="X352" s="36" t="n">
        <v>0.5667938931297709</v>
      </c>
      <c r="Y352" s="31" t="n">
        <v>95312200</v>
      </c>
      <c r="Z352" s="31" t="n">
        <v>7825131620000</v>
      </c>
      <c r="AA352" s="31" t="n">
        <v>58759955200</v>
      </c>
      <c r="AB352" s="31" t="n">
        <v>111369292125</v>
      </c>
      <c r="AC352" s="36" t="n">
        <v>0.007509133143501042</v>
      </c>
      <c r="AD352" s="29" t="inlineStr">
        <is>
          <t>yfinance_download</t>
        </is>
      </c>
      <c r="AE352" s="29" t="inlineStr">
        <is>
          <t>042700.KS</t>
        </is>
      </c>
    </row>
    <row r="353" ht="24" customHeight="1">
      <c r="A353" s="24" t="inlineStr">
        <is>
          <t>2024-11-14</t>
        </is>
      </c>
      <c r="B353" s="30" t="n">
        <v>82100</v>
      </c>
      <c r="C353" s="30" t="n">
        <v>82900</v>
      </c>
      <c r="D353" s="30" t="n">
        <v>79700</v>
      </c>
      <c r="E353" s="30" t="n">
        <v>81100</v>
      </c>
      <c r="F353" s="30" t="n">
        <v>80209.8046875</v>
      </c>
      <c r="G353" s="30" t="n">
        <v>679653</v>
      </c>
      <c r="H353" s="35" t="n">
        <v>-0.01218026796589522</v>
      </c>
      <c r="I353" s="35" t="n">
        <v>-0.5708994708994709</v>
      </c>
      <c r="J353" s="30" t="n">
        <v>93935</v>
      </c>
      <c r="K353" s="30" t="n">
        <v>104531.6666666667</v>
      </c>
      <c r="L353" s="30" t="n">
        <v>128696.6666666667</v>
      </c>
      <c r="M353" s="35" t="n">
        <v>0.5356337391468766</v>
      </c>
      <c r="N353" s="35" t="n">
        <v>0.5966389323897122</v>
      </c>
      <c r="O353" s="35" t="n">
        <v>-0.3026655202063628</v>
      </c>
      <c r="P353" s="35" t="n">
        <v>-0.2835689045936396</v>
      </c>
      <c r="Q353" s="35" t="n">
        <v>-0.4260438782731777</v>
      </c>
      <c r="R353" s="35" t="n">
        <v>-0.1366370362484697</v>
      </c>
      <c r="S353" s="35" t="n">
        <v>-0.2241585484462444</v>
      </c>
      <c r="T353" s="35" t="n">
        <v>-0.3698360485897071</v>
      </c>
      <c r="U353" s="30" t="n">
        <v>189000</v>
      </c>
      <c r="V353" s="30" t="n">
        <v>52400</v>
      </c>
      <c r="W353" s="35" t="n">
        <v>-0.5708994708994709</v>
      </c>
      <c r="X353" s="35" t="n">
        <v>0.5477099236641221</v>
      </c>
      <c r="Y353" s="30" t="n">
        <v>95312200</v>
      </c>
      <c r="Z353" s="30" t="n">
        <v>7729819420000</v>
      </c>
      <c r="AA353" s="30" t="n">
        <v>55119858300</v>
      </c>
      <c r="AB353" s="30" t="n">
        <v>100158184205</v>
      </c>
      <c r="AC353" s="35" t="n">
        <v>0.007130808018280975</v>
      </c>
      <c r="AD353" s="24" t="inlineStr">
        <is>
          <t>yfinance_download</t>
        </is>
      </c>
      <c r="AE353" s="24" t="inlineStr">
        <is>
          <t>042700.KS</t>
        </is>
      </c>
    </row>
    <row r="354" ht="24" customHeight="1">
      <c r="A354" s="29" t="inlineStr">
        <is>
          <t>2024-11-15</t>
        </is>
      </c>
      <c r="B354" s="31" t="n">
        <v>80700</v>
      </c>
      <c r="C354" s="31" t="n">
        <v>83000</v>
      </c>
      <c r="D354" s="31" t="n">
        <v>80300</v>
      </c>
      <c r="E354" s="31" t="n">
        <v>81700</v>
      </c>
      <c r="F354" s="31" t="n">
        <v>80803.21875</v>
      </c>
      <c r="G354" s="31" t="n">
        <v>671264</v>
      </c>
      <c r="H354" s="36" t="n">
        <v>0.007398273736128225</v>
      </c>
      <c r="I354" s="36" t="n">
        <v>-0.5677248677248677</v>
      </c>
      <c r="J354" s="31" t="n">
        <v>92810</v>
      </c>
      <c r="K354" s="31" t="n">
        <v>103918.3333333333</v>
      </c>
      <c r="L354" s="31" t="n">
        <v>128209.1666666667</v>
      </c>
      <c r="M354" s="36" t="n">
        <v>0.4324142114407646</v>
      </c>
      <c r="N354" s="36" t="n">
        <v>0.5874582453130206</v>
      </c>
      <c r="O354" s="36" t="n">
        <v>-0.2159309021113244</v>
      </c>
      <c r="P354" s="36" t="n">
        <v>-0.3105485232067511</v>
      </c>
      <c r="Q354" s="36" t="n">
        <v>-0.4172610556348074</v>
      </c>
      <c r="R354" s="36" t="n">
        <v>-0.1197069281327443</v>
      </c>
      <c r="S354" s="36" t="n">
        <v>-0.2138057128193613</v>
      </c>
      <c r="T354" s="36" t="n">
        <v>-0.3627600730576988</v>
      </c>
      <c r="U354" s="31" t="n">
        <v>189000</v>
      </c>
      <c r="V354" s="31" t="n">
        <v>52400</v>
      </c>
      <c r="W354" s="36" t="n">
        <v>-0.5677248677248677</v>
      </c>
      <c r="X354" s="36" t="n">
        <v>0.5591603053435115</v>
      </c>
      <c r="Y354" s="31" t="n">
        <v>95312200</v>
      </c>
      <c r="Z354" s="31" t="n">
        <v>7787006740000</v>
      </c>
      <c r="AA354" s="31" t="n">
        <v>54842268800</v>
      </c>
      <c r="AB354" s="31" t="n">
        <v>85723573685</v>
      </c>
      <c r="AC354" s="36" t="n">
        <v>0.007042792003542044</v>
      </c>
      <c r="AD354" s="29" t="inlineStr">
        <is>
          <t>yfinance_download</t>
        </is>
      </c>
      <c r="AE354" s="29" t="inlineStr">
        <is>
          <t>042700.KS</t>
        </is>
      </c>
    </row>
    <row r="355" ht="24" customHeight="1">
      <c r="A355" s="24" t="inlineStr">
        <is>
          <t>2024-11-18</t>
        </is>
      </c>
      <c r="B355" s="30" t="n">
        <v>81400</v>
      </c>
      <c r="C355" s="30" t="n">
        <v>83000</v>
      </c>
      <c r="D355" s="30" t="n">
        <v>79100</v>
      </c>
      <c r="E355" s="30" t="n">
        <v>80600</v>
      </c>
      <c r="F355" s="30" t="n">
        <v>79715.2890625</v>
      </c>
      <c r="G355" s="30" t="n">
        <v>526119</v>
      </c>
      <c r="H355" s="35" t="n">
        <v>-0.01346389228886169</v>
      </c>
      <c r="I355" s="35" t="n">
        <v>-0.5735449735449736</v>
      </c>
      <c r="J355" s="30" t="n">
        <v>91765</v>
      </c>
      <c r="K355" s="30" t="n">
        <v>103133.3333333333</v>
      </c>
      <c r="L355" s="30" t="n">
        <v>127653.3333333333</v>
      </c>
      <c r="M355" s="35" t="n">
        <v>0.4292468161678825</v>
      </c>
      <c r="N355" s="35" t="n">
        <v>0.5614847970732668</v>
      </c>
      <c r="O355" s="35" t="n">
        <v>-0.2059113300492611</v>
      </c>
      <c r="P355" s="35" t="n">
        <v>-0.3688332028191073</v>
      </c>
      <c r="Q355" s="35" t="n">
        <v>-0.4528173794976239</v>
      </c>
      <c r="R355" s="35" t="n">
        <v>-0.1216694818285838</v>
      </c>
      <c r="S355" s="35" t="n">
        <v>-0.2184873949579832</v>
      </c>
      <c r="T355" s="35" t="n">
        <v>-0.3686024650094004</v>
      </c>
      <c r="U355" s="30" t="n">
        <v>189000</v>
      </c>
      <c r="V355" s="30" t="n">
        <v>52400</v>
      </c>
      <c r="W355" s="35" t="n">
        <v>-0.5735449735449736</v>
      </c>
      <c r="X355" s="35" t="n">
        <v>0.5381679389312977</v>
      </c>
      <c r="Y355" s="30" t="n">
        <v>95312200</v>
      </c>
      <c r="Z355" s="30" t="n">
        <v>7682163320000</v>
      </c>
      <c r="AA355" s="30" t="n">
        <v>42405191400</v>
      </c>
      <c r="AB355" s="30" t="n">
        <v>81559582555</v>
      </c>
      <c r="AC355" s="35" t="n">
        <v>0.005519954423463104</v>
      </c>
      <c r="AD355" s="24" t="inlineStr">
        <is>
          <t>yfinance_download</t>
        </is>
      </c>
      <c r="AE355" s="24" t="inlineStr">
        <is>
          <t>042700.KS</t>
        </is>
      </c>
    </row>
    <row r="356" ht="24" customHeight="1">
      <c r="A356" s="29" t="inlineStr">
        <is>
          <t>2024-11-19</t>
        </is>
      </c>
      <c r="B356" s="31" t="n">
        <v>80600</v>
      </c>
      <c r="C356" s="31" t="n">
        <v>81400</v>
      </c>
      <c r="D356" s="31" t="n">
        <v>79800</v>
      </c>
      <c r="E356" s="31" t="n">
        <v>80800</v>
      </c>
      <c r="F356" s="31" t="n">
        <v>79913.1015625</v>
      </c>
      <c r="G356" s="31" t="n">
        <v>366082</v>
      </c>
      <c r="H356" s="36" t="n">
        <v>0.002481389578163684</v>
      </c>
      <c r="I356" s="36" t="n">
        <v>-0.5724867724867725</v>
      </c>
      <c r="J356" s="31" t="n">
        <v>90865</v>
      </c>
      <c r="K356" s="31" t="n">
        <v>102398.3333333333</v>
      </c>
      <c r="L356" s="31" t="n">
        <v>127106.6666666667</v>
      </c>
      <c r="M356" s="36" t="n">
        <v>0.4277383317726153</v>
      </c>
      <c r="N356" s="36" t="n">
        <v>0.560944837501016</v>
      </c>
      <c r="O356" s="36" t="n">
        <v>-0.1821862348178138</v>
      </c>
      <c r="P356" s="36" t="n">
        <v>-0.3530824659727783</v>
      </c>
      <c r="Q356" s="36" t="n">
        <v>-0.4480874316939891</v>
      </c>
      <c r="R356" s="36" t="n">
        <v>-0.1107687228305728</v>
      </c>
      <c r="S356" s="36" t="n">
        <v>-0.2109246569768388</v>
      </c>
      <c r="T356" s="36" t="n">
        <v>-0.3643134375327809</v>
      </c>
      <c r="U356" s="31" t="n">
        <v>189000</v>
      </c>
      <c r="V356" s="31" t="n">
        <v>52400</v>
      </c>
      <c r="W356" s="36" t="n">
        <v>-0.5724867724867725</v>
      </c>
      <c r="X356" s="36" t="n">
        <v>0.5419847328244274</v>
      </c>
      <c r="Y356" s="31" t="n">
        <v>95312200</v>
      </c>
      <c r="Z356" s="31" t="n">
        <v>7701225760000</v>
      </c>
      <c r="AA356" s="31" t="n">
        <v>29579425600</v>
      </c>
      <c r="AB356" s="31" t="n">
        <v>77668936855</v>
      </c>
      <c r="AC356" s="36" t="n">
        <v>0.003840872417172198</v>
      </c>
      <c r="AD356" s="29" t="inlineStr">
        <is>
          <t>yfinance_download</t>
        </is>
      </c>
      <c r="AE356" s="29" t="inlineStr">
        <is>
          <t>042700.KS</t>
        </is>
      </c>
    </row>
    <row r="357" ht="24" customHeight="1">
      <c r="A357" s="24" t="inlineStr">
        <is>
          <t>2024-11-20</t>
        </is>
      </c>
      <c r="B357" s="30" t="n">
        <v>83100</v>
      </c>
      <c r="C357" s="30" t="n">
        <v>83300</v>
      </c>
      <c r="D357" s="30" t="n">
        <v>81300</v>
      </c>
      <c r="E357" s="30" t="n">
        <v>81700</v>
      </c>
      <c r="F357" s="30" t="n">
        <v>80803.21875</v>
      </c>
      <c r="G357" s="30" t="n">
        <v>488805</v>
      </c>
      <c r="H357" s="35" t="n">
        <v>0.01113861386138604</v>
      </c>
      <c r="I357" s="35" t="n">
        <v>-0.5677248677248677</v>
      </c>
      <c r="J357" s="30" t="n">
        <v>89875</v>
      </c>
      <c r="K357" s="30" t="n">
        <v>101668.3333333333</v>
      </c>
      <c r="L357" s="30" t="n">
        <v>126556.6666666667</v>
      </c>
      <c r="M357" s="35" t="n">
        <v>0.4127705716598491</v>
      </c>
      <c r="N357" s="35" t="n">
        <v>0.5616452861199165</v>
      </c>
      <c r="O357" s="35" t="n">
        <v>-0.1950738916256157</v>
      </c>
      <c r="P357" s="35" t="n">
        <v>-0.349003984063745</v>
      </c>
      <c r="Q357" s="35" t="n">
        <v>-0.4468517264725795</v>
      </c>
      <c r="R357" s="35" t="n">
        <v>-0.09095966620305984</v>
      </c>
      <c r="S357" s="35" t="n">
        <v>-0.1964066162849789</v>
      </c>
      <c r="T357" s="35" t="n">
        <v>-0.354439381568204</v>
      </c>
      <c r="U357" s="30" t="n">
        <v>189000</v>
      </c>
      <c r="V357" s="30" t="n">
        <v>52400</v>
      </c>
      <c r="W357" s="35" t="n">
        <v>-0.5677248677248677</v>
      </c>
      <c r="X357" s="35" t="n">
        <v>0.5591603053435115</v>
      </c>
      <c r="Y357" s="30" t="n">
        <v>95312200</v>
      </c>
      <c r="Z357" s="30" t="n">
        <v>7787006740000</v>
      </c>
      <c r="AA357" s="30" t="n">
        <v>39935368500</v>
      </c>
      <c r="AB357" s="30" t="n">
        <v>74926274430</v>
      </c>
      <c r="AC357" s="35" t="n">
        <v>0.005128462043683809</v>
      </c>
      <c r="AD357" s="24" t="inlineStr">
        <is>
          <t>yfinance_download</t>
        </is>
      </c>
      <c r="AE357" s="24" t="inlineStr">
        <is>
          <t>042700.KS</t>
        </is>
      </c>
    </row>
    <row r="358" ht="24" customHeight="1">
      <c r="A358" s="29" t="inlineStr">
        <is>
          <t>2024-11-21</t>
        </is>
      </c>
      <c r="B358" s="31" t="n">
        <v>81000</v>
      </c>
      <c r="C358" s="31" t="n">
        <v>82300</v>
      </c>
      <c r="D358" s="31" t="n">
        <v>80500</v>
      </c>
      <c r="E358" s="31" t="n">
        <v>80700</v>
      </c>
      <c r="F358" s="31" t="n">
        <v>79814.1953125</v>
      </c>
      <c r="G358" s="31" t="n">
        <v>386041</v>
      </c>
      <c r="H358" s="36" t="n">
        <v>-0.0122399020807834</v>
      </c>
      <c r="I358" s="36" t="n">
        <v>-0.573015873015873</v>
      </c>
      <c r="J358" s="31" t="n">
        <v>89000</v>
      </c>
      <c r="K358" s="31" t="n">
        <v>100933.3333333333</v>
      </c>
      <c r="L358" s="31" t="n">
        <v>125960.8333333333</v>
      </c>
      <c r="M358" s="36" t="n">
        <v>0.4046017360298977</v>
      </c>
      <c r="N358" s="36" t="n">
        <v>0.5617641603403752</v>
      </c>
      <c r="O358" s="36" t="n">
        <v>-0.1782077393075356</v>
      </c>
      <c r="P358" s="36" t="n">
        <v>-0.3533653846153846</v>
      </c>
      <c r="Q358" s="36" t="n">
        <v>-0.4697766097240473</v>
      </c>
      <c r="R358" s="36" t="n">
        <v>-0.09325842696629216</v>
      </c>
      <c r="S358" s="36" t="n">
        <v>-0.2004623513870541</v>
      </c>
      <c r="T358" s="36" t="n">
        <v>-0.3593246577970666</v>
      </c>
      <c r="U358" s="31" t="n">
        <v>189000</v>
      </c>
      <c r="V358" s="31" t="n">
        <v>52400</v>
      </c>
      <c r="W358" s="36" t="n">
        <v>-0.573015873015873</v>
      </c>
      <c r="X358" s="36" t="n">
        <v>0.5400763358778626</v>
      </c>
      <c r="Y358" s="31" t="n">
        <v>95312200</v>
      </c>
      <c r="Z358" s="31" t="n">
        <v>7691694540000</v>
      </c>
      <c r="AA358" s="31" t="n">
        <v>31153508700</v>
      </c>
      <c r="AB358" s="31" t="n">
        <v>72420482965</v>
      </c>
      <c r="AC358" s="36" t="n">
        <v>0.004050278977927275</v>
      </c>
      <c r="AD358" s="29" t="inlineStr">
        <is>
          <t>yfinance_download</t>
        </is>
      </c>
      <c r="AE358" s="29" t="inlineStr">
        <is>
          <t>042700.KS</t>
        </is>
      </c>
    </row>
    <row r="359" ht="24" customHeight="1">
      <c r="A359" s="24" t="inlineStr">
        <is>
          <t>2024-11-22</t>
        </is>
      </c>
      <c r="B359" s="30" t="n">
        <v>82000</v>
      </c>
      <c r="C359" s="30" t="n">
        <v>85800</v>
      </c>
      <c r="D359" s="30" t="n">
        <v>81500</v>
      </c>
      <c r="E359" s="30" t="n">
        <v>83400</v>
      </c>
      <c r="F359" s="30" t="n">
        <v>82484.5625</v>
      </c>
      <c r="G359" s="30" t="n">
        <v>635766</v>
      </c>
      <c r="H359" s="35" t="n">
        <v>0.03345724907063197</v>
      </c>
      <c r="I359" s="35" t="n">
        <v>-0.5587301587301587</v>
      </c>
      <c r="J359" s="30" t="n">
        <v>88280</v>
      </c>
      <c r="K359" s="30" t="n">
        <v>100311.6666666667</v>
      </c>
      <c r="L359" s="30" t="n">
        <v>125297.5</v>
      </c>
      <c r="M359" s="35" t="n">
        <v>0.4322103474782554</v>
      </c>
      <c r="N359" s="35" t="n">
        <v>0.5649653228113513</v>
      </c>
      <c r="O359" s="35" t="n">
        <v>-0.147239263803681</v>
      </c>
      <c r="P359" s="35" t="n">
        <v>-0.3090306545153273</v>
      </c>
      <c r="Q359" s="35" t="n">
        <v>-0.4883435582822085</v>
      </c>
      <c r="R359" s="35" t="n">
        <v>-0.0552786588128682</v>
      </c>
      <c r="S359" s="35" t="n">
        <v>-0.1685912240184758</v>
      </c>
      <c r="T359" s="35" t="n">
        <v>-0.3343841656856681</v>
      </c>
      <c r="U359" s="30" t="n">
        <v>189000</v>
      </c>
      <c r="V359" s="30" t="n">
        <v>52400</v>
      </c>
      <c r="W359" s="35" t="n">
        <v>-0.5587301587301587</v>
      </c>
      <c r="X359" s="35" t="n">
        <v>0.5916030534351144</v>
      </c>
      <c r="Y359" s="30" t="n">
        <v>95312200</v>
      </c>
      <c r="Z359" s="30" t="n">
        <v>7949037480000</v>
      </c>
      <c r="AA359" s="30" t="n">
        <v>53022884400</v>
      </c>
      <c r="AB359" s="30" t="n">
        <v>71351236945</v>
      </c>
      <c r="AC359" s="35" t="n">
        <v>0.006670352798487497</v>
      </c>
      <c r="AD359" s="24" t="inlineStr">
        <is>
          <t>yfinance_download</t>
        </is>
      </c>
      <c r="AE359" s="24" t="inlineStr">
        <is>
          <t>042700.KS</t>
        </is>
      </c>
    </row>
    <row r="360" ht="24" customHeight="1">
      <c r="A360" s="29" t="inlineStr">
        <is>
          <t>2024-11-25</t>
        </is>
      </c>
      <c r="B360" s="31" t="n">
        <v>84000</v>
      </c>
      <c r="C360" s="31" t="n">
        <v>85100</v>
      </c>
      <c r="D360" s="31" t="n">
        <v>82600</v>
      </c>
      <c r="E360" s="31" t="n">
        <v>84200</v>
      </c>
      <c r="F360" s="31" t="n">
        <v>83275.78125</v>
      </c>
      <c r="G360" s="31" t="n">
        <v>498558</v>
      </c>
      <c r="H360" s="36" t="n">
        <v>0.009592326139088669</v>
      </c>
      <c r="I360" s="36" t="n">
        <v>-0.5544973544973545</v>
      </c>
      <c r="J360" s="31" t="n">
        <v>87715</v>
      </c>
      <c r="K360" s="31" t="n">
        <v>99751.66666666667</v>
      </c>
      <c r="L360" s="31" t="n">
        <v>124589.1666666667</v>
      </c>
      <c r="M360" s="36" t="n">
        <v>0.4319929046810832</v>
      </c>
      <c r="N360" s="36" t="n">
        <v>0.5644606778402567</v>
      </c>
      <c r="O360" s="36" t="n">
        <v>-0.118324607329843</v>
      </c>
      <c r="P360" s="36" t="n">
        <v>-0.2852292020373515</v>
      </c>
      <c r="Q360" s="36" t="n">
        <v>-0.5023640661938534</v>
      </c>
      <c r="R360" s="36" t="n">
        <v>-0.04007296357521517</v>
      </c>
      <c r="S360" s="36" t="n">
        <v>-0.1559038278391339</v>
      </c>
      <c r="T360" s="36" t="n">
        <v>-0.3241788009925957</v>
      </c>
      <c r="U360" s="31" t="n">
        <v>189000</v>
      </c>
      <c r="V360" s="31" t="n">
        <v>52400</v>
      </c>
      <c r="W360" s="36" t="n">
        <v>-0.5544973544973545</v>
      </c>
      <c r="X360" s="36" t="n">
        <v>0.6068702290076335</v>
      </c>
      <c r="Y360" s="31" t="n">
        <v>95312200</v>
      </c>
      <c r="Z360" s="31" t="n">
        <v>8025287240000</v>
      </c>
      <c r="AA360" s="31" t="n">
        <v>41978583600</v>
      </c>
      <c r="AB360" s="31" t="n">
        <v>69504196850</v>
      </c>
      <c r="AC360" s="36" t="n">
        <v>0.005230788923138906</v>
      </c>
      <c r="AD360" s="29" t="inlineStr">
        <is>
          <t>yfinance_download</t>
        </is>
      </c>
      <c r="AE360" s="29" t="inlineStr">
        <is>
          <t>042700.KS</t>
        </is>
      </c>
    </row>
    <row r="361" ht="24" customHeight="1">
      <c r="A361" s="24" t="inlineStr">
        <is>
          <t>2024-11-26</t>
        </is>
      </c>
      <c r="B361" s="30" t="n">
        <v>84200</v>
      </c>
      <c r="C361" s="30" t="n">
        <v>84300</v>
      </c>
      <c r="D361" s="30" t="n">
        <v>80600</v>
      </c>
      <c r="E361" s="30" t="n">
        <v>80700</v>
      </c>
      <c r="F361" s="30" t="n">
        <v>79814.1953125</v>
      </c>
      <c r="G361" s="30" t="n">
        <v>553335</v>
      </c>
      <c r="H361" s="35" t="n">
        <v>-0.04156769596199528</v>
      </c>
      <c r="I361" s="35" t="n">
        <v>-0.573015873015873</v>
      </c>
      <c r="J361" s="30" t="n">
        <v>87120</v>
      </c>
      <c r="K361" s="30" t="n">
        <v>99173.33333333333</v>
      </c>
      <c r="L361" s="30" t="n">
        <v>123884.1666666667</v>
      </c>
      <c r="M361" s="35" t="n">
        <v>0.4421110860842796</v>
      </c>
      <c r="N361" s="35" t="n">
        <v>0.5685898869048344</v>
      </c>
      <c r="O361" s="35" t="n">
        <v>-0.1285097192224622</v>
      </c>
      <c r="P361" s="35" t="n">
        <v>-0.3006932409012132</v>
      </c>
      <c r="Q361" s="35" t="n">
        <v>-0.5117967332123412</v>
      </c>
      <c r="R361" s="35" t="n">
        <v>-0.07369146005509641</v>
      </c>
      <c r="S361" s="35" t="n">
        <v>-0.1862731917182038</v>
      </c>
      <c r="T361" s="35" t="n">
        <v>-0.3485850357524839</v>
      </c>
      <c r="U361" s="30" t="n">
        <v>189000</v>
      </c>
      <c r="V361" s="30" t="n">
        <v>52400</v>
      </c>
      <c r="W361" s="35" t="n">
        <v>-0.573015873015873</v>
      </c>
      <c r="X361" s="35" t="n">
        <v>0.5400763358778626</v>
      </c>
      <c r="Y361" s="30" t="n">
        <v>95312200</v>
      </c>
      <c r="Z361" s="30" t="n">
        <v>7691694540000</v>
      </c>
      <c r="AA361" s="30" t="n">
        <v>44654134500</v>
      </c>
      <c r="AB361" s="30" t="n">
        <v>66225282125</v>
      </c>
      <c r="AC361" s="35" t="n">
        <v>0.005805500240263052</v>
      </c>
      <c r="AD361" s="24" t="inlineStr">
        <is>
          <t>yfinance_download</t>
        </is>
      </c>
      <c r="AE361" s="24" t="inlineStr">
        <is>
          <t>042700.KS</t>
        </is>
      </c>
    </row>
    <row r="362" ht="24" customHeight="1">
      <c r="A362" s="29" t="inlineStr">
        <is>
          <t>2024-11-27</t>
        </is>
      </c>
      <c r="B362" s="31" t="n">
        <v>80700</v>
      </c>
      <c r="C362" s="31" t="n">
        <v>80800</v>
      </c>
      <c r="D362" s="31" t="n">
        <v>75200</v>
      </c>
      <c r="E362" s="31" t="n">
        <v>76600</v>
      </c>
      <c r="F362" s="31" t="n">
        <v>75759.1953125</v>
      </c>
      <c r="G362" s="31" t="n">
        <v>926127</v>
      </c>
      <c r="H362" s="36" t="n">
        <v>-0.05080545229244116</v>
      </c>
      <c r="I362" s="36" t="n">
        <v>-0.5947089947089947</v>
      </c>
      <c r="J362" s="31" t="n">
        <v>86135</v>
      </c>
      <c r="K362" s="31" t="n">
        <v>98531.66666666667</v>
      </c>
      <c r="L362" s="31" t="n">
        <v>123175</v>
      </c>
      <c r="M362" s="36" t="n">
        <v>0.4329613029863797</v>
      </c>
      <c r="N362" s="36" t="n">
        <v>0.5761424805417766</v>
      </c>
      <c r="O362" s="36" t="n">
        <v>-0.2045690550363447</v>
      </c>
      <c r="P362" s="36" t="n">
        <v>-0.3344917463075586</v>
      </c>
      <c r="Q362" s="36" t="n">
        <v>-0.5262832405689548</v>
      </c>
      <c r="R362" s="36" t="n">
        <v>-0.1106983224008823</v>
      </c>
      <c r="S362" s="36" t="n">
        <v>-0.2225849557671815</v>
      </c>
      <c r="T362" s="36" t="n">
        <v>-0.3781205601786076</v>
      </c>
      <c r="U362" s="31" t="n">
        <v>189000</v>
      </c>
      <c r="V362" s="31" t="n">
        <v>52400</v>
      </c>
      <c r="W362" s="36" t="n">
        <v>-0.5947089947089947</v>
      </c>
      <c r="X362" s="36" t="n">
        <v>0.4618320610687023</v>
      </c>
      <c r="Y362" s="31" t="n">
        <v>95312200</v>
      </c>
      <c r="Z362" s="31" t="n">
        <v>7300914520000</v>
      </c>
      <c r="AA362" s="31" t="n">
        <v>70941328200</v>
      </c>
      <c r="AB362" s="31" t="n">
        <v>60301503545</v>
      </c>
      <c r="AC362" s="36" t="n">
        <v>0.009716772879022832</v>
      </c>
      <c r="AD362" s="29" t="inlineStr">
        <is>
          <t>yfinance_download</t>
        </is>
      </c>
      <c r="AE362" s="29" t="inlineStr">
        <is>
          <t>042700.KS</t>
        </is>
      </c>
    </row>
    <row r="363" ht="24" customHeight="1">
      <c r="A363" s="24" t="inlineStr">
        <is>
          <t>2024-11-28</t>
        </is>
      </c>
      <c r="B363" s="30" t="n">
        <v>76000</v>
      </c>
      <c r="C363" s="30" t="n">
        <v>77400</v>
      </c>
      <c r="D363" s="30" t="n">
        <v>75800</v>
      </c>
      <c r="E363" s="30" t="n">
        <v>76900</v>
      </c>
      <c r="F363" s="30" t="n">
        <v>76055.9140625</v>
      </c>
      <c r="G363" s="30" t="n">
        <v>354820</v>
      </c>
      <c r="H363" s="35" t="n">
        <v>0.003916449086161844</v>
      </c>
      <c r="I363" s="35" t="n">
        <v>-0.5931216931216932</v>
      </c>
      <c r="J363" s="30" t="n">
        <v>85380</v>
      </c>
      <c r="K363" s="30" t="n">
        <v>97766.66666666667</v>
      </c>
      <c r="L363" s="30" t="n">
        <v>122593.3333333333</v>
      </c>
      <c r="M363" s="35" t="n">
        <v>0.4169491906518912</v>
      </c>
      <c r="N363" s="35" t="n">
        <v>0.5561666683987523</v>
      </c>
      <c r="O363" s="35" t="n">
        <v>-0.1641304347826087</v>
      </c>
      <c r="P363" s="35" t="n">
        <v>-0.3737785016286646</v>
      </c>
      <c r="Q363" s="35" t="n">
        <v>-0.4758009543285617</v>
      </c>
      <c r="R363" s="35" t="n">
        <v>-0.09932068400093697</v>
      </c>
      <c r="S363" s="35" t="n">
        <v>-0.2134333446982613</v>
      </c>
      <c r="T363" s="35" t="n">
        <v>-0.3727228234270488</v>
      </c>
      <c r="U363" s="30" t="n">
        <v>189000</v>
      </c>
      <c r="V363" s="30" t="n">
        <v>52400</v>
      </c>
      <c r="W363" s="35" t="n">
        <v>-0.5931216931216932</v>
      </c>
      <c r="X363" s="35" t="n">
        <v>0.467557251908397</v>
      </c>
      <c r="Y363" s="30" t="n">
        <v>95312200</v>
      </c>
      <c r="Z363" s="30" t="n">
        <v>7329508180000</v>
      </c>
      <c r="AA363" s="30" t="n">
        <v>27285658000</v>
      </c>
      <c r="AB363" s="30" t="n">
        <v>57359542445</v>
      </c>
      <c r="AC363" s="35" t="n">
        <v>0.003722713356737123</v>
      </c>
      <c r="AD363" s="24" t="inlineStr">
        <is>
          <t>yfinance_download</t>
        </is>
      </c>
      <c r="AE363" s="24" t="inlineStr">
        <is>
          <t>042700.KS</t>
        </is>
      </c>
    </row>
    <row r="364" ht="24" customHeight="1">
      <c r="A364" s="29" t="inlineStr">
        <is>
          <t>2024-11-29</t>
        </is>
      </c>
      <c r="B364" s="31" t="n">
        <v>76300</v>
      </c>
      <c r="C364" s="31" t="n">
        <v>77100</v>
      </c>
      <c r="D364" s="31" t="n">
        <v>73300</v>
      </c>
      <c r="E364" s="31" t="n">
        <v>74600</v>
      </c>
      <c r="F364" s="31" t="n">
        <v>73781.15625</v>
      </c>
      <c r="G364" s="31" t="n">
        <v>628667</v>
      </c>
      <c r="H364" s="36" t="n">
        <v>-0.02990897269180759</v>
      </c>
      <c r="I364" s="36" t="n">
        <v>-0.6052910052910052</v>
      </c>
      <c r="J364" s="31" t="n">
        <v>84470</v>
      </c>
      <c r="K364" s="31" t="n">
        <v>97156.66666666667</v>
      </c>
      <c r="L364" s="31" t="n">
        <v>121976.6666666667</v>
      </c>
      <c r="M364" s="36" t="n">
        <v>0.4182378086089882</v>
      </c>
      <c r="N364" s="36" t="n">
        <v>0.5279020155577884</v>
      </c>
      <c r="O364" s="36" t="n">
        <v>-0.1961206896551724</v>
      </c>
      <c r="P364" s="36" t="n">
        <v>-0.329136690647482</v>
      </c>
      <c r="Q364" s="36" t="n">
        <v>-0.4979811574697174</v>
      </c>
      <c r="R364" s="36" t="n">
        <v>-0.1168462175920445</v>
      </c>
      <c r="S364" s="36" t="n">
        <v>-0.2321679761210417</v>
      </c>
      <c r="T364" s="36" t="n">
        <v>-0.3884076189435138</v>
      </c>
      <c r="U364" s="31" t="n">
        <v>189000</v>
      </c>
      <c r="V364" s="31" t="n">
        <v>52400</v>
      </c>
      <c r="W364" s="36" t="n">
        <v>-0.6052910052910052</v>
      </c>
      <c r="X364" s="36" t="n">
        <v>0.4236641221374047</v>
      </c>
      <c r="Y364" s="31" t="n">
        <v>95312200</v>
      </c>
      <c r="Z364" s="31" t="n">
        <v>7110290120000</v>
      </c>
      <c r="AA364" s="31" t="n">
        <v>46898558200</v>
      </c>
      <c r="AB364" s="31" t="n">
        <v>56771099475</v>
      </c>
      <c r="AC364" s="36" t="n">
        <v>0.006595871252578368</v>
      </c>
      <c r="AD364" s="29" t="inlineStr">
        <is>
          <t>yfinance_download</t>
        </is>
      </c>
      <c r="AE364" s="29" t="inlineStr">
        <is>
          <t>042700.KS</t>
        </is>
      </c>
    </row>
    <row r="365" ht="24" customHeight="1">
      <c r="A365" s="24" t="inlineStr">
        <is>
          <t>2024-12-02</t>
        </is>
      </c>
      <c r="B365" s="30" t="n">
        <v>75000</v>
      </c>
      <c r="C365" s="30" t="n">
        <v>75700</v>
      </c>
      <c r="D365" s="30" t="n">
        <v>72100</v>
      </c>
      <c r="E365" s="30" t="n">
        <v>72300</v>
      </c>
      <c r="F365" s="30" t="n">
        <v>71506.3984375</v>
      </c>
      <c r="G365" s="30" t="n">
        <v>488292</v>
      </c>
      <c r="H365" s="35" t="n">
        <v>-0.03083109919571048</v>
      </c>
      <c r="I365" s="35" t="n">
        <v>-0.6174603174603175</v>
      </c>
      <c r="J365" s="30" t="n">
        <v>83305</v>
      </c>
      <c r="K365" s="30" t="n">
        <v>96453.33333333333</v>
      </c>
      <c r="L365" s="30" t="n">
        <v>121280.8333333333</v>
      </c>
      <c r="M365" s="35" t="n">
        <v>0.3949217201168049</v>
      </c>
      <c r="N365" s="35" t="n">
        <v>0.5249517424341006</v>
      </c>
      <c r="O365" s="35" t="n">
        <v>-0.2437238493723849</v>
      </c>
      <c r="P365" s="35" t="n">
        <v>-0.3685589519650655</v>
      </c>
      <c r="Q365" s="35" t="n">
        <v>-0.5359435173299101</v>
      </c>
      <c r="R365" s="35" t="n">
        <v>-0.1321049156713282</v>
      </c>
      <c r="S365" s="35" t="n">
        <v>-0.2504147083218137</v>
      </c>
      <c r="T365" s="35" t="n">
        <v>-0.4038629351986093</v>
      </c>
      <c r="U365" s="30" t="n">
        <v>189000</v>
      </c>
      <c r="V365" s="30" t="n">
        <v>52400</v>
      </c>
      <c r="W365" s="35" t="n">
        <v>-0.6174603174603175</v>
      </c>
      <c r="X365" s="35" t="n">
        <v>0.3797709923664123</v>
      </c>
      <c r="Y365" s="30" t="n">
        <v>95312200</v>
      </c>
      <c r="Z365" s="30" t="n">
        <v>6891072060000</v>
      </c>
      <c r="AA365" s="30" t="n">
        <v>35303511600</v>
      </c>
      <c r="AB365" s="30" t="n">
        <v>54989046615</v>
      </c>
      <c r="AC365" s="35" t="n">
        <v>0.005123079731660794</v>
      </c>
      <c r="AD365" s="24" t="inlineStr">
        <is>
          <t>yfinance_download</t>
        </is>
      </c>
      <c r="AE365" s="24" t="inlineStr">
        <is>
          <t>042700.KS</t>
        </is>
      </c>
    </row>
    <row r="366" ht="24" customHeight="1">
      <c r="A366" s="29" t="inlineStr">
        <is>
          <t>2024-12-03</t>
        </is>
      </c>
      <c r="B366" s="31" t="n">
        <v>72700</v>
      </c>
      <c r="C366" s="31" t="n">
        <v>75500</v>
      </c>
      <c r="D366" s="31" t="n">
        <v>72700</v>
      </c>
      <c r="E366" s="31" t="n">
        <v>74900</v>
      </c>
      <c r="F366" s="31" t="n">
        <v>74077.859375</v>
      </c>
      <c r="G366" s="31" t="n">
        <v>546403</v>
      </c>
      <c r="H366" s="36" t="n">
        <v>0.03596127247579539</v>
      </c>
      <c r="I366" s="36" t="n">
        <v>-0.6037037037037036</v>
      </c>
      <c r="J366" s="31" t="n">
        <v>82275</v>
      </c>
      <c r="K366" s="31" t="n">
        <v>95845</v>
      </c>
      <c r="L366" s="31" t="n">
        <v>120598.3333333333</v>
      </c>
      <c r="M366" s="36" t="n">
        <v>0.4307141819330595</v>
      </c>
      <c r="N366" s="36" t="n">
        <v>0.5305682025152507</v>
      </c>
      <c r="O366" s="36" t="n">
        <v>-0.2157068062827225</v>
      </c>
      <c r="P366" s="36" t="n">
        <v>-0.3276481149012568</v>
      </c>
      <c r="Q366" s="36" t="n">
        <v>-0.5223214285714286</v>
      </c>
      <c r="R366" s="36" t="n">
        <v>-0.08963840777879062</v>
      </c>
      <c r="S366" s="36" t="n">
        <v>-0.2185299180969273</v>
      </c>
      <c r="T366" s="36" t="n">
        <v>-0.3789300570765212</v>
      </c>
      <c r="U366" s="31" t="n">
        <v>189000</v>
      </c>
      <c r="V366" s="31" t="n">
        <v>52400</v>
      </c>
      <c r="W366" s="36" t="n">
        <v>-0.6037037037037036</v>
      </c>
      <c r="X366" s="36" t="n">
        <v>0.4293893129770991</v>
      </c>
      <c r="Y366" s="31" t="n">
        <v>95312200</v>
      </c>
      <c r="Z366" s="31" t="n">
        <v>7138883780000</v>
      </c>
      <c r="AA366" s="31" t="n">
        <v>40925584700</v>
      </c>
      <c r="AB366" s="31" t="n">
        <v>53057273350</v>
      </c>
      <c r="AC366" s="36" t="n">
        <v>0.005732770831016386</v>
      </c>
      <c r="AD366" s="29" t="inlineStr">
        <is>
          <t>yfinance_download</t>
        </is>
      </c>
      <c r="AE366" s="29" t="inlineStr">
        <is>
          <t>042700.KS</t>
        </is>
      </c>
    </row>
    <row r="367" ht="24" customHeight="1">
      <c r="A367" s="24" t="inlineStr">
        <is>
          <t>2024-12-04</t>
        </is>
      </c>
      <c r="B367" s="30" t="n">
        <v>72900</v>
      </c>
      <c r="C367" s="30" t="n">
        <v>75000</v>
      </c>
      <c r="D367" s="30" t="n">
        <v>72800</v>
      </c>
      <c r="E367" s="30" t="n">
        <v>74100</v>
      </c>
      <c r="F367" s="30" t="n">
        <v>73286.640625</v>
      </c>
      <c r="G367" s="30" t="n">
        <v>482689</v>
      </c>
      <c r="H367" s="35" t="n">
        <v>-0.01068090787716958</v>
      </c>
      <c r="I367" s="35" t="n">
        <v>-0.607936507936508</v>
      </c>
      <c r="J367" s="30" t="n">
        <v>81325</v>
      </c>
      <c r="K367" s="30" t="n">
        <v>95270</v>
      </c>
      <c r="L367" s="30" t="n">
        <v>119882.5</v>
      </c>
      <c r="M367" s="35" t="n">
        <v>0.4277912905555928</v>
      </c>
      <c r="N367" s="35" t="n">
        <v>0.5291715390187071</v>
      </c>
      <c r="O367" s="35" t="n">
        <v>-0.2040816326530612</v>
      </c>
      <c r="P367" s="35" t="n">
        <v>-0.3176795580110497</v>
      </c>
      <c r="Q367" s="35" t="n">
        <v>-0.536875</v>
      </c>
      <c r="R367" s="35" t="n">
        <v>-0.08884106978173989</v>
      </c>
      <c r="S367" s="35" t="n">
        <v>-0.2222105594625801</v>
      </c>
      <c r="T367" s="35" t="n">
        <v>-0.381894771964215</v>
      </c>
      <c r="U367" s="30" t="n">
        <v>189000</v>
      </c>
      <c r="V367" s="30" t="n">
        <v>52400</v>
      </c>
      <c r="W367" s="35" t="n">
        <v>-0.607936507936508</v>
      </c>
      <c r="X367" s="35" t="n">
        <v>0.4141221374045803</v>
      </c>
      <c r="Y367" s="30" t="n">
        <v>95312200</v>
      </c>
      <c r="Z367" s="30" t="n">
        <v>7062634020000</v>
      </c>
      <c r="AA367" s="30" t="n">
        <v>35767254900</v>
      </c>
      <c r="AB367" s="30" t="n">
        <v>51071497090</v>
      </c>
      <c r="AC367" s="35" t="n">
        <v>0.005064293972859718</v>
      </c>
      <c r="AD367" s="24" t="inlineStr">
        <is>
          <t>yfinance_download</t>
        </is>
      </c>
      <c r="AE367" s="24" t="inlineStr">
        <is>
          <t>042700.KS</t>
        </is>
      </c>
    </row>
    <row r="368" ht="24" customHeight="1">
      <c r="A368" s="29" t="inlineStr">
        <is>
          <t>2024-12-05</t>
        </is>
      </c>
      <c r="B368" s="31" t="n">
        <v>75300</v>
      </c>
      <c r="C368" s="31" t="n">
        <v>76200</v>
      </c>
      <c r="D368" s="31" t="n">
        <v>73900</v>
      </c>
      <c r="E368" s="31" t="n">
        <v>74400</v>
      </c>
      <c r="F368" s="31" t="n">
        <v>73583.34375</v>
      </c>
      <c r="G368" s="31" t="n">
        <v>656367</v>
      </c>
      <c r="H368" s="36" t="n">
        <v>0.004048582995951344</v>
      </c>
      <c r="I368" s="36" t="n">
        <v>-0.6063492063492064</v>
      </c>
      <c r="J368" s="31" t="n">
        <v>80390</v>
      </c>
      <c r="K368" s="31" t="n">
        <v>94826.66666666667</v>
      </c>
      <c r="L368" s="31" t="n">
        <v>119175</v>
      </c>
      <c r="M368" s="36" t="n">
        <v>0.4294101146651662</v>
      </c>
      <c r="N368" s="36" t="n">
        <v>0.512300987063506</v>
      </c>
      <c r="O368" s="36" t="n">
        <v>-0.200859291084855</v>
      </c>
      <c r="P368" s="36" t="n">
        <v>-0.2633663366336634</v>
      </c>
      <c r="Q368" s="36" t="n">
        <v>-0.5329566854990584</v>
      </c>
      <c r="R368" s="36" t="n">
        <v>-0.07451175519343201</v>
      </c>
      <c r="S368" s="36" t="n">
        <v>-0.2154105736782903</v>
      </c>
      <c r="T368" s="36" t="n">
        <v>-0.3757079924480805</v>
      </c>
      <c r="U368" s="31" t="n">
        <v>189000</v>
      </c>
      <c r="V368" s="31" t="n">
        <v>52400</v>
      </c>
      <c r="W368" s="36" t="n">
        <v>-0.6063492063492064</v>
      </c>
      <c r="X368" s="36" t="n">
        <v>0.4198473282442747</v>
      </c>
      <c r="Y368" s="31" t="n">
        <v>95312200</v>
      </c>
      <c r="Z368" s="31" t="n">
        <v>7091227680000</v>
      </c>
      <c r="AA368" s="31" t="n">
        <v>48833704800</v>
      </c>
      <c r="AB368" s="31" t="n">
        <v>50837181100</v>
      </c>
      <c r="AC368" s="36" t="n">
        <v>0.006886495118148568</v>
      </c>
      <c r="AD368" s="29" t="inlineStr">
        <is>
          <t>yfinance_download</t>
        </is>
      </c>
      <c r="AE368" s="29" t="inlineStr">
        <is>
          <t>042700.KS</t>
        </is>
      </c>
    </row>
    <row r="369" ht="24" customHeight="1">
      <c r="A369" s="24" t="inlineStr">
        <is>
          <t>2024-12-06</t>
        </is>
      </c>
      <c r="B369" s="30" t="n">
        <v>73700</v>
      </c>
      <c r="C369" s="30" t="n">
        <v>74300</v>
      </c>
      <c r="D369" s="30" t="n">
        <v>70500</v>
      </c>
      <c r="E369" s="30" t="n">
        <v>72300</v>
      </c>
      <c r="F369" s="30" t="n">
        <v>71506.3984375</v>
      </c>
      <c r="G369" s="30" t="n">
        <v>506307</v>
      </c>
      <c r="H369" s="35" t="n">
        <v>-0.02822580645161288</v>
      </c>
      <c r="I369" s="35" t="n">
        <v>-0.6174603174603175</v>
      </c>
      <c r="J369" s="30" t="n">
        <v>79295</v>
      </c>
      <c r="K369" s="30" t="n">
        <v>94368.33333333333</v>
      </c>
      <c r="L369" s="30" t="n">
        <v>118328.3333333333</v>
      </c>
      <c r="M369" s="35" t="n">
        <v>0.4249452126954574</v>
      </c>
      <c r="N369" s="35" t="n">
        <v>0.5143886577154625</v>
      </c>
      <c r="O369" s="35" t="n">
        <v>-0.232484076433121</v>
      </c>
      <c r="P369" s="35" t="n">
        <v>-0.2755511022044088</v>
      </c>
      <c r="Q369" s="35" t="n">
        <v>-0.5842438182863714</v>
      </c>
      <c r="R369" s="35" t="n">
        <v>-0.0882148937511823</v>
      </c>
      <c r="S369" s="35" t="n">
        <v>-0.2338531640204164</v>
      </c>
      <c r="T369" s="35" t="n">
        <v>-0.3889882671098779</v>
      </c>
      <c r="U369" s="30" t="n">
        <v>189000</v>
      </c>
      <c r="V369" s="30" t="n">
        <v>52400</v>
      </c>
      <c r="W369" s="35" t="n">
        <v>-0.6174603174603175</v>
      </c>
      <c r="X369" s="35" t="n">
        <v>0.3797709923664123</v>
      </c>
      <c r="Y369" s="30" t="n">
        <v>95312200</v>
      </c>
      <c r="Z369" s="30" t="n">
        <v>6891072060000</v>
      </c>
      <c r="AA369" s="30" t="n">
        <v>36605996100</v>
      </c>
      <c r="AB369" s="30" t="n">
        <v>49393550485</v>
      </c>
      <c r="AC369" s="35" t="n">
        <v>0.005312090162644447</v>
      </c>
      <c r="AD369" s="24" t="inlineStr">
        <is>
          <t>yfinance_download</t>
        </is>
      </c>
      <c r="AE369" s="24" t="inlineStr">
        <is>
          <t>042700.KS</t>
        </is>
      </c>
    </row>
    <row r="370" ht="24" customHeight="1">
      <c r="A370" s="29" t="inlineStr">
        <is>
          <t>2024-12-09</t>
        </is>
      </c>
      <c r="B370" s="31" t="n">
        <v>70000</v>
      </c>
      <c r="C370" s="31" t="n">
        <v>72300</v>
      </c>
      <c r="D370" s="31" t="n">
        <v>69600</v>
      </c>
      <c r="E370" s="31" t="n">
        <v>70100</v>
      </c>
      <c r="F370" s="31" t="n">
        <v>69330.546875</v>
      </c>
      <c r="G370" s="31" t="n">
        <v>484832</v>
      </c>
      <c r="H370" s="36" t="n">
        <v>-0.03042876901798064</v>
      </c>
      <c r="I370" s="36" t="n">
        <v>-0.6291005291005292</v>
      </c>
      <c r="J370" s="31" t="n">
        <v>78395</v>
      </c>
      <c r="K370" s="31" t="n">
        <v>93928.33333333333</v>
      </c>
      <c r="L370" s="31" t="n">
        <v>117337.5</v>
      </c>
      <c r="M370" s="36" t="n">
        <v>0.3848559361265937</v>
      </c>
      <c r="N370" s="36" t="n">
        <v>0.5137985507783567</v>
      </c>
      <c r="O370" s="36" t="n">
        <v>-0.2043132803632236</v>
      </c>
      <c r="P370" s="36" t="n">
        <v>-0.2735751295336788</v>
      </c>
      <c r="Q370" s="36" t="n">
        <v>-0.6291005291005292</v>
      </c>
      <c r="R370" s="36" t="n">
        <v>-0.1058103195356846</v>
      </c>
      <c r="S370" s="36" t="n">
        <v>-0.253686321131359</v>
      </c>
      <c r="T370" s="36" t="n">
        <v>-0.4025780334505167</v>
      </c>
      <c r="U370" s="31" t="n">
        <v>189000</v>
      </c>
      <c r="V370" s="31" t="n">
        <v>52400</v>
      </c>
      <c r="W370" s="36" t="n">
        <v>-0.6291005291005292</v>
      </c>
      <c r="X370" s="36" t="n">
        <v>0.3377862595419847</v>
      </c>
      <c r="Y370" s="31" t="n">
        <v>95312200</v>
      </c>
      <c r="Z370" s="31" t="n">
        <v>6681385220000</v>
      </c>
      <c r="AA370" s="31" t="n">
        <v>33986723200</v>
      </c>
      <c r="AB370" s="31" t="n">
        <v>47153671345</v>
      </c>
      <c r="AC370" s="36" t="n">
        <v>0.005086777978055275</v>
      </c>
      <c r="AD370" s="29" t="inlineStr">
        <is>
          <t>yfinance_download</t>
        </is>
      </c>
      <c r="AE370" s="29" t="inlineStr">
        <is>
          <t>042700.KS</t>
        </is>
      </c>
    </row>
    <row r="371" ht="24" customHeight="1">
      <c r="A371" s="24" t="inlineStr">
        <is>
          <t>2024-12-10</t>
        </is>
      </c>
      <c r="B371" s="30" t="n">
        <v>70500</v>
      </c>
      <c r="C371" s="30" t="n">
        <v>72400</v>
      </c>
      <c r="D371" s="30" t="n">
        <v>70500</v>
      </c>
      <c r="E371" s="30" t="n">
        <v>71000</v>
      </c>
      <c r="F371" s="30" t="n">
        <v>70220.671875</v>
      </c>
      <c r="G371" s="30" t="n">
        <v>455329</v>
      </c>
      <c r="H371" s="35" t="n">
        <v>0.01283880171184015</v>
      </c>
      <c r="I371" s="35" t="n">
        <v>-0.6243386243386244</v>
      </c>
      <c r="J371" s="30" t="n">
        <v>77710</v>
      </c>
      <c r="K371" s="30" t="n">
        <v>93485</v>
      </c>
      <c r="L371" s="30" t="n">
        <v>116430</v>
      </c>
      <c r="M371" s="35" t="n">
        <v>0.3793552319615133</v>
      </c>
      <c r="N371" s="35" t="n">
        <v>0.514000807167128</v>
      </c>
      <c r="O371" s="35" t="n">
        <v>-0.1617473435655253</v>
      </c>
      <c r="P371" s="35" t="n">
        <v>-0.2725409836065574</v>
      </c>
      <c r="Q371" s="35" t="n">
        <v>-0.6053362979433019</v>
      </c>
      <c r="R371" s="35" t="n">
        <v>-0.0863466735297902</v>
      </c>
      <c r="S371" s="35" t="n">
        <v>-0.2405198694977804</v>
      </c>
      <c r="T371" s="35" t="n">
        <v>-0.3901915313922528</v>
      </c>
      <c r="U371" s="30" t="n">
        <v>189000</v>
      </c>
      <c r="V371" s="30" t="n">
        <v>52400</v>
      </c>
      <c r="W371" s="35" t="n">
        <v>-0.6243386243386244</v>
      </c>
      <c r="X371" s="35" t="n">
        <v>0.3549618320610688</v>
      </c>
      <c r="Y371" s="30" t="n">
        <v>95312200</v>
      </c>
      <c r="Z371" s="30" t="n">
        <v>6767166200000</v>
      </c>
      <c r="AA371" s="30" t="n">
        <v>32328359000</v>
      </c>
      <c r="AB371" s="30" t="n">
        <v>43016392885</v>
      </c>
      <c r="AC371" s="35" t="n">
        <v>0.004777237331632257</v>
      </c>
      <c r="AD371" s="24" t="inlineStr">
        <is>
          <t>yfinance_download</t>
        </is>
      </c>
      <c r="AE371" s="24" t="inlineStr">
        <is>
          <t>042700.KS</t>
        </is>
      </c>
    </row>
    <row r="372" ht="24" customHeight="1">
      <c r="A372" s="29" t="inlineStr">
        <is>
          <t>2024-12-11</t>
        </is>
      </c>
      <c r="B372" s="31" t="n">
        <v>70600</v>
      </c>
      <c r="C372" s="31" t="n">
        <v>81700</v>
      </c>
      <c r="D372" s="31" t="n">
        <v>69400</v>
      </c>
      <c r="E372" s="31" t="n">
        <v>80900</v>
      </c>
      <c r="F372" s="31" t="n">
        <v>80012.0078125</v>
      </c>
      <c r="G372" s="31" t="n">
        <v>1850306</v>
      </c>
      <c r="H372" s="36" t="n">
        <v>0.1394366197183099</v>
      </c>
      <c r="I372" s="36" t="n">
        <v>-0.571957671957672</v>
      </c>
      <c r="J372" s="31" t="n">
        <v>77650</v>
      </c>
      <c r="K372" s="31" t="n">
        <v>93226.66666666667</v>
      </c>
      <c r="L372" s="31" t="n">
        <v>115603.3333333333</v>
      </c>
      <c r="M372" s="36" t="n">
        <v>0.6391339763641091</v>
      </c>
      <c r="N372" s="36" t="n">
        <v>0.5925691532722315</v>
      </c>
      <c r="O372" s="36" t="n">
        <v>-0.01461632155907433</v>
      </c>
      <c r="P372" s="36" t="n">
        <v>-0.1607883817427386</v>
      </c>
      <c r="Q372" s="36" t="n">
        <v>-0.5508051082731815</v>
      </c>
      <c r="R372" s="36" t="n">
        <v>0.04185447520927243</v>
      </c>
      <c r="S372" s="36" t="n">
        <v>-0.1322225400457666</v>
      </c>
      <c r="T372" s="36" t="n">
        <v>-0.3001931893544015</v>
      </c>
      <c r="U372" s="31" t="n">
        <v>189000</v>
      </c>
      <c r="V372" s="31" t="n">
        <v>52400</v>
      </c>
      <c r="W372" s="36" t="n">
        <v>-0.571957671957672</v>
      </c>
      <c r="X372" s="36" t="n">
        <v>0.5438931297709924</v>
      </c>
      <c r="Y372" s="31" t="n">
        <v>95312200</v>
      </c>
      <c r="Z372" s="31" t="n">
        <v>7710756980000</v>
      </c>
      <c r="AA372" s="31" t="n">
        <v>149689755400</v>
      </c>
      <c r="AB372" s="31" t="n">
        <v>47562882895</v>
      </c>
      <c r="AC372" s="36" t="n">
        <v>0.01941310766092903</v>
      </c>
      <c r="AD372" s="29" t="inlineStr">
        <is>
          <t>yfinance_download</t>
        </is>
      </c>
      <c r="AE372" s="29" t="inlineStr">
        <is>
          <t>042700.KS</t>
        </is>
      </c>
    </row>
    <row r="373" ht="24" customHeight="1">
      <c r="A373" s="24" t="inlineStr">
        <is>
          <t>2024-12-12</t>
        </is>
      </c>
      <c r="B373" s="30" t="n">
        <v>82700</v>
      </c>
      <c r="C373" s="30" t="n">
        <v>88000</v>
      </c>
      <c r="D373" s="30" t="n">
        <v>82600</v>
      </c>
      <c r="E373" s="30" t="n">
        <v>83800</v>
      </c>
      <c r="F373" s="30" t="n">
        <v>82880.171875</v>
      </c>
      <c r="G373" s="30" t="n">
        <v>1958639</v>
      </c>
      <c r="H373" s="35" t="n">
        <v>0.03584672435105074</v>
      </c>
      <c r="I373" s="35" t="n">
        <v>-0.5566137566137566</v>
      </c>
      <c r="J373" s="30" t="n">
        <v>77785</v>
      </c>
      <c r="K373" s="30" t="n">
        <v>93018.33333333333</v>
      </c>
      <c r="L373" s="30" t="n">
        <v>114805.8333333333</v>
      </c>
      <c r="M373" s="35" t="n">
        <v>0.6496475322792538</v>
      </c>
      <c r="N373" s="35" t="n">
        <v>0.5976884022498012</v>
      </c>
      <c r="O373" s="35" t="n">
        <v>0.03329223181257701</v>
      </c>
      <c r="P373" s="35" t="n">
        <v>-0.1298026998961579</v>
      </c>
      <c r="Q373" s="35" t="n">
        <v>-0.5331476323119777</v>
      </c>
      <c r="R373" s="35" t="n">
        <v>0.07732853377900617</v>
      </c>
      <c r="S373" s="35" t="n">
        <v>-0.09910232749816339</v>
      </c>
      <c r="T373" s="35" t="n">
        <v>-0.2700719330463753</v>
      </c>
      <c r="U373" s="30" t="n">
        <v>189000</v>
      </c>
      <c r="V373" s="30" t="n">
        <v>52400</v>
      </c>
      <c r="W373" s="35" t="n">
        <v>-0.5566137566137566</v>
      </c>
      <c r="X373" s="35" t="n">
        <v>0.5992366412213741</v>
      </c>
      <c r="Y373" s="30" t="n">
        <v>95312200</v>
      </c>
      <c r="Z373" s="30" t="n">
        <v>7987162360000</v>
      </c>
      <c r="AA373" s="30" t="n">
        <v>164133948200</v>
      </c>
      <c r="AB373" s="30" t="n">
        <v>53013587390</v>
      </c>
      <c r="AC373" s="35" t="n">
        <v>0.02054971976305237</v>
      </c>
      <c r="AD373" s="24" t="inlineStr">
        <is>
          <t>yfinance_download</t>
        </is>
      </c>
      <c r="AE373" s="24" t="inlineStr">
        <is>
          <t>042700.KS</t>
        </is>
      </c>
    </row>
    <row r="374" ht="24" customHeight="1">
      <c r="A374" s="29" t="inlineStr">
        <is>
          <t>2024-12-13</t>
        </is>
      </c>
      <c r="B374" s="31" t="n">
        <v>83600</v>
      </c>
      <c r="C374" s="31" t="n">
        <v>84700</v>
      </c>
      <c r="D374" s="31" t="n">
        <v>81500</v>
      </c>
      <c r="E374" s="31" t="n">
        <v>83000</v>
      </c>
      <c r="F374" s="31" t="n">
        <v>82088.953125</v>
      </c>
      <c r="G374" s="31" t="n">
        <v>758247</v>
      </c>
      <c r="H374" s="36" t="n">
        <v>-0.009546539379474916</v>
      </c>
      <c r="I374" s="36" t="n">
        <v>-0.5608465608465609</v>
      </c>
      <c r="J374" s="31" t="n">
        <v>77850</v>
      </c>
      <c r="K374" s="31" t="n">
        <v>92711.66666666667</v>
      </c>
      <c r="L374" s="31" t="n">
        <v>114022.5</v>
      </c>
      <c r="M374" s="36" t="n">
        <v>0.650701358276266</v>
      </c>
      <c r="N374" s="36" t="n">
        <v>0.5869365551689221</v>
      </c>
      <c r="O374" s="36" t="n">
        <v>0.01591187270501826</v>
      </c>
      <c r="P374" s="36" t="n">
        <v>-0.1814595660749507</v>
      </c>
      <c r="Q374" s="36" t="n">
        <v>-0.5310734463276836</v>
      </c>
      <c r="R374" s="36" t="n">
        <v>0.06615285806037252</v>
      </c>
      <c r="S374" s="36" t="n">
        <v>-0.1047512898412641</v>
      </c>
      <c r="T374" s="36" t="n">
        <v>-0.2720734942664825</v>
      </c>
      <c r="U374" s="31" t="n">
        <v>189000</v>
      </c>
      <c r="V374" s="31" t="n">
        <v>52400</v>
      </c>
      <c r="W374" s="36" t="n">
        <v>-0.5608465608465609</v>
      </c>
      <c r="X374" s="36" t="n">
        <v>0.583969465648855</v>
      </c>
      <c r="Y374" s="31" t="n">
        <v>95312200</v>
      </c>
      <c r="Z374" s="31" t="n">
        <v>7910912600000</v>
      </c>
      <c r="AA374" s="31" t="n">
        <v>62934501000</v>
      </c>
      <c r="AB374" s="31" t="n">
        <v>53418199000</v>
      </c>
      <c r="AC374" s="36" t="n">
        <v>0.007955403400613983</v>
      </c>
      <c r="AD374" s="29" t="inlineStr">
        <is>
          <t>yfinance_download</t>
        </is>
      </c>
      <c r="AE374" s="29" t="inlineStr">
        <is>
          <t>042700.KS</t>
        </is>
      </c>
    </row>
    <row r="375" ht="24" customHeight="1">
      <c r="A375" s="24" t="inlineStr">
        <is>
          <t>2024-12-16</t>
        </is>
      </c>
      <c r="B375" s="30" t="n">
        <v>84600</v>
      </c>
      <c r="C375" s="30" t="n">
        <v>84900</v>
      </c>
      <c r="D375" s="30" t="n">
        <v>82500</v>
      </c>
      <c r="E375" s="30" t="n">
        <v>83800</v>
      </c>
      <c r="F375" s="30" t="n">
        <v>82880.171875</v>
      </c>
      <c r="G375" s="30" t="n">
        <v>572266</v>
      </c>
      <c r="H375" s="35" t="n">
        <v>0.009638554216867545</v>
      </c>
      <c r="I375" s="35" t="n">
        <v>-0.5566137566137566</v>
      </c>
      <c r="J375" s="30" t="n">
        <v>78010</v>
      </c>
      <c r="K375" s="30" t="n">
        <v>92450</v>
      </c>
      <c r="L375" s="30" t="n">
        <v>113226.6666666667</v>
      </c>
      <c r="M375" s="35" t="n">
        <v>0.6487956000043329</v>
      </c>
      <c r="N375" s="35" t="n">
        <v>0.5864991359121176</v>
      </c>
      <c r="O375" s="35" t="n">
        <v>0.03970223325062028</v>
      </c>
      <c r="P375" s="35" t="n">
        <v>-0.157788944723618</v>
      </c>
      <c r="Q375" s="35" t="n">
        <v>-0.5326268823201339</v>
      </c>
      <c r="R375" s="35" t="n">
        <v>0.07422125368542498</v>
      </c>
      <c r="S375" s="35" t="n">
        <v>-0.09356408869659272</v>
      </c>
      <c r="T375" s="35" t="n">
        <v>-0.2598916627414037</v>
      </c>
      <c r="U375" s="30" t="n">
        <v>189000</v>
      </c>
      <c r="V375" s="30" t="n">
        <v>52400</v>
      </c>
      <c r="W375" s="35" t="n">
        <v>-0.5566137566137566</v>
      </c>
      <c r="X375" s="35" t="n">
        <v>0.5992366412213741</v>
      </c>
      <c r="Y375" s="30" t="n">
        <v>95312200</v>
      </c>
      <c r="Z375" s="30" t="n">
        <v>7987162360000</v>
      </c>
      <c r="AA375" s="30" t="n">
        <v>47955890800</v>
      </c>
      <c r="AB375" s="30" t="n">
        <v>53695733970</v>
      </c>
      <c r="AC375" s="35" t="n">
        <v>0.006004121193299494</v>
      </c>
      <c r="AD375" s="24" t="inlineStr">
        <is>
          <t>yfinance_download</t>
        </is>
      </c>
      <c r="AE375" s="24" t="inlineStr">
        <is>
          <t>042700.KS</t>
        </is>
      </c>
    </row>
    <row r="376" ht="24" customHeight="1">
      <c r="A376" s="29" t="inlineStr">
        <is>
          <t>2024-12-17</t>
        </is>
      </c>
      <c r="B376" s="31" t="n">
        <v>84500</v>
      </c>
      <c r="C376" s="31" t="n">
        <v>89000</v>
      </c>
      <c r="D376" s="31" t="n">
        <v>84500</v>
      </c>
      <c r="E376" s="31" t="n">
        <v>86700</v>
      </c>
      <c r="F376" s="31" t="n">
        <v>85748.34375</v>
      </c>
      <c r="G376" s="31" t="n">
        <v>1296581</v>
      </c>
      <c r="H376" s="36" t="n">
        <v>0.03460620525059666</v>
      </c>
      <c r="I376" s="36" t="n">
        <v>-0.5412698412698413</v>
      </c>
      <c r="J376" s="31" t="n">
        <v>78305</v>
      </c>
      <c r="K376" s="31" t="n">
        <v>92291.66666666667</v>
      </c>
      <c r="L376" s="31" t="n">
        <v>112446.6666666667</v>
      </c>
      <c r="M376" s="36" t="n">
        <v>0.6585951066560851</v>
      </c>
      <c r="N376" s="36" t="n">
        <v>0.5876583321318566</v>
      </c>
      <c r="O376" s="36" t="n">
        <v>0.07301980198019797</v>
      </c>
      <c r="P376" s="36" t="n">
        <v>-0.09875259875259879</v>
      </c>
      <c r="Q376" s="36" t="n">
        <v>-0.519134775374376</v>
      </c>
      <c r="R376" s="36" t="n">
        <v>0.1072089904859204</v>
      </c>
      <c r="S376" s="36" t="n">
        <v>-0.06058690744921003</v>
      </c>
      <c r="T376" s="36" t="n">
        <v>-0.2289678069603368</v>
      </c>
      <c r="U376" s="31" t="n">
        <v>189000</v>
      </c>
      <c r="V376" s="31" t="n">
        <v>52400</v>
      </c>
      <c r="W376" s="36" t="n">
        <v>-0.5412698412698413</v>
      </c>
      <c r="X376" s="36" t="n">
        <v>0.6545801526717556</v>
      </c>
      <c r="Y376" s="31" t="n">
        <v>95312200</v>
      </c>
      <c r="Z376" s="31" t="n">
        <v>8263567740000</v>
      </c>
      <c r="AA376" s="31" t="n">
        <v>112413572700</v>
      </c>
      <c r="AB376" s="31" t="n">
        <v>57837441325</v>
      </c>
      <c r="AC376" s="36" t="n">
        <v>0.01360351560450813</v>
      </c>
      <c r="AD376" s="29" t="inlineStr">
        <is>
          <t>yfinance_download</t>
        </is>
      </c>
      <c r="AE376" s="29" t="inlineStr">
        <is>
          <t>042700.KS</t>
        </is>
      </c>
    </row>
    <row r="377" ht="24" customHeight="1">
      <c r="A377" s="24" t="inlineStr">
        <is>
          <t>2024-12-18</t>
        </is>
      </c>
      <c r="B377" s="30" t="n">
        <v>86500</v>
      </c>
      <c r="C377" s="30" t="n">
        <v>88300</v>
      </c>
      <c r="D377" s="30" t="n">
        <v>84800</v>
      </c>
      <c r="E377" s="30" t="n">
        <v>86900</v>
      </c>
      <c r="F377" s="30" t="n">
        <v>85946.140625</v>
      </c>
      <c r="G377" s="30" t="n">
        <v>606311</v>
      </c>
      <c r="H377" s="35" t="n">
        <v>0.002306805074971274</v>
      </c>
      <c r="I377" s="35" t="n">
        <v>-0.5402116402116401</v>
      </c>
      <c r="J377" s="30" t="n">
        <v>78565</v>
      </c>
      <c r="K377" s="30" t="n">
        <v>92068.33333333333</v>
      </c>
      <c r="L377" s="30" t="n">
        <v>111709.1666666667</v>
      </c>
      <c r="M377" s="35" t="n">
        <v>0.6581269566653797</v>
      </c>
      <c r="N377" s="35" t="n">
        <v>0.5806237618121248</v>
      </c>
      <c r="O377" s="35" t="n">
        <v>0.06364749082007348</v>
      </c>
      <c r="P377" s="35" t="n">
        <v>-0.1335992023928215</v>
      </c>
      <c r="Q377" s="35" t="n">
        <v>-0.5045610034207526</v>
      </c>
      <c r="R377" s="35" t="n">
        <v>0.1060904983134985</v>
      </c>
      <c r="S377" s="35" t="n">
        <v>-0.05613584113249215</v>
      </c>
      <c r="T377" s="35" t="n">
        <v>-0.2220871160976047</v>
      </c>
      <c r="U377" s="30" t="n">
        <v>189000</v>
      </c>
      <c r="V377" s="30" t="n">
        <v>52400</v>
      </c>
      <c r="W377" s="35" t="n">
        <v>-0.5402116402116401</v>
      </c>
      <c r="X377" s="35" t="n">
        <v>0.6583969465648856</v>
      </c>
      <c r="Y377" s="30" t="n">
        <v>95312200</v>
      </c>
      <c r="Z377" s="30" t="n">
        <v>8282630180000</v>
      </c>
      <c r="AA377" s="30" t="n">
        <v>52688425900</v>
      </c>
      <c r="AB377" s="30" t="n">
        <v>58475094195</v>
      </c>
      <c r="AC377" s="35" t="n">
        <v>0.006361315760206983</v>
      </c>
      <c r="AD377" s="24" t="inlineStr">
        <is>
          <t>yfinance_download</t>
        </is>
      </c>
      <c r="AE377" s="24" t="inlineStr">
        <is>
          <t>042700.KS</t>
        </is>
      </c>
    </row>
    <row r="378" ht="24" customHeight="1">
      <c r="A378" s="29" t="inlineStr">
        <is>
          <t>2024-12-19</t>
        </is>
      </c>
      <c r="B378" s="31" t="n">
        <v>82200</v>
      </c>
      <c r="C378" s="31" t="n">
        <v>87100</v>
      </c>
      <c r="D378" s="31" t="n">
        <v>82000</v>
      </c>
      <c r="E378" s="31" t="n">
        <v>84900</v>
      </c>
      <c r="F378" s="31" t="n">
        <v>83968.1015625</v>
      </c>
      <c r="G378" s="31" t="n">
        <v>702629</v>
      </c>
      <c r="H378" s="36" t="n">
        <v>-0.02301495972382051</v>
      </c>
      <c r="I378" s="36" t="n">
        <v>-0.5507936507936508</v>
      </c>
      <c r="J378" s="31" t="n">
        <v>78775</v>
      </c>
      <c r="K378" s="31" t="n">
        <v>91793.33333333333</v>
      </c>
      <c r="L378" s="31" t="n">
        <v>110975.8333333333</v>
      </c>
      <c r="M378" s="36" t="n">
        <v>0.6627207216145951</v>
      </c>
      <c r="N378" s="36" t="n">
        <v>0.5816235202350044</v>
      </c>
      <c r="O378" s="36" t="n">
        <v>0.05204460966542745</v>
      </c>
      <c r="P378" s="36" t="n">
        <v>-0.1627218934911243</v>
      </c>
      <c r="Q378" s="36" t="n">
        <v>-0.5089647194910353</v>
      </c>
      <c r="R378" s="36" t="n">
        <v>0.0777530942557918</v>
      </c>
      <c r="S378" s="36" t="n">
        <v>-0.07509623066308369</v>
      </c>
      <c r="T378" s="36" t="n">
        <v>-0.2349685742391361</v>
      </c>
      <c r="U378" s="31" t="n">
        <v>189000</v>
      </c>
      <c r="V378" s="31" t="n">
        <v>52400</v>
      </c>
      <c r="W378" s="36" t="n">
        <v>-0.5507936507936508</v>
      </c>
      <c r="X378" s="36" t="n">
        <v>0.6202290076335877</v>
      </c>
      <c r="Y378" s="31" t="n">
        <v>95312200</v>
      </c>
      <c r="Z378" s="31" t="n">
        <v>8092005780000</v>
      </c>
      <c r="AA378" s="31" t="n">
        <v>59653202100</v>
      </c>
      <c r="AB378" s="31" t="n">
        <v>59900078865</v>
      </c>
      <c r="AC378" s="36" t="n">
        <v>0.007371868449159709</v>
      </c>
      <c r="AD378" s="29" t="inlineStr">
        <is>
          <t>yfinance_download</t>
        </is>
      </c>
      <c r="AE378" s="29" t="inlineStr">
        <is>
          <t>042700.KS</t>
        </is>
      </c>
    </row>
    <row r="379" ht="24" customHeight="1">
      <c r="A379" s="24" t="inlineStr">
        <is>
          <t>2024-12-20</t>
        </is>
      </c>
      <c r="B379" s="30" t="n">
        <v>85100</v>
      </c>
      <c r="C379" s="30" t="n">
        <v>85100</v>
      </c>
      <c r="D379" s="30" t="n">
        <v>79400</v>
      </c>
      <c r="E379" s="30" t="n">
        <v>79800</v>
      </c>
      <c r="F379" s="30" t="n">
        <v>78924.078125</v>
      </c>
      <c r="G379" s="30" t="n">
        <v>653957</v>
      </c>
      <c r="H379" s="35" t="n">
        <v>-0.06007067137809186</v>
      </c>
      <c r="I379" s="35" t="n">
        <v>-0.5777777777777777</v>
      </c>
      <c r="J379" s="30" t="n">
        <v>78595</v>
      </c>
      <c r="K379" s="30" t="n">
        <v>91363.33333333333</v>
      </c>
      <c r="L379" s="30" t="n">
        <v>110142.5</v>
      </c>
      <c r="M379" s="35" t="n">
        <v>0.6889684705753374</v>
      </c>
      <c r="N379" s="35" t="n">
        <v>0.5862078665305354</v>
      </c>
      <c r="O379" s="35" t="n">
        <v>-0.04316546762589923</v>
      </c>
      <c r="P379" s="35" t="n">
        <v>-0.2443181818181818</v>
      </c>
      <c r="Q379" s="35" t="n">
        <v>-0.5561735261401557</v>
      </c>
      <c r="R379" s="35" t="n">
        <v>0.01533176410713155</v>
      </c>
      <c r="S379" s="35" t="n">
        <v>-0.1265642672114998</v>
      </c>
      <c r="T379" s="35" t="n">
        <v>-0.2754840320493905</v>
      </c>
      <c r="U379" s="30" t="n">
        <v>189000</v>
      </c>
      <c r="V379" s="30" t="n">
        <v>52400</v>
      </c>
      <c r="W379" s="35" t="n">
        <v>-0.5777777777777777</v>
      </c>
      <c r="X379" s="35" t="n">
        <v>0.5229007633587786</v>
      </c>
      <c r="Y379" s="30" t="n">
        <v>95312200</v>
      </c>
      <c r="Z379" s="30" t="n">
        <v>7605913560000</v>
      </c>
      <c r="AA379" s="30" t="n">
        <v>52185768600</v>
      </c>
      <c r="AB379" s="30" t="n">
        <v>59858223075</v>
      </c>
      <c r="AC379" s="35" t="n">
        <v>0.006861209792660331</v>
      </c>
      <c r="AD379" s="24" t="inlineStr">
        <is>
          <t>yfinance_download</t>
        </is>
      </c>
      <c r="AE379" s="24" t="inlineStr">
        <is>
          <t>042700.KS</t>
        </is>
      </c>
    </row>
    <row r="380" ht="24" customHeight="1">
      <c r="A380" s="29" t="inlineStr">
        <is>
          <t>2024-12-23</t>
        </is>
      </c>
      <c r="B380" s="31" t="n">
        <v>80600</v>
      </c>
      <c r="C380" s="31" t="n">
        <v>88400</v>
      </c>
      <c r="D380" s="31" t="n">
        <v>80600</v>
      </c>
      <c r="E380" s="31" t="n">
        <v>86700</v>
      </c>
      <c r="F380" s="31" t="n">
        <v>85748.34375</v>
      </c>
      <c r="G380" s="31" t="n">
        <v>994065</v>
      </c>
      <c r="H380" s="36" t="n">
        <v>0.08646616541353391</v>
      </c>
      <c r="I380" s="36" t="n">
        <v>-0.5412698412698413</v>
      </c>
      <c r="J380" s="31" t="n">
        <v>78720</v>
      </c>
      <c r="K380" s="31" t="n">
        <v>91031.66666666667</v>
      </c>
      <c r="L380" s="31" t="n">
        <v>109417.5</v>
      </c>
      <c r="M380" s="36" t="n">
        <v>0.7559367409970588</v>
      </c>
      <c r="N380" s="36" t="n">
        <v>0.6143255514089757</v>
      </c>
      <c r="O380" s="36" t="n">
        <v>0.02969121140142517</v>
      </c>
      <c r="P380" s="36" t="n">
        <v>-0.1866791744840526</v>
      </c>
      <c r="Q380" s="36" t="n">
        <v>-0.5008635578583764</v>
      </c>
      <c r="R380" s="36" t="n">
        <v>0.1013719512195121</v>
      </c>
      <c r="S380" s="36" t="n">
        <v>-0.04758417400538284</v>
      </c>
      <c r="T380" s="36" t="n">
        <v>-0.2076221810953458</v>
      </c>
      <c r="U380" s="31" t="n">
        <v>189000</v>
      </c>
      <c r="V380" s="31" t="n">
        <v>52400</v>
      </c>
      <c r="W380" s="36" t="n">
        <v>-0.5412698412698413</v>
      </c>
      <c r="X380" s="36" t="n">
        <v>0.6545801526717556</v>
      </c>
      <c r="Y380" s="31" t="n">
        <v>95312200</v>
      </c>
      <c r="Z380" s="31" t="n">
        <v>8263567740000</v>
      </c>
      <c r="AA380" s="31" t="n">
        <v>86185435500</v>
      </c>
      <c r="AB380" s="31" t="n">
        <v>62068565670</v>
      </c>
      <c r="AC380" s="36" t="n">
        <v>0.01042956725371988</v>
      </c>
      <c r="AD380" s="29" t="inlineStr">
        <is>
          <t>yfinance_download</t>
        </is>
      </c>
      <c r="AE380" s="29" t="inlineStr">
        <is>
          <t>042700.KS</t>
        </is>
      </c>
    </row>
    <row r="381" ht="24" customHeight="1">
      <c r="A381" s="24" t="inlineStr">
        <is>
          <t>2024-12-24</t>
        </is>
      </c>
      <c r="B381" s="30" t="n">
        <v>88500</v>
      </c>
      <c r="C381" s="30" t="n">
        <v>88700</v>
      </c>
      <c r="D381" s="30" t="n">
        <v>83900</v>
      </c>
      <c r="E381" s="30" t="n">
        <v>84700</v>
      </c>
      <c r="F381" s="30" t="n">
        <v>83770.2890625</v>
      </c>
      <c r="G381" s="30" t="n">
        <v>706303</v>
      </c>
      <c r="H381" s="35" t="n">
        <v>-0.02306805074971163</v>
      </c>
      <c r="I381" s="35" t="n">
        <v>-0.5518518518518518</v>
      </c>
      <c r="J381" s="30" t="n">
        <v>78920</v>
      </c>
      <c r="K381" s="30" t="n">
        <v>90540</v>
      </c>
      <c r="L381" s="30" t="n">
        <v>108687.5</v>
      </c>
      <c r="M381" s="35" t="n">
        <v>0.7443975243735147</v>
      </c>
      <c r="N381" s="35" t="n">
        <v>0.5959347833747997</v>
      </c>
      <c r="O381" s="35" t="n">
        <v>0.04956629491945486</v>
      </c>
      <c r="P381" s="35" t="n">
        <v>-0.2583187390542907</v>
      </c>
      <c r="Q381" s="35" t="n">
        <v>-0.5084155542658154</v>
      </c>
      <c r="R381" s="35" t="n">
        <v>0.07323872275722243</v>
      </c>
      <c r="S381" s="35" t="n">
        <v>-0.06450187762314996</v>
      </c>
      <c r="T381" s="35" t="n">
        <v>-0.2207015526164462</v>
      </c>
      <c r="U381" s="30" t="n">
        <v>189000</v>
      </c>
      <c r="V381" s="30" t="n">
        <v>52400</v>
      </c>
      <c r="W381" s="35" t="n">
        <v>-0.5518518518518518</v>
      </c>
      <c r="X381" s="35" t="n">
        <v>0.616412213740458</v>
      </c>
      <c r="Y381" s="30" t="n">
        <v>95312200</v>
      </c>
      <c r="Z381" s="30" t="n">
        <v>8072943340000</v>
      </c>
      <c r="AA381" s="30" t="n">
        <v>59823864100</v>
      </c>
      <c r="AB381" s="30" t="n">
        <v>62827052150</v>
      </c>
      <c r="AC381" s="35" t="n">
        <v>0.007410415455733893</v>
      </c>
      <c r="AD381" s="24" t="inlineStr">
        <is>
          <t>yfinance_download</t>
        </is>
      </c>
      <c r="AE381" s="24" t="inlineStr">
        <is>
          <t>042700.KS</t>
        </is>
      </c>
    </row>
    <row r="382" ht="24" customHeight="1">
      <c r="A382" s="29" t="inlineStr">
        <is>
          <t>2024-12-26</t>
        </is>
      </c>
      <c r="B382" s="31" t="n">
        <v>86100</v>
      </c>
      <c r="C382" s="31" t="n">
        <v>86500</v>
      </c>
      <c r="D382" s="31" t="n">
        <v>82100</v>
      </c>
      <c r="E382" s="31" t="n">
        <v>82500</v>
      </c>
      <c r="F382" s="31" t="n">
        <v>81594.4375</v>
      </c>
      <c r="G382" s="31" t="n">
        <v>459788</v>
      </c>
      <c r="H382" s="36" t="n">
        <v>-0.02597402597402598</v>
      </c>
      <c r="I382" s="36" t="n">
        <v>-0.5634920634920635</v>
      </c>
      <c r="J382" s="31" t="n">
        <v>79215</v>
      </c>
      <c r="K382" s="31" t="n">
        <v>90031.66666666667</v>
      </c>
      <c r="L382" s="31" t="n">
        <v>107951.6666666667</v>
      </c>
      <c r="M382" s="36" t="n">
        <v>0.7253802264723067</v>
      </c>
      <c r="N382" s="36" t="n">
        <v>0.5974655069234777</v>
      </c>
      <c r="O382" s="36" t="n">
        <v>0.07702349869451708</v>
      </c>
      <c r="P382" s="36" t="n">
        <v>-0.2699115044247787</v>
      </c>
      <c r="Q382" s="36" t="n">
        <v>-0.5169789227166277</v>
      </c>
      <c r="R382" s="36" t="n">
        <v>0.0414694186707063</v>
      </c>
      <c r="S382" s="36" t="n">
        <v>-0.08365575075436427</v>
      </c>
      <c r="T382" s="36" t="n">
        <v>-0.2357690941933891</v>
      </c>
      <c r="U382" s="31" t="n">
        <v>189000</v>
      </c>
      <c r="V382" s="31" t="n">
        <v>52400</v>
      </c>
      <c r="W382" s="36" t="n">
        <v>-0.5634920634920635</v>
      </c>
      <c r="X382" s="36" t="n">
        <v>0.5744274809160306</v>
      </c>
      <c r="Y382" s="31" t="n">
        <v>95312200</v>
      </c>
      <c r="Z382" s="31" t="n">
        <v>7863256500000</v>
      </c>
      <c r="AA382" s="31" t="n">
        <v>37932510000</v>
      </c>
      <c r="AB382" s="31" t="n">
        <v>61176611240</v>
      </c>
      <c r="AC382" s="36" t="n">
        <v>0.004824020429703648</v>
      </c>
      <c r="AD382" s="29" t="inlineStr">
        <is>
          <t>yfinance_download</t>
        </is>
      </c>
      <c r="AE382" s="29" t="inlineStr">
        <is>
          <t>042700.KS</t>
        </is>
      </c>
    </row>
    <row r="383" ht="24" customHeight="1">
      <c r="A383" s="24" t="inlineStr">
        <is>
          <t>2024-12-27</t>
        </is>
      </c>
      <c r="B383" s="30" t="n">
        <v>82000</v>
      </c>
      <c r="C383" s="30" t="n">
        <v>85900</v>
      </c>
      <c r="D383" s="30" t="n">
        <v>81900</v>
      </c>
      <c r="E383" s="30" t="n">
        <v>83200</v>
      </c>
      <c r="F383" s="30" t="n">
        <v>82286.75</v>
      </c>
      <c r="G383" s="30" t="n">
        <v>660429</v>
      </c>
      <c r="H383" s="35" t="n">
        <v>0.008484848484848539</v>
      </c>
      <c r="I383" s="35" t="n">
        <v>-0.5597883597883597</v>
      </c>
      <c r="J383" s="30" t="n">
        <v>79530</v>
      </c>
      <c r="K383" s="30" t="n">
        <v>89613.33333333333</v>
      </c>
      <c r="L383" s="30" t="n">
        <v>107240</v>
      </c>
      <c r="M383" s="35" t="n">
        <v>0.7254988819167266</v>
      </c>
      <c r="N383" s="35" t="n">
        <v>0.5929994966121129</v>
      </c>
      <c r="O383" s="35" t="n">
        <v>0.08192457737321202</v>
      </c>
      <c r="P383" s="35" t="n">
        <v>-0.2317636195752539</v>
      </c>
      <c r="Q383" s="35" t="n">
        <v>-0.5065243179122183</v>
      </c>
      <c r="R383" s="35" t="n">
        <v>0.04614610838677224</v>
      </c>
      <c r="S383" s="35" t="n">
        <v>-0.07156673114119916</v>
      </c>
      <c r="T383" s="35" t="n">
        <v>-0.2241700857888848</v>
      </c>
      <c r="U383" s="30" t="n">
        <v>189000</v>
      </c>
      <c r="V383" s="30" t="n">
        <v>52400</v>
      </c>
      <c r="W383" s="35" t="n">
        <v>-0.5597883597883597</v>
      </c>
      <c r="X383" s="35" t="n">
        <v>0.5877862595419847</v>
      </c>
      <c r="Y383" s="30" t="n">
        <v>95312200</v>
      </c>
      <c r="Z383" s="30" t="n">
        <v>7929975040000</v>
      </c>
      <c r="AA383" s="30" t="n">
        <v>54947692800</v>
      </c>
      <c r="AB383" s="30" t="n">
        <v>62559712980</v>
      </c>
      <c r="AC383" s="35" t="n">
        <v>0.006929112957207996</v>
      </c>
      <c r="AD383" s="24" t="inlineStr">
        <is>
          <t>yfinance_download</t>
        </is>
      </c>
      <c r="AE383" s="24" t="inlineStr">
        <is>
          <t>042700.KS</t>
        </is>
      </c>
    </row>
    <row r="384" ht="24" customHeight="1">
      <c r="A384" s="29" t="inlineStr">
        <is>
          <t>2024-12-30</t>
        </is>
      </c>
      <c r="B384" s="31" t="n">
        <v>83000</v>
      </c>
      <c r="C384" s="31" t="n">
        <v>84900</v>
      </c>
      <c r="D384" s="31" t="n">
        <v>81700</v>
      </c>
      <c r="E384" s="31" t="n">
        <v>82500</v>
      </c>
      <c r="F384" s="31" t="n">
        <v>81594.4375</v>
      </c>
      <c r="G384" s="31" t="n">
        <v>346602</v>
      </c>
      <c r="H384" s="36" t="n">
        <v>-0.008413461538461564</v>
      </c>
      <c r="I384" s="36" t="n">
        <v>-0.5634920634920635</v>
      </c>
      <c r="J384" s="31" t="n">
        <v>79925</v>
      </c>
      <c r="K384" s="31" t="n">
        <v>89190</v>
      </c>
      <c r="L384" s="31" t="n">
        <v>106537.5</v>
      </c>
      <c r="M384" s="36" t="n">
        <v>0.7157694243909013</v>
      </c>
      <c r="N384" s="36" t="n">
        <v>0.5930778788484556</v>
      </c>
      <c r="O384" s="36" t="n">
        <v>0.1058981233243967</v>
      </c>
      <c r="P384" s="36" t="n">
        <v>-0.2354031510658017</v>
      </c>
      <c r="Q384" s="36" t="n">
        <v>-0.5053956834532374</v>
      </c>
      <c r="R384" s="36" t="n">
        <v>0.0322177040975915</v>
      </c>
      <c r="S384" s="36" t="n">
        <v>-0.07500840901446348</v>
      </c>
      <c r="T384" s="36" t="n">
        <v>-0.2256247800070398</v>
      </c>
      <c r="U384" s="31" t="n">
        <v>189000</v>
      </c>
      <c r="V384" s="31" t="n">
        <v>52400</v>
      </c>
      <c r="W384" s="36" t="n">
        <v>-0.5634920634920635</v>
      </c>
      <c r="X384" s="36" t="n">
        <v>0.5744274809160306</v>
      </c>
      <c r="Y384" s="31" t="n">
        <v>95312200</v>
      </c>
      <c r="Z384" s="31" t="n">
        <v>7863256500000</v>
      </c>
      <c r="AA384" s="31" t="n">
        <v>28594665000</v>
      </c>
      <c r="AB384" s="31" t="n">
        <v>61644518320</v>
      </c>
      <c r="AC384" s="36" t="n">
        <v>0.003636491446005863</v>
      </c>
      <c r="AD384" s="29" t="inlineStr">
        <is>
          <t>yfinance_download</t>
        </is>
      </c>
      <c r="AE384" s="29" t="inlineStr">
        <is>
          <t>042700.KS</t>
        </is>
      </c>
    </row>
    <row r="385" ht="24" customHeight="1">
      <c r="A385" s="24" t="inlineStr">
        <is>
          <t>2025-01-02</t>
        </is>
      </c>
      <c r="B385" s="30" t="n">
        <v>82100</v>
      </c>
      <c r="C385" s="30" t="n">
        <v>88400</v>
      </c>
      <c r="D385" s="30" t="n">
        <v>81300</v>
      </c>
      <c r="E385" s="30" t="n">
        <v>87100</v>
      </c>
      <c r="F385" s="30" t="n">
        <v>86143.953125</v>
      </c>
      <c r="G385" s="30" t="n">
        <v>796590</v>
      </c>
      <c r="H385" s="35" t="n">
        <v>0.05575757575757567</v>
      </c>
      <c r="I385" s="35" t="n">
        <v>-0.5391534391534392</v>
      </c>
      <c r="J385" s="30" t="n">
        <v>80665</v>
      </c>
      <c r="K385" s="30" t="n">
        <v>88851.66666666667</v>
      </c>
      <c r="L385" s="30" t="n">
        <v>105928.3333333333</v>
      </c>
      <c r="M385" s="35" t="n">
        <v>0.7226826554999166</v>
      </c>
      <c r="N385" s="35" t="n">
        <v>0.605493552409138</v>
      </c>
      <c r="O385" s="35" t="n">
        <v>0.2047026279391424</v>
      </c>
      <c r="P385" s="35" t="n">
        <v>-0.1890130353817505</v>
      </c>
      <c r="Q385" s="35" t="n">
        <v>-0.4563046192259675</v>
      </c>
      <c r="R385" s="35" t="n">
        <v>0.0797743755036262</v>
      </c>
      <c r="S385" s="35" t="n">
        <v>-0.01971450544915687</v>
      </c>
      <c r="T385" s="35" t="n">
        <v>-0.1777459603190836</v>
      </c>
      <c r="U385" s="30" t="n">
        <v>189000</v>
      </c>
      <c r="V385" s="30" t="n">
        <v>52400</v>
      </c>
      <c r="W385" s="35" t="n">
        <v>-0.5391534391534392</v>
      </c>
      <c r="X385" s="35" t="n">
        <v>0.6622137404580153</v>
      </c>
      <c r="Y385" s="30" t="n">
        <v>95312200</v>
      </c>
      <c r="Z385" s="30" t="n">
        <v>8301692620000</v>
      </c>
      <c r="AA385" s="30" t="n">
        <v>69382989000</v>
      </c>
      <c r="AB385" s="30" t="n">
        <v>63348492190</v>
      </c>
      <c r="AC385" s="35" t="n">
        <v>0.008357691879948212</v>
      </c>
      <c r="AD385" s="24" t="inlineStr">
        <is>
          <t>yfinance_download</t>
        </is>
      </c>
      <c r="AE385" s="24" t="inlineStr">
        <is>
          <t>042700.KS</t>
        </is>
      </c>
    </row>
    <row r="386" ht="24" customHeight="1">
      <c r="A386" s="29" t="inlineStr">
        <is>
          <t>2025-01-03</t>
        </is>
      </c>
      <c r="B386" s="31" t="n">
        <v>87400</v>
      </c>
      <c r="C386" s="31" t="n">
        <v>94600</v>
      </c>
      <c r="D386" s="31" t="n">
        <v>87400</v>
      </c>
      <c r="E386" s="31" t="n">
        <v>93300</v>
      </c>
      <c r="F386" s="31" t="n">
        <v>92275.8984375</v>
      </c>
      <c r="G386" s="31" t="n">
        <v>1494153</v>
      </c>
      <c r="H386" s="36" t="n">
        <v>0.07118254879448904</v>
      </c>
      <c r="I386" s="36" t="n">
        <v>-0.5063492063492063</v>
      </c>
      <c r="J386" s="31" t="n">
        <v>81585</v>
      </c>
      <c r="K386" s="31" t="n">
        <v>88560</v>
      </c>
      <c r="L386" s="31" t="n">
        <v>105327.5</v>
      </c>
      <c r="M386" s="36" t="n">
        <v>0.7495849126340599</v>
      </c>
      <c r="N386" s="36" t="n">
        <v>0.6203317057697751</v>
      </c>
      <c r="O386" s="36" t="n">
        <v>0.2456608811748999</v>
      </c>
      <c r="P386" s="36" t="n">
        <v>-0.157942238267148</v>
      </c>
      <c r="Q386" s="36" t="n">
        <v>-0.4359129383313181</v>
      </c>
      <c r="R386" s="36" t="n">
        <v>0.1435925721640008</v>
      </c>
      <c r="S386" s="36" t="n">
        <v>0.0535230352303524</v>
      </c>
      <c r="T386" s="36" t="n">
        <v>-0.1141914504758966</v>
      </c>
      <c r="U386" s="31" t="n">
        <v>189000</v>
      </c>
      <c r="V386" s="31" t="n">
        <v>52400</v>
      </c>
      <c r="W386" s="36" t="n">
        <v>-0.5063492063492063</v>
      </c>
      <c r="X386" s="36" t="n">
        <v>0.7805343511450382</v>
      </c>
      <c r="Y386" s="31" t="n">
        <v>95312200</v>
      </c>
      <c r="Z386" s="31" t="n">
        <v>8892628260000</v>
      </c>
      <c r="AA386" s="31" t="n">
        <v>139404474900</v>
      </c>
      <c r="AB386" s="31" t="n">
        <v>68272436700</v>
      </c>
      <c r="AC386" s="36" t="n">
        <v>0.01567640868640111</v>
      </c>
      <c r="AD386" s="29" t="inlineStr">
        <is>
          <t>yfinance_download</t>
        </is>
      </c>
      <c r="AE386" s="29" t="inlineStr">
        <is>
          <t>042700.KS</t>
        </is>
      </c>
    </row>
    <row r="387" ht="24" customHeight="1">
      <c r="A387" s="24" t="inlineStr">
        <is>
          <t>2025-01-06</t>
        </is>
      </c>
      <c r="B387" s="30" t="n">
        <v>95900</v>
      </c>
      <c r="C387" s="30" t="n">
        <v>100400</v>
      </c>
      <c r="D387" s="30" t="n">
        <v>95800</v>
      </c>
      <c r="E387" s="30" t="n">
        <v>99500</v>
      </c>
      <c r="F387" s="30" t="n">
        <v>98407.84375</v>
      </c>
      <c r="G387" s="30" t="n">
        <v>1716218</v>
      </c>
      <c r="H387" s="35" t="n">
        <v>0.06645230439442651</v>
      </c>
      <c r="I387" s="35" t="n">
        <v>-0.4735449735449735</v>
      </c>
      <c r="J387" s="30" t="n">
        <v>82855</v>
      </c>
      <c r="K387" s="30" t="n">
        <v>88428.33333333333</v>
      </c>
      <c r="L387" s="30" t="n">
        <v>104802.5</v>
      </c>
      <c r="M387" s="35" t="n">
        <v>0.7683185457137401</v>
      </c>
      <c r="N387" s="35" t="n">
        <v>0.6330400178182992</v>
      </c>
      <c r="O387" s="35" t="n">
        <v>0.3427800269905532</v>
      </c>
      <c r="P387" s="35" t="n">
        <v>-0.07355679702048412</v>
      </c>
      <c r="Q387" s="35" t="n">
        <v>-0.3876923076923077</v>
      </c>
      <c r="R387" s="35" t="n">
        <v>0.2008931265463763</v>
      </c>
      <c r="S387" s="35" t="n">
        <v>0.1252049682417025</v>
      </c>
      <c r="T387" s="35" t="n">
        <v>-0.05059516710002143</v>
      </c>
      <c r="U387" s="30" t="n">
        <v>189000</v>
      </c>
      <c r="V387" s="30" t="n">
        <v>52400</v>
      </c>
      <c r="W387" s="35" t="n">
        <v>-0.4735449735449735</v>
      </c>
      <c r="X387" s="35" t="n">
        <v>0.8988549618320612</v>
      </c>
      <c r="Y387" s="30" t="n">
        <v>95312200</v>
      </c>
      <c r="Z387" s="30" t="n">
        <v>9483563900000</v>
      </c>
      <c r="AA387" s="30" t="n">
        <v>170763691000</v>
      </c>
      <c r="AB387" s="30" t="n">
        <v>75022258505</v>
      </c>
      <c r="AC387" s="35" t="n">
        <v>0.01800627831484322</v>
      </c>
      <c r="AD387" s="24" t="inlineStr">
        <is>
          <t>yfinance_download</t>
        </is>
      </c>
      <c r="AE387" s="24" t="inlineStr">
        <is>
          <t>042700.KS</t>
        </is>
      </c>
    </row>
    <row r="388" ht="24" customHeight="1">
      <c r="A388" s="29" t="inlineStr">
        <is>
          <t>2025-01-07</t>
        </is>
      </c>
      <c r="B388" s="31" t="n">
        <v>103000</v>
      </c>
      <c r="C388" s="31" t="n">
        <v>107200</v>
      </c>
      <c r="D388" s="31" t="n">
        <v>99400</v>
      </c>
      <c r="E388" s="31" t="n">
        <v>101300</v>
      </c>
      <c r="F388" s="31" t="n">
        <v>100188.0859375</v>
      </c>
      <c r="G388" s="31" t="n">
        <v>2583432</v>
      </c>
      <c r="H388" s="36" t="n">
        <v>0.01809045226130657</v>
      </c>
      <c r="I388" s="36" t="n">
        <v>-0.464021164021164</v>
      </c>
      <c r="J388" s="31" t="n">
        <v>84200</v>
      </c>
      <c r="K388" s="31" t="n">
        <v>88271.66666666667</v>
      </c>
      <c r="L388" s="31" t="n">
        <v>104279.1666666667</v>
      </c>
      <c r="M388" s="36" t="n">
        <v>0.7670575940908</v>
      </c>
      <c r="N388" s="36" t="n">
        <v>0.6309036325437386</v>
      </c>
      <c r="O388" s="36" t="n">
        <v>0.3615591397849462</v>
      </c>
      <c r="P388" s="36" t="n">
        <v>-0.08491418247515814</v>
      </c>
      <c r="Q388" s="36" t="n">
        <v>-0.3826934795856185</v>
      </c>
      <c r="R388" s="36" t="n">
        <v>0.2030878859857481</v>
      </c>
      <c r="S388" s="36" t="n">
        <v>0.1475936030813965</v>
      </c>
      <c r="T388" s="36" t="n">
        <v>-0.0285691453230511</v>
      </c>
      <c r="U388" s="31" t="n">
        <v>189000</v>
      </c>
      <c r="V388" s="31" t="n">
        <v>52400</v>
      </c>
      <c r="W388" s="36" t="n">
        <v>-0.464021164021164</v>
      </c>
      <c r="X388" s="36" t="n">
        <v>0.9332061068702291</v>
      </c>
      <c r="Y388" s="31" t="n">
        <v>95312200</v>
      </c>
      <c r="Z388" s="31" t="n">
        <v>9655125860000</v>
      </c>
      <c r="AA388" s="31" t="n">
        <v>261701661600</v>
      </c>
      <c r="AB388" s="31" t="n">
        <v>85665656345</v>
      </c>
      <c r="AC388" s="36" t="n">
        <v>0.02710494564179612</v>
      </c>
      <c r="AD388" s="29" t="inlineStr">
        <is>
          <t>yfinance_download</t>
        </is>
      </c>
      <c r="AE388" s="29" t="inlineStr">
        <is>
          <t>042700.KS</t>
        </is>
      </c>
    </row>
    <row r="389" ht="24" customHeight="1">
      <c r="A389" s="24" t="inlineStr">
        <is>
          <t>2025-01-08</t>
        </is>
      </c>
      <c r="B389" s="30" t="n">
        <v>98700</v>
      </c>
      <c r="C389" s="30" t="n">
        <v>116800</v>
      </c>
      <c r="D389" s="30" t="n">
        <v>98500</v>
      </c>
      <c r="E389" s="30" t="n">
        <v>115800</v>
      </c>
      <c r="F389" s="30" t="n">
        <v>114528.921875</v>
      </c>
      <c r="G389" s="30" t="n">
        <v>3593390</v>
      </c>
      <c r="H389" s="35" t="n">
        <v>0.1431391905231985</v>
      </c>
      <c r="I389" s="35" t="n">
        <v>-0.3873015873015873</v>
      </c>
      <c r="J389" s="30" t="n">
        <v>86375</v>
      </c>
      <c r="K389" s="30" t="n">
        <v>88376.66666666667</v>
      </c>
      <c r="L389" s="30" t="n">
        <v>103890.8333333333</v>
      </c>
      <c r="M389" s="35" t="n">
        <v>0.8686435298067107</v>
      </c>
      <c r="N389" s="35" t="n">
        <v>0.6959164246406034</v>
      </c>
      <c r="O389" s="35" t="n">
        <v>0.6016597510373445</v>
      </c>
      <c r="P389" s="35" t="n">
        <v>0.05753424657534256</v>
      </c>
      <c r="Q389" s="35" t="n">
        <v>-0.2869458128078818</v>
      </c>
      <c r="R389" s="35" t="n">
        <v>0.3406657018813315</v>
      </c>
      <c r="S389" s="35" t="n">
        <v>0.3103006072492738</v>
      </c>
      <c r="T389" s="35" t="n">
        <v>0.1146315443293842</v>
      </c>
      <c r="U389" s="30" t="n">
        <v>189000</v>
      </c>
      <c r="V389" s="30" t="n">
        <v>52400</v>
      </c>
      <c r="W389" s="35" t="n">
        <v>-0.3873015873015873</v>
      </c>
      <c r="X389" s="35" t="n">
        <v>1.209923664122138</v>
      </c>
      <c r="Y389" s="30" t="n">
        <v>95312200</v>
      </c>
      <c r="Z389" s="30" t="n">
        <v>11037152760000</v>
      </c>
      <c r="AA389" s="30" t="n">
        <v>416114562000</v>
      </c>
      <c r="AB389" s="30" t="n">
        <v>104641084640</v>
      </c>
      <c r="AC389" s="35" t="n">
        <v>0.03770125964986644</v>
      </c>
      <c r="AD389" s="24" t="inlineStr">
        <is>
          <t>yfinance_download</t>
        </is>
      </c>
      <c r="AE389" s="24" t="inlineStr">
        <is>
          <t>042700.KS</t>
        </is>
      </c>
    </row>
    <row r="390" ht="24" customHeight="1">
      <c r="A390" s="29" t="inlineStr">
        <is>
          <t>2025-01-09</t>
        </is>
      </c>
      <c r="B390" s="31" t="n">
        <v>115500</v>
      </c>
      <c r="C390" s="31" t="n">
        <v>119300</v>
      </c>
      <c r="D390" s="31" t="n">
        <v>114700</v>
      </c>
      <c r="E390" s="31" t="n">
        <v>115500</v>
      </c>
      <c r="F390" s="31" t="n">
        <v>114232.21875</v>
      </c>
      <c r="G390" s="31" t="n">
        <v>2357741</v>
      </c>
      <c r="H390" s="36" t="n">
        <v>-0.002590673575129543</v>
      </c>
      <c r="I390" s="36" t="n">
        <v>-0.3888888888888888</v>
      </c>
      <c r="J390" s="31" t="n">
        <v>88645</v>
      </c>
      <c r="K390" s="31" t="n">
        <v>88476.66666666667</v>
      </c>
      <c r="L390" s="31" t="n">
        <v>103511.6666666667</v>
      </c>
      <c r="M390" s="36" t="n">
        <v>0.8504336563869247</v>
      </c>
      <c r="N390" s="36" t="n">
        <v>0.6959661376494918</v>
      </c>
      <c r="O390" s="36" t="n">
        <v>0.6476462196861625</v>
      </c>
      <c r="P390" s="36" t="n">
        <v>0.0547945205479452</v>
      </c>
      <c r="Q390" s="36" t="n">
        <v>-0.2826086956521739</v>
      </c>
      <c r="R390" s="36" t="n">
        <v>0.3029499689773818</v>
      </c>
      <c r="S390" s="36" t="n">
        <v>0.3054289266473269</v>
      </c>
      <c r="T390" s="36" t="n">
        <v>0.1158162525963256</v>
      </c>
      <c r="U390" s="31" t="n">
        <v>189000</v>
      </c>
      <c r="V390" s="31" t="n">
        <v>52400</v>
      </c>
      <c r="W390" s="36" t="n">
        <v>-0.3888888888888888</v>
      </c>
      <c r="X390" s="36" t="n">
        <v>1.204198473282443</v>
      </c>
      <c r="Y390" s="31" t="n">
        <v>95312200</v>
      </c>
      <c r="Z390" s="31" t="n">
        <v>11008559100000</v>
      </c>
      <c r="AA390" s="31" t="n">
        <v>272319085500</v>
      </c>
      <c r="AB390" s="31" t="n">
        <v>116557702755</v>
      </c>
      <c r="AC390" s="36" t="n">
        <v>0.02473703261492233</v>
      </c>
      <c r="AD390" s="29" t="inlineStr">
        <is>
          <t>yfinance_download</t>
        </is>
      </c>
      <c r="AE390" s="29" t="inlineStr">
        <is>
          <t>042700.KS</t>
        </is>
      </c>
    </row>
    <row r="391" ht="24" customHeight="1">
      <c r="A391" s="24" t="inlineStr">
        <is>
          <t>2025-01-10</t>
        </is>
      </c>
      <c r="B391" s="30" t="n">
        <v>115500</v>
      </c>
      <c r="C391" s="30" t="n">
        <v>118900</v>
      </c>
      <c r="D391" s="30" t="n">
        <v>112300</v>
      </c>
      <c r="E391" s="30" t="n">
        <v>112900</v>
      </c>
      <c r="F391" s="30" t="n">
        <v>111660.7578125</v>
      </c>
      <c r="G391" s="30" t="n">
        <v>1224263</v>
      </c>
      <c r="H391" s="35" t="n">
        <v>-0.02251082251082248</v>
      </c>
      <c r="I391" s="35" t="n">
        <v>-0.4026455026455027</v>
      </c>
      <c r="J391" s="30" t="n">
        <v>90740</v>
      </c>
      <c r="K391" s="30" t="n">
        <v>88491.66666666667</v>
      </c>
      <c r="L391" s="30" t="n">
        <v>103115</v>
      </c>
      <c r="M391" s="35" t="n">
        <v>0.8671020059560004</v>
      </c>
      <c r="N391" s="35" t="n">
        <v>0.696319939791874</v>
      </c>
      <c r="O391" s="35" t="n">
        <v>0.5901408450704226</v>
      </c>
      <c r="P391" s="35" t="n">
        <v>0.008035714285714368</v>
      </c>
      <c r="Q391" s="35" t="n">
        <v>-0.2965732087227414</v>
      </c>
      <c r="R391" s="35" t="n">
        <v>0.2442142384835795</v>
      </c>
      <c r="S391" s="35" t="n">
        <v>0.2758263489970807</v>
      </c>
      <c r="T391" s="35" t="n">
        <v>0.09489405033215337</v>
      </c>
      <c r="U391" s="30" t="n">
        <v>189000</v>
      </c>
      <c r="V391" s="30" t="n">
        <v>52400</v>
      </c>
      <c r="W391" s="35" t="n">
        <v>-0.4026455026455027</v>
      </c>
      <c r="X391" s="35" t="n">
        <v>1.154580152671756</v>
      </c>
      <c r="Y391" s="30" t="n">
        <v>95312200</v>
      </c>
      <c r="Z391" s="30" t="n">
        <v>10760747380000</v>
      </c>
      <c r="AA391" s="30" t="n">
        <v>138219292700</v>
      </c>
      <c r="AB391" s="30" t="n">
        <v>121852249440</v>
      </c>
      <c r="AC391" s="35" t="n">
        <v>0.01284476698680756</v>
      </c>
      <c r="AD391" s="24" t="inlineStr">
        <is>
          <t>yfinance_download</t>
        </is>
      </c>
      <c r="AE391" s="24" t="inlineStr">
        <is>
          <t>042700.KS</t>
        </is>
      </c>
    </row>
    <row r="392" ht="24" customHeight="1">
      <c r="A392" s="29" t="inlineStr">
        <is>
          <t>2025-01-13</t>
        </is>
      </c>
      <c r="B392" s="31" t="n">
        <v>112100</v>
      </c>
      <c r="C392" s="31" t="n">
        <v>112500</v>
      </c>
      <c r="D392" s="31" t="n">
        <v>106300</v>
      </c>
      <c r="E392" s="31" t="n">
        <v>106900</v>
      </c>
      <c r="F392" s="31" t="n">
        <v>105726.609375</v>
      </c>
      <c r="G392" s="31" t="n">
        <v>1138794</v>
      </c>
      <c r="H392" s="36" t="n">
        <v>-0.0531443755535872</v>
      </c>
      <c r="I392" s="36" t="n">
        <v>-0.4343915343915344</v>
      </c>
      <c r="J392" s="31" t="n">
        <v>92040</v>
      </c>
      <c r="K392" s="31" t="n">
        <v>88461.66666666667</v>
      </c>
      <c r="L392" s="31" t="n">
        <v>102690</v>
      </c>
      <c r="M392" s="36" t="n">
        <v>0.7959939915273375</v>
      </c>
      <c r="N392" s="36" t="n">
        <v>0.7024172326223499</v>
      </c>
      <c r="O392" s="36" t="n">
        <v>0.3213844252163165</v>
      </c>
      <c r="P392" s="36" t="n">
        <v>-0.01655933762649497</v>
      </c>
      <c r="Q392" s="36" t="n">
        <v>-0.3229892336922102</v>
      </c>
      <c r="R392" s="36" t="n">
        <v>0.161451542807475</v>
      </c>
      <c r="S392" s="36" t="n">
        <v>0.2084330312564764</v>
      </c>
      <c r="T392" s="36" t="n">
        <v>0.0409971759665011</v>
      </c>
      <c r="U392" s="31" t="n">
        <v>189000</v>
      </c>
      <c r="V392" s="31" t="n">
        <v>52400</v>
      </c>
      <c r="W392" s="36" t="n">
        <v>-0.4343915343915344</v>
      </c>
      <c r="X392" s="36" t="n">
        <v>1.040076335877862</v>
      </c>
      <c r="Y392" s="31" t="n">
        <v>95312200</v>
      </c>
      <c r="Z392" s="31" t="n">
        <v>10188874180000</v>
      </c>
      <c r="AA392" s="31" t="n">
        <v>121737078600</v>
      </c>
      <c r="AB392" s="31" t="n">
        <v>120454615600</v>
      </c>
      <c r="AC392" s="36" t="n">
        <v>0.01194804022989712</v>
      </c>
      <c r="AD392" s="29" t="inlineStr">
        <is>
          <t>yfinance_download</t>
        </is>
      </c>
      <c r="AE392" s="29" t="inlineStr">
        <is>
          <t>042700.KS</t>
        </is>
      </c>
    </row>
    <row r="393" ht="24" customHeight="1">
      <c r="A393" s="24" t="inlineStr">
        <is>
          <t>2025-01-14</t>
        </is>
      </c>
      <c r="B393" s="30" t="n">
        <v>108200</v>
      </c>
      <c r="C393" s="30" t="n">
        <v>108500</v>
      </c>
      <c r="D393" s="30" t="n">
        <v>104700</v>
      </c>
      <c r="E393" s="30" t="n">
        <v>106500</v>
      </c>
      <c r="F393" s="30" t="n">
        <v>105331</v>
      </c>
      <c r="G393" s="30" t="n">
        <v>1120814</v>
      </c>
      <c r="H393" s="35" t="n">
        <v>-0.003741814780168329</v>
      </c>
      <c r="I393" s="35" t="n">
        <v>-0.4365079365079365</v>
      </c>
      <c r="J393" s="30" t="n">
        <v>93175</v>
      </c>
      <c r="K393" s="30" t="n">
        <v>88298.33333333333</v>
      </c>
      <c r="L393" s="30" t="n">
        <v>102176.6666666667</v>
      </c>
      <c r="M393" s="35" t="n">
        <v>0.7947659310614652</v>
      </c>
      <c r="N393" s="35" t="n">
        <v>0.6874584331491215</v>
      </c>
      <c r="O393" s="35" t="n">
        <v>0.2708830548926013</v>
      </c>
      <c r="P393" s="35" t="n">
        <v>-0.08426483233018056</v>
      </c>
      <c r="Q393" s="35" t="n">
        <v>-0.3664485425342058</v>
      </c>
      <c r="R393" s="35" t="n">
        <v>0.1430104641803058</v>
      </c>
      <c r="S393" s="35" t="n">
        <v>0.2061382812057608</v>
      </c>
      <c r="T393" s="35" t="n">
        <v>0.0423123348448764</v>
      </c>
      <c r="U393" s="30" t="n">
        <v>189000</v>
      </c>
      <c r="V393" s="30" t="n">
        <v>52400</v>
      </c>
      <c r="W393" s="35" t="n">
        <v>-0.4365079365079365</v>
      </c>
      <c r="X393" s="35" t="n">
        <v>1.032442748091603</v>
      </c>
      <c r="Y393" s="30" t="n">
        <v>95312200</v>
      </c>
      <c r="Z393" s="30" t="n">
        <v>10150749300000</v>
      </c>
      <c r="AA393" s="30" t="n">
        <v>119366691000</v>
      </c>
      <c r="AB393" s="30" t="n">
        <v>118216252740</v>
      </c>
      <c r="AC393" s="35" t="n">
        <v>0.01175939701318404</v>
      </c>
      <c r="AD393" s="24" t="inlineStr">
        <is>
          <t>yfinance_download</t>
        </is>
      </c>
      <c r="AE393" s="24" t="inlineStr">
        <is>
          <t>042700.KS</t>
        </is>
      </c>
    </row>
    <row r="394" ht="24" customHeight="1">
      <c r="A394" s="29" t="inlineStr">
        <is>
          <t>2025-01-15</t>
        </is>
      </c>
      <c r="B394" s="31" t="n">
        <v>106800</v>
      </c>
      <c r="C394" s="31" t="n">
        <v>107500</v>
      </c>
      <c r="D394" s="31" t="n">
        <v>104100</v>
      </c>
      <c r="E394" s="31" t="n">
        <v>105400</v>
      </c>
      <c r="F394" s="31" t="n">
        <v>104243.078125</v>
      </c>
      <c r="G394" s="31" t="n">
        <v>926767</v>
      </c>
      <c r="H394" s="36" t="n">
        <v>-0.01032863849765253</v>
      </c>
      <c r="I394" s="36" t="n">
        <v>-0.4423280423280423</v>
      </c>
      <c r="J394" s="31" t="n">
        <v>94295</v>
      </c>
      <c r="K394" s="31" t="n">
        <v>88318.33333333333</v>
      </c>
      <c r="L394" s="31" t="n">
        <v>101726.6666666667</v>
      </c>
      <c r="M394" s="36" t="n">
        <v>0.7950676372900782</v>
      </c>
      <c r="N394" s="36" t="n">
        <v>0.653185029028031</v>
      </c>
      <c r="O394" s="36" t="n">
        <v>0.269879518072289</v>
      </c>
      <c r="P394" s="36" t="n">
        <v>0.01151631477927073</v>
      </c>
      <c r="Q394" s="36" t="n">
        <v>-0.3387703889585947</v>
      </c>
      <c r="R394" s="36" t="n">
        <v>0.1177687045972746</v>
      </c>
      <c r="S394" s="36" t="n">
        <v>0.1934102017323698</v>
      </c>
      <c r="T394" s="36" t="n">
        <v>0.03610983681761581</v>
      </c>
      <c r="U394" s="31" t="n">
        <v>189000</v>
      </c>
      <c r="V394" s="31" t="n">
        <v>52400</v>
      </c>
      <c r="W394" s="36" t="n">
        <v>-0.4423280423280423</v>
      </c>
      <c r="X394" s="36" t="n">
        <v>1.011450381679389</v>
      </c>
      <c r="Y394" s="31" t="n">
        <v>95312200</v>
      </c>
      <c r="Z394" s="31" t="n">
        <v>10045905880000</v>
      </c>
      <c r="AA394" s="31" t="n">
        <v>97681241800</v>
      </c>
      <c r="AB394" s="31" t="n">
        <v>119953589780</v>
      </c>
      <c r="AC394" s="36" t="n">
        <v>0.009723487654256223</v>
      </c>
      <c r="AD394" s="29" t="inlineStr">
        <is>
          <t>yfinance_download</t>
        </is>
      </c>
      <c r="AE394" s="29" t="inlineStr">
        <is>
          <t>042700.KS</t>
        </is>
      </c>
    </row>
    <row r="395" ht="24" customHeight="1">
      <c r="A395" s="24" t="inlineStr">
        <is>
          <t>2025-01-16</t>
        </is>
      </c>
      <c r="B395" s="30" t="n">
        <v>109200</v>
      </c>
      <c r="C395" s="30" t="n">
        <v>111900</v>
      </c>
      <c r="D395" s="30" t="n">
        <v>105600</v>
      </c>
      <c r="E395" s="30" t="n">
        <v>106500</v>
      </c>
      <c r="F395" s="30" t="n">
        <v>105331</v>
      </c>
      <c r="G395" s="30" t="n">
        <v>1257012</v>
      </c>
      <c r="H395" s="35" t="n">
        <v>0.01043643263757121</v>
      </c>
      <c r="I395" s="35" t="n">
        <v>-0.4365079365079365</v>
      </c>
      <c r="J395" s="30" t="n">
        <v>95430</v>
      </c>
      <c r="K395" s="30" t="n">
        <v>88401.66666666667</v>
      </c>
      <c r="L395" s="30" t="n">
        <v>101335</v>
      </c>
      <c r="M395" s="35" t="n">
        <v>0.7950257652914411</v>
      </c>
      <c r="N395" s="35" t="n">
        <v>0.6510342444515334</v>
      </c>
      <c r="O395" s="35" t="n">
        <v>0.2708830548926013</v>
      </c>
      <c r="P395" s="35" t="n">
        <v>0.0492610837438423</v>
      </c>
      <c r="Q395" s="35" t="n">
        <v>-0.3061889250814332</v>
      </c>
      <c r="R395" s="35" t="n">
        <v>0.1160012574662055</v>
      </c>
      <c r="S395" s="35" t="n">
        <v>0.2047284176391848</v>
      </c>
      <c r="T395" s="35" t="n">
        <v>0.05096955642176937</v>
      </c>
      <c r="U395" s="30" t="n">
        <v>189000</v>
      </c>
      <c r="V395" s="30" t="n">
        <v>52400</v>
      </c>
      <c r="W395" s="35" t="n">
        <v>-0.4365079365079365</v>
      </c>
      <c r="X395" s="35" t="n">
        <v>1.032442748091603</v>
      </c>
      <c r="Y395" s="30" t="n">
        <v>95312200</v>
      </c>
      <c r="Z395" s="30" t="n">
        <v>10150749300000</v>
      </c>
      <c r="AA395" s="30" t="n">
        <v>133871778000</v>
      </c>
      <c r="AB395" s="30" t="n">
        <v>124249384140</v>
      </c>
      <c r="AC395" s="35" t="n">
        <v>0.01318836413386744</v>
      </c>
      <c r="AD395" s="24" t="inlineStr">
        <is>
          <t>yfinance_download</t>
        </is>
      </c>
      <c r="AE395" s="24" t="inlineStr">
        <is>
          <t>042700.KS</t>
        </is>
      </c>
    </row>
    <row r="396" ht="24" customHeight="1">
      <c r="A396" s="29" t="inlineStr">
        <is>
          <t>2025-01-17</t>
        </is>
      </c>
      <c r="B396" s="31" t="n">
        <v>107000</v>
      </c>
      <c r="C396" s="31" t="n">
        <v>113500</v>
      </c>
      <c r="D396" s="31" t="n">
        <v>106500</v>
      </c>
      <c r="E396" s="31" t="n">
        <v>112500</v>
      </c>
      <c r="F396" s="31" t="n">
        <v>111265.1484375</v>
      </c>
      <c r="G396" s="31" t="n">
        <v>1712024</v>
      </c>
      <c r="H396" s="36" t="n">
        <v>0.05633802816901401</v>
      </c>
      <c r="I396" s="36" t="n">
        <v>-0.4047619047619048</v>
      </c>
      <c r="J396" s="31" t="n">
        <v>96720</v>
      </c>
      <c r="K396" s="31" t="n">
        <v>88630</v>
      </c>
      <c r="L396" s="31" t="n">
        <v>101014.1666666667</v>
      </c>
      <c r="M396" s="36" t="n">
        <v>0.8064456919822847</v>
      </c>
      <c r="N396" s="36" t="n">
        <v>0.6578427027319532</v>
      </c>
      <c r="O396" s="36" t="n">
        <v>0.2975778546712802</v>
      </c>
      <c r="P396" s="36" t="n">
        <v>0.1386639676113359</v>
      </c>
      <c r="Q396" s="36" t="n">
        <v>-0.2549668874172185</v>
      </c>
      <c r="R396" s="36" t="n">
        <v>0.1631513647642679</v>
      </c>
      <c r="S396" s="36" t="n">
        <v>0.2693219000338485</v>
      </c>
      <c r="T396" s="36" t="n">
        <v>0.113705173366772</v>
      </c>
      <c r="U396" s="31" t="n">
        <v>189000</v>
      </c>
      <c r="V396" s="31" t="n">
        <v>52400</v>
      </c>
      <c r="W396" s="36" t="n">
        <v>-0.4047619047619048</v>
      </c>
      <c r="X396" s="36" t="n">
        <v>1.146946564885496</v>
      </c>
      <c r="Y396" s="31" t="n">
        <v>95312200</v>
      </c>
      <c r="Z396" s="31" t="n">
        <v>10722622500000</v>
      </c>
      <c r="AA396" s="31" t="n">
        <v>192602700000</v>
      </c>
      <c r="AB396" s="31" t="n">
        <v>128258840505</v>
      </c>
      <c r="AC396" s="36" t="n">
        <v>0.0179622755533919</v>
      </c>
      <c r="AD396" s="29" t="inlineStr">
        <is>
          <t>yfinance_download</t>
        </is>
      </c>
      <c r="AE396" s="29" t="inlineStr">
        <is>
          <t>042700.KS</t>
        </is>
      </c>
    </row>
    <row r="397" ht="24" customHeight="1">
      <c r="A397" s="24" t="inlineStr">
        <is>
          <t>2025-01-20</t>
        </is>
      </c>
      <c r="B397" s="30" t="n">
        <v>114300</v>
      </c>
      <c r="C397" s="30" t="n">
        <v>114600</v>
      </c>
      <c r="D397" s="30" t="n">
        <v>108100</v>
      </c>
      <c r="E397" s="30" t="n">
        <v>108100</v>
      </c>
      <c r="F397" s="30" t="n">
        <v>106913.4453125</v>
      </c>
      <c r="G397" s="30" t="n">
        <v>959141</v>
      </c>
      <c r="H397" s="35" t="n">
        <v>-0.0391111111111111</v>
      </c>
      <c r="I397" s="35" t="n">
        <v>-0.428042328042328</v>
      </c>
      <c r="J397" s="30" t="n">
        <v>97780</v>
      </c>
      <c r="K397" s="30" t="n">
        <v>88740</v>
      </c>
      <c r="L397" s="30" t="n">
        <v>100703.3333333333</v>
      </c>
      <c r="M397" s="35" t="n">
        <v>0.8277285706458291</v>
      </c>
      <c r="N397" s="35" t="n">
        <v>0.661421812718366</v>
      </c>
      <c r="O397" s="35" t="n">
        <v>0.2439585730724971</v>
      </c>
      <c r="P397" s="35" t="n">
        <v>0.06502463054187202</v>
      </c>
      <c r="Q397" s="35" t="n">
        <v>-0.2565337001375516</v>
      </c>
      <c r="R397" s="35" t="n">
        <v>0.10554305583964</v>
      </c>
      <c r="S397" s="35" t="n">
        <v>0.2181654270903763</v>
      </c>
      <c r="T397" s="35" t="n">
        <v>0.07345006785607899</v>
      </c>
      <c r="U397" s="30" t="n">
        <v>189000</v>
      </c>
      <c r="V397" s="30" t="n">
        <v>52400</v>
      </c>
      <c r="W397" s="35" t="n">
        <v>-0.428042328042328</v>
      </c>
      <c r="X397" s="35" t="n">
        <v>1.062977099236641</v>
      </c>
      <c r="Y397" s="30" t="n">
        <v>95312200</v>
      </c>
      <c r="Z397" s="30" t="n">
        <v>10303248820000</v>
      </c>
      <c r="AA397" s="30" t="n">
        <v>103683142100</v>
      </c>
      <c r="AB397" s="30" t="n">
        <v>130808576315</v>
      </c>
      <c r="AC397" s="35" t="n">
        <v>0.01006315036270278</v>
      </c>
      <c r="AD397" s="24" t="inlineStr">
        <is>
          <t>yfinance_download</t>
        </is>
      </c>
      <c r="AE397" s="24" t="inlineStr">
        <is>
          <t>042700.KS</t>
        </is>
      </c>
    </row>
    <row r="398" ht="24" customHeight="1">
      <c r="A398" s="29" t="inlineStr">
        <is>
          <t>2025-01-21</t>
        </is>
      </c>
      <c r="B398" s="31" t="n">
        <v>109000</v>
      </c>
      <c r="C398" s="31" t="n">
        <v>114600</v>
      </c>
      <c r="D398" s="31" t="n">
        <v>109000</v>
      </c>
      <c r="E398" s="31" t="n">
        <v>113600</v>
      </c>
      <c r="F398" s="31" t="n">
        <v>112353.0703125</v>
      </c>
      <c r="G398" s="31" t="n">
        <v>1249024</v>
      </c>
      <c r="H398" s="36" t="n">
        <v>0.05087881591119325</v>
      </c>
      <c r="I398" s="36" t="n">
        <v>-0.3989417989417989</v>
      </c>
      <c r="J398" s="31" t="n">
        <v>99215</v>
      </c>
      <c r="K398" s="31" t="n">
        <v>88996.66666666667</v>
      </c>
      <c r="L398" s="31" t="n">
        <v>100437.5</v>
      </c>
      <c r="M398" s="36" t="n">
        <v>0.8275694635989644</v>
      </c>
      <c r="N398" s="36" t="n">
        <v>0.664973905747555</v>
      </c>
      <c r="O398" s="36" t="n">
        <v>0.3380447585394581</v>
      </c>
      <c r="P398" s="36" t="n">
        <v>0.1568228105906313</v>
      </c>
      <c r="Q398" s="36" t="n">
        <v>-0.2192439862542955</v>
      </c>
      <c r="R398" s="36" t="n">
        <v>0.1449881570327067</v>
      </c>
      <c r="S398" s="36" t="n">
        <v>0.276452301584329</v>
      </c>
      <c r="T398" s="36" t="n">
        <v>0.1310516490354698</v>
      </c>
      <c r="U398" s="31" t="n">
        <v>189000</v>
      </c>
      <c r="V398" s="31" t="n">
        <v>52400</v>
      </c>
      <c r="W398" s="36" t="n">
        <v>-0.3989417989417989</v>
      </c>
      <c r="X398" s="36" t="n">
        <v>1.16793893129771</v>
      </c>
      <c r="Y398" s="31" t="n">
        <v>95312200</v>
      </c>
      <c r="Z398" s="31" t="n">
        <v>10827465920000</v>
      </c>
      <c r="AA398" s="31" t="n">
        <v>141889126400</v>
      </c>
      <c r="AB398" s="31" t="n">
        <v>134920372530</v>
      </c>
      <c r="AC398" s="36" t="n">
        <v>0.01310455534548568</v>
      </c>
      <c r="AD398" s="29" t="inlineStr">
        <is>
          <t>yfinance_download</t>
        </is>
      </c>
      <c r="AE398" s="29" t="inlineStr">
        <is>
          <t>042700.KS</t>
        </is>
      </c>
    </row>
    <row r="399" ht="24" customHeight="1">
      <c r="A399" s="24" t="inlineStr">
        <is>
          <t>2025-01-22</t>
        </is>
      </c>
      <c r="B399" s="30" t="n">
        <v>114900</v>
      </c>
      <c r="C399" s="30" t="n">
        <v>127000</v>
      </c>
      <c r="D399" s="30" t="n">
        <v>114900</v>
      </c>
      <c r="E399" s="30" t="n">
        <v>126100</v>
      </c>
      <c r="F399" s="30" t="n">
        <v>124715.859375</v>
      </c>
      <c r="G399" s="30" t="n">
        <v>3386393</v>
      </c>
      <c r="H399" s="35" t="n">
        <v>0.1100352112676057</v>
      </c>
      <c r="I399" s="35" t="n">
        <v>-0.3328042328042328</v>
      </c>
      <c r="J399" s="30" t="n">
        <v>101530</v>
      </c>
      <c r="K399" s="30" t="n">
        <v>89468.33333333333</v>
      </c>
      <c r="L399" s="30" t="n">
        <v>100293.3333333333</v>
      </c>
      <c r="M399" s="35" t="n">
        <v>0.8405964016534017</v>
      </c>
      <c r="N399" s="35" t="n">
        <v>0.6998036278331818</v>
      </c>
      <c r="O399" s="35" t="n">
        <v>0.5802005012531328</v>
      </c>
      <c r="P399" s="35" t="n">
        <v>0.2893660531697342</v>
      </c>
      <c r="Q399" s="35" t="n">
        <v>-0.1206415620641562</v>
      </c>
      <c r="R399" s="35" t="n">
        <v>0.2419974391805377</v>
      </c>
      <c r="S399" s="35" t="n">
        <v>0.4094372310500922</v>
      </c>
      <c r="T399" s="35" t="n">
        <v>0.2573118851369318</v>
      </c>
      <c r="U399" s="30" t="n">
        <v>189000</v>
      </c>
      <c r="V399" s="30" t="n">
        <v>52400</v>
      </c>
      <c r="W399" s="35" t="n">
        <v>-0.3328042328042328</v>
      </c>
      <c r="X399" s="35" t="n">
        <v>1.406488549618321</v>
      </c>
      <c r="Y399" s="30" t="n">
        <v>95312200</v>
      </c>
      <c r="Z399" s="30" t="n">
        <v>12018868420000</v>
      </c>
      <c r="AA399" s="30" t="n">
        <v>427024157300</v>
      </c>
      <c r="AB399" s="30" t="n">
        <v>153662291965</v>
      </c>
      <c r="AC399" s="35" t="n">
        <v>0.03552948101082547</v>
      </c>
      <c r="AD399" s="24" t="inlineStr">
        <is>
          <t>yfinance_download</t>
        </is>
      </c>
      <c r="AE399" s="24" t="inlineStr">
        <is>
          <t>042700.KS</t>
        </is>
      </c>
    </row>
    <row r="400" ht="24" customHeight="1">
      <c r="A400" s="29" t="inlineStr">
        <is>
          <t>2025-01-23</t>
        </is>
      </c>
      <c r="B400" s="31" t="n">
        <v>124800</v>
      </c>
      <c r="C400" s="31" t="n">
        <v>126300</v>
      </c>
      <c r="D400" s="31" t="n">
        <v>121700</v>
      </c>
      <c r="E400" s="31" t="n">
        <v>121900</v>
      </c>
      <c r="F400" s="31" t="n">
        <v>120561.96875</v>
      </c>
      <c r="G400" s="31" t="n">
        <v>1550357</v>
      </c>
      <c r="H400" s="36" t="n">
        <v>-0.03330689928628072</v>
      </c>
      <c r="I400" s="36" t="n">
        <v>-0.355026455026455</v>
      </c>
      <c r="J400" s="31" t="n">
        <v>103290</v>
      </c>
      <c r="K400" s="31" t="n">
        <v>89908.33333333333</v>
      </c>
      <c r="L400" s="31" t="n">
        <v>100180</v>
      </c>
      <c r="M400" s="36" t="n">
        <v>0.8307972490123368</v>
      </c>
      <c r="N400" s="36" t="n">
        <v>0.7018021775127466</v>
      </c>
      <c r="O400" s="36" t="n">
        <v>0.405997693194925</v>
      </c>
      <c r="P400" s="36" t="n">
        <v>0.2764397905759162</v>
      </c>
      <c r="Q400" s="36" t="n">
        <v>-0.1003690036900369</v>
      </c>
      <c r="R400" s="36" t="n">
        <v>0.1801723303320748</v>
      </c>
      <c r="S400" s="36" t="n">
        <v>0.3558253776995088</v>
      </c>
      <c r="T400" s="36" t="n">
        <v>0.2168097424635655</v>
      </c>
      <c r="U400" s="31" t="n">
        <v>189000</v>
      </c>
      <c r="V400" s="31" t="n">
        <v>52400</v>
      </c>
      <c r="W400" s="36" t="n">
        <v>-0.355026455026455</v>
      </c>
      <c r="X400" s="36" t="n">
        <v>1.326335877862595</v>
      </c>
      <c r="Y400" s="31" t="n">
        <v>95312200</v>
      </c>
      <c r="Z400" s="31" t="n">
        <v>11618557180000</v>
      </c>
      <c r="AA400" s="31" t="n">
        <v>188988518300</v>
      </c>
      <c r="AB400" s="31" t="n">
        <v>158802446105</v>
      </c>
      <c r="AC400" s="36" t="n">
        <v>0.01626609185392846</v>
      </c>
      <c r="AD400" s="29" t="inlineStr">
        <is>
          <t>yfinance_download</t>
        </is>
      </c>
      <c r="AE400" s="29" t="inlineStr">
        <is>
          <t>042700.KS</t>
        </is>
      </c>
    </row>
    <row r="401" ht="24" customHeight="1">
      <c r="A401" s="24" t="inlineStr">
        <is>
          <t>2025-01-24</t>
        </is>
      </c>
      <c r="B401" s="30" t="n">
        <v>123200</v>
      </c>
      <c r="C401" s="30" t="n">
        <v>125300</v>
      </c>
      <c r="D401" s="30" t="n">
        <v>120000</v>
      </c>
      <c r="E401" s="30" t="n">
        <v>120600</v>
      </c>
      <c r="F401" s="30" t="n">
        <v>119276.2421875</v>
      </c>
      <c r="G401" s="30" t="n">
        <v>1017256</v>
      </c>
      <c r="H401" s="35" t="n">
        <v>-0.01066447908121415</v>
      </c>
      <c r="I401" s="35" t="n">
        <v>-0.361904761904762</v>
      </c>
      <c r="J401" s="30" t="n">
        <v>105085</v>
      </c>
      <c r="K401" s="30" t="n">
        <v>90375</v>
      </c>
      <c r="L401" s="30" t="n">
        <v>100039.1666666667</v>
      </c>
      <c r="M401" s="35" t="n">
        <v>0.8237164181609108</v>
      </c>
      <c r="N401" s="35" t="n">
        <v>0.6987158716443563</v>
      </c>
      <c r="O401" s="35" t="n">
        <v>0.4238488783943331</v>
      </c>
      <c r="P401" s="35" t="n">
        <v>0.3023758099352052</v>
      </c>
      <c r="Q401" s="35" t="n">
        <v>-0.1229090909090909</v>
      </c>
      <c r="R401" s="35" t="n">
        <v>0.1476423847361659</v>
      </c>
      <c r="S401" s="35" t="n">
        <v>0.3344398340248962</v>
      </c>
      <c r="T401" s="35" t="n">
        <v>0.2055278349313185</v>
      </c>
      <c r="U401" s="30" t="n">
        <v>189000</v>
      </c>
      <c r="V401" s="30" t="n">
        <v>52400</v>
      </c>
      <c r="W401" s="35" t="n">
        <v>-0.361904761904762</v>
      </c>
      <c r="X401" s="35" t="n">
        <v>1.301526717557252</v>
      </c>
      <c r="Y401" s="30" t="n">
        <v>95312200</v>
      </c>
      <c r="Z401" s="30" t="n">
        <v>11494651320000</v>
      </c>
      <c r="AA401" s="30" t="n">
        <v>122681073600</v>
      </c>
      <c r="AB401" s="30" t="n">
        <v>161945306580</v>
      </c>
      <c r="AC401" s="35" t="n">
        <v>0.01067288342940358</v>
      </c>
      <c r="AD401" s="24" t="inlineStr">
        <is>
          <t>yfinance_download</t>
        </is>
      </c>
      <c r="AE401" s="24" t="inlineStr">
        <is>
          <t>042700.KS</t>
        </is>
      </c>
    </row>
    <row r="402" ht="24" customHeight="1">
      <c r="A402" s="29" t="inlineStr">
        <is>
          <t>2025-01-31</t>
        </is>
      </c>
      <c r="B402" s="31" t="n">
        <v>108000</v>
      </c>
      <c r="C402" s="31" t="n">
        <v>114200</v>
      </c>
      <c r="D402" s="31" t="n">
        <v>107900</v>
      </c>
      <c r="E402" s="31" t="n">
        <v>113200</v>
      </c>
      <c r="F402" s="31" t="n">
        <v>111957.4609375</v>
      </c>
      <c r="G402" s="31" t="n">
        <v>1615426</v>
      </c>
      <c r="H402" s="36" t="n">
        <v>-0.06135986733001664</v>
      </c>
      <c r="I402" s="36" t="n">
        <v>-0.4010582010582011</v>
      </c>
      <c r="J402" s="31" t="n">
        <v>106620</v>
      </c>
      <c r="K402" s="31" t="n">
        <v>90656.66666666667</v>
      </c>
      <c r="L402" s="31" t="n">
        <v>99837.5</v>
      </c>
      <c r="M402" s="36" t="n">
        <v>0.8582239946785242</v>
      </c>
      <c r="N402" s="36" t="n">
        <v>0.7080602257283454</v>
      </c>
      <c r="O402" s="36" t="n">
        <v>0.3721212121212121</v>
      </c>
      <c r="P402" s="36" t="n">
        <v>0.1754932502596054</v>
      </c>
      <c r="Q402" s="36" t="n">
        <v>-0.1761280931586608</v>
      </c>
      <c r="R402" s="36" t="n">
        <v>0.06171450009379109</v>
      </c>
      <c r="S402" s="36" t="n">
        <v>0.2486671324043093</v>
      </c>
      <c r="T402" s="36" t="n">
        <v>0.1338424940528358</v>
      </c>
      <c r="U402" s="31" t="n">
        <v>189000</v>
      </c>
      <c r="V402" s="31" t="n">
        <v>52400</v>
      </c>
      <c r="W402" s="36" t="n">
        <v>-0.4010582010582011</v>
      </c>
      <c r="X402" s="36" t="n">
        <v>1.160305343511451</v>
      </c>
      <c r="Y402" s="31" t="n">
        <v>95312200</v>
      </c>
      <c r="Z402" s="31" t="n">
        <v>10789341040000</v>
      </c>
      <c r="AA402" s="31" t="n">
        <v>182866223200</v>
      </c>
      <c r="AB402" s="31" t="n">
        <v>169191992240</v>
      </c>
      <c r="AC402" s="36" t="n">
        <v>0.01694878515027457</v>
      </c>
      <c r="AD402" s="29" t="inlineStr">
        <is>
          <t>yfinance_download</t>
        </is>
      </c>
      <c r="AE402" s="29" t="inlineStr">
        <is>
          <t>042700.KS</t>
        </is>
      </c>
    </row>
    <row r="403" ht="24" customHeight="1">
      <c r="A403" s="24" t="inlineStr">
        <is>
          <t>2025-02-03</t>
        </is>
      </c>
      <c r="B403" s="30" t="n">
        <v>108200</v>
      </c>
      <c r="C403" s="30" t="n">
        <v>108900</v>
      </c>
      <c r="D403" s="30" t="n">
        <v>105100</v>
      </c>
      <c r="E403" s="30" t="n">
        <v>106000</v>
      </c>
      <c r="F403" s="30" t="n">
        <v>104836.4921875</v>
      </c>
      <c r="G403" s="30" t="n">
        <v>1330582</v>
      </c>
      <c r="H403" s="35" t="n">
        <v>-0.06360424028268552</v>
      </c>
      <c r="I403" s="35" t="n">
        <v>-0.4391534391534392</v>
      </c>
      <c r="J403" s="30" t="n">
        <v>107760</v>
      </c>
      <c r="K403" s="30" t="n">
        <v>90890</v>
      </c>
      <c r="L403" s="30" t="n">
        <v>99648.33333333333</v>
      </c>
      <c r="M403" s="35" t="n">
        <v>0.9049029729179953</v>
      </c>
      <c r="N403" s="35" t="n">
        <v>0.7146163888933442</v>
      </c>
      <c r="O403" s="35" t="n">
        <v>0.2740384615384615</v>
      </c>
      <c r="P403" s="35" t="n">
        <v>0.1521739130434783</v>
      </c>
      <c r="Q403" s="35" t="n">
        <v>-0.1763791763791763</v>
      </c>
      <c r="R403" s="35" t="n">
        <v>-0.0163325909428359</v>
      </c>
      <c r="S403" s="35" t="n">
        <v>0.1662449114314006</v>
      </c>
      <c r="T403" s="35" t="n">
        <v>0.06374082189031438</v>
      </c>
      <c r="U403" s="30" t="n">
        <v>189000</v>
      </c>
      <c r="V403" s="30" t="n">
        <v>52400</v>
      </c>
      <c r="W403" s="35" t="n">
        <v>-0.4391534391534392</v>
      </c>
      <c r="X403" s="35" t="n">
        <v>1.022900763358779</v>
      </c>
      <c r="Y403" s="30" t="n">
        <v>95312200</v>
      </c>
      <c r="Z403" s="30" t="n">
        <v>10103093200000</v>
      </c>
      <c r="AA403" s="30" t="n">
        <v>141041692000</v>
      </c>
      <c r="AB403" s="30" t="n">
        <v>173496692200</v>
      </c>
      <c r="AC403" s="35" t="n">
        <v>0.01396024853061833</v>
      </c>
      <c r="AD403" s="24" t="inlineStr">
        <is>
          <t>yfinance_download</t>
        </is>
      </c>
      <c r="AE403" s="24" t="inlineStr">
        <is>
          <t>042700.KS</t>
        </is>
      </c>
    </row>
    <row r="404" ht="24" customHeight="1">
      <c r="A404" s="29" t="inlineStr">
        <is>
          <t>2025-02-04</t>
        </is>
      </c>
      <c r="B404" s="31" t="n">
        <v>108400</v>
      </c>
      <c r="C404" s="31" t="n">
        <v>112000</v>
      </c>
      <c r="D404" s="31" t="n">
        <v>105700</v>
      </c>
      <c r="E404" s="31" t="n">
        <v>106100</v>
      </c>
      <c r="F404" s="31" t="n">
        <v>104935.390625</v>
      </c>
      <c r="G404" s="31" t="n">
        <v>1168101</v>
      </c>
      <c r="H404" s="36" t="n">
        <v>0.0009433962264151496</v>
      </c>
      <c r="I404" s="36" t="n">
        <v>-0.4386243386243386</v>
      </c>
      <c r="J404" s="31" t="n">
        <v>108940</v>
      </c>
      <c r="K404" s="31" t="n">
        <v>91111.66666666667</v>
      </c>
      <c r="L404" s="31" t="n">
        <v>99439.16666666667</v>
      </c>
      <c r="M404" s="36" t="n">
        <v>0.9024797419125199</v>
      </c>
      <c r="N404" s="36" t="n">
        <v>0.7145442270818967</v>
      </c>
      <c r="O404" s="36" t="n">
        <v>0.2860606060606061</v>
      </c>
      <c r="P404" s="36" t="n">
        <v>0.1433189655172413</v>
      </c>
      <c r="Q404" s="36" t="n">
        <v>-0.1913109756097561</v>
      </c>
      <c r="R404" s="36" t="n">
        <v>-0.02606939599779701</v>
      </c>
      <c r="S404" s="36" t="n">
        <v>0.164505094481131</v>
      </c>
      <c r="T404" s="36" t="n">
        <v>0.06698400194423715</v>
      </c>
      <c r="U404" s="31" t="n">
        <v>189000</v>
      </c>
      <c r="V404" s="31" t="n">
        <v>56200</v>
      </c>
      <c r="W404" s="36" t="n">
        <v>-0.4386243386243386</v>
      </c>
      <c r="X404" s="36" t="n">
        <v>0.8879003558718861</v>
      </c>
      <c r="Y404" s="31" t="n">
        <v>95312200</v>
      </c>
      <c r="Z404" s="31" t="n">
        <v>10112624420000</v>
      </c>
      <c r="AA404" s="31" t="n">
        <v>123935516100</v>
      </c>
      <c r="AB404" s="31" t="n">
        <v>178263734755</v>
      </c>
      <c r="AC404" s="36" t="n">
        <v>0.01225552447640491</v>
      </c>
      <c r="AD404" s="29" t="inlineStr">
        <is>
          <t>yfinance_download</t>
        </is>
      </c>
      <c r="AE404" s="29" t="inlineStr">
        <is>
          <t>042700.KS</t>
        </is>
      </c>
    </row>
    <row r="405" ht="24" customHeight="1">
      <c r="A405" s="24" t="inlineStr">
        <is>
          <t>2025-02-05</t>
        </is>
      </c>
      <c r="B405" s="30" t="n">
        <v>107600</v>
      </c>
      <c r="C405" s="30" t="n">
        <v>110900</v>
      </c>
      <c r="D405" s="30" t="n">
        <v>107200</v>
      </c>
      <c r="E405" s="30" t="n">
        <v>109000</v>
      </c>
      <c r="F405" s="30" t="n">
        <v>107803.5625</v>
      </c>
      <c r="G405" s="30" t="n">
        <v>779693</v>
      </c>
      <c r="H405" s="35" t="n">
        <v>0.02733270499528739</v>
      </c>
      <c r="I405" s="35" t="n">
        <v>-0.4232804232804233</v>
      </c>
      <c r="J405" s="30" t="n">
        <v>110035</v>
      </c>
      <c r="K405" s="30" t="n">
        <v>91335</v>
      </c>
      <c r="L405" s="30" t="n">
        <v>99286.66666666667</v>
      </c>
      <c r="M405" s="35" t="n">
        <v>0.8906590999633305</v>
      </c>
      <c r="N405" s="35" t="n">
        <v>0.7141099143048274</v>
      </c>
      <c r="O405" s="35" t="n">
        <v>0.2514351320321471</v>
      </c>
      <c r="P405" s="35" t="n">
        <v>0.1401673640167365</v>
      </c>
      <c r="Q405" s="35" t="n">
        <v>-0.1437549096622153</v>
      </c>
      <c r="R405" s="35" t="n">
        <v>-0.009406098059708268</v>
      </c>
      <c r="S405" s="35" t="n">
        <v>0.1934088794000111</v>
      </c>
      <c r="T405" s="35" t="n">
        <v>0.09783119586382849</v>
      </c>
      <c r="U405" s="30" t="n">
        <v>189000</v>
      </c>
      <c r="V405" s="30" t="n">
        <v>57400</v>
      </c>
      <c r="W405" s="35" t="n">
        <v>-0.4232804232804233</v>
      </c>
      <c r="X405" s="35" t="n">
        <v>0.8989547038327526</v>
      </c>
      <c r="Y405" s="30" t="n">
        <v>95312200</v>
      </c>
      <c r="Z405" s="30" t="n">
        <v>10389029800000</v>
      </c>
      <c r="AA405" s="30" t="n">
        <v>84986537000</v>
      </c>
      <c r="AB405" s="30" t="n">
        <v>179043912155</v>
      </c>
      <c r="AC405" s="35" t="n">
        <v>0.00818041132195039</v>
      </c>
      <c r="AD405" s="24" t="inlineStr">
        <is>
          <t>yfinance_download</t>
        </is>
      </c>
      <c r="AE405" s="24" t="inlineStr">
        <is>
          <t>042700.KS</t>
        </is>
      </c>
    </row>
    <row r="406" ht="24" customHeight="1">
      <c r="A406" s="29" t="inlineStr">
        <is>
          <t>2025-02-06</t>
        </is>
      </c>
      <c r="B406" s="31" t="n">
        <v>113300</v>
      </c>
      <c r="C406" s="31" t="n">
        <v>114300</v>
      </c>
      <c r="D406" s="31" t="n">
        <v>108100</v>
      </c>
      <c r="E406" s="31" t="n">
        <v>108300</v>
      </c>
      <c r="F406" s="31" t="n">
        <v>107111.2421875</v>
      </c>
      <c r="G406" s="31" t="n">
        <v>880224</v>
      </c>
      <c r="H406" s="36" t="n">
        <v>-0.006422018348623881</v>
      </c>
      <c r="I406" s="36" t="n">
        <v>-0.426984126984127</v>
      </c>
      <c r="J406" s="31" t="n">
        <v>110785</v>
      </c>
      <c r="K406" s="31" t="n">
        <v>91548.33333333333</v>
      </c>
      <c r="L406" s="31" t="n">
        <v>99227.5</v>
      </c>
      <c r="M406" s="36" t="n">
        <v>0.8653407970717304</v>
      </c>
      <c r="N406" s="36" t="n">
        <v>0.7143298007594473</v>
      </c>
      <c r="O406" s="36" t="n">
        <v>0.1607717041800643</v>
      </c>
      <c r="P406" s="36" t="n">
        <v>0.1340314136125655</v>
      </c>
      <c r="Q406" s="36" t="n">
        <v>-0.06152512998266901</v>
      </c>
      <c r="R406" s="36" t="n">
        <v>-0.02243083449925531</v>
      </c>
      <c r="S406" s="36" t="n">
        <v>0.1829816672431686</v>
      </c>
      <c r="T406" s="36" t="n">
        <v>0.09143130684538048</v>
      </c>
      <c r="U406" s="31" t="n">
        <v>189000</v>
      </c>
      <c r="V406" s="31" t="n">
        <v>57400</v>
      </c>
      <c r="W406" s="36" t="n">
        <v>-0.426984126984127</v>
      </c>
      <c r="X406" s="36" t="n">
        <v>0.886759581881533</v>
      </c>
      <c r="Y406" s="31" t="n">
        <v>95312200</v>
      </c>
      <c r="Z406" s="31" t="n">
        <v>10322311260000</v>
      </c>
      <c r="AA406" s="31" t="n">
        <v>95328259200</v>
      </c>
      <c r="AB406" s="31" t="n">
        <v>176840101370</v>
      </c>
      <c r="AC406" s="36" t="n">
        <v>0.009235166117244172</v>
      </c>
      <c r="AD406" s="29" t="inlineStr">
        <is>
          <t>yfinance_download</t>
        </is>
      </c>
      <c r="AE406" s="29" t="inlineStr">
        <is>
          <t>042700.KS</t>
        </is>
      </c>
    </row>
    <row r="407" ht="24" customHeight="1">
      <c r="A407" s="24" t="inlineStr">
        <is>
          <t>2025-02-07</t>
        </is>
      </c>
      <c r="B407" s="30" t="n">
        <v>109300</v>
      </c>
      <c r="C407" s="30" t="n">
        <v>109700</v>
      </c>
      <c r="D407" s="30" t="n">
        <v>105600</v>
      </c>
      <c r="E407" s="30" t="n">
        <v>106000</v>
      </c>
      <c r="F407" s="30" t="n">
        <v>104836.4921875</v>
      </c>
      <c r="G407" s="30" t="n">
        <v>765628</v>
      </c>
      <c r="H407" s="35" t="n">
        <v>-0.02123730378578026</v>
      </c>
      <c r="I407" s="35" t="n">
        <v>-0.4391534391534392</v>
      </c>
      <c r="J407" s="30" t="n">
        <v>111110</v>
      </c>
      <c r="K407" s="30" t="n">
        <v>91763.33333333333</v>
      </c>
      <c r="L407" s="30" t="n">
        <v>99255.83333333333</v>
      </c>
      <c r="M407" s="35" t="n">
        <v>0.8436220658723838</v>
      </c>
      <c r="N407" s="35" t="n">
        <v>0.7137177819321052</v>
      </c>
      <c r="O407" s="35" t="n">
        <v>0.0653266331658291</v>
      </c>
      <c r="P407" s="35" t="n">
        <v>0.138560687432868</v>
      </c>
      <c r="Q407" s="35" t="n">
        <v>0.03313840155945424</v>
      </c>
      <c r="R407" s="35" t="n">
        <v>-0.04599045990459905</v>
      </c>
      <c r="S407" s="35" t="n">
        <v>0.1551454829452579</v>
      </c>
      <c r="T407" s="35" t="n">
        <v>0.0679473078828281</v>
      </c>
      <c r="U407" s="30" t="n">
        <v>189000</v>
      </c>
      <c r="V407" s="30" t="n">
        <v>57400</v>
      </c>
      <c r="W407" s="35" t="n">
        <v>-0.4391534391534392</v>
      </c>
      <c r="X407" s="35" t="n">
        <v>0.8466898954703832</v>
      </c>
      <c r="Y407" s="30" t="n">
        <v>95312200</v>
      </c>
      <c r="Z407" s="30" t="n">
        <v>10103093200000</v>
      </c>
      <c r="AA407" s="30" t="n">
        <v>81156568000</v>
      </c>
      <c r="AB407" s="30" t="n">
        <v>172359745220</v>
      </c>
      <c r="AC407" s="35" t="n">
        <v>0.008032843644360323</v>
      </c>
      <c r="AD407" s="24" t="inlineStr">
        <is>
          <t>yfinance_download</t>
        </is>
      </c>
      <c r="AE407" s="24" t="inlineStr">
        <is>
          <t>042700.KS</t>
        </is>
      </c>
    </row>
    <row r="408" ht="24" customHeight="1">
      <c r="A408" s="29" t="inlineStr">
        <is>
          <t>2025-02-10</t>
        </is>
      </c>
      <c r="B408" s="31" t="n">
        <v>101600</v>
      </c>
      <c r="C408" s="31" t="n">
        <v>101800</v>
      </c>
      <c r="D408" s="31" t="n">
        <v>97600</v>
      </c>
      <c r="E408" s="31" t="n">
        <v>99600</v>
      </c>
      <c r="F408" s="31" t="n">
        <v>98506.7421875</v>
      </c>
      <c r="G408" s="31" t="n">
        <v>1766147</v>
      </c>
      <c r="H408" s="36" t="n">
        <v>-0.06037735849056602</v>
      </c>
      <c r="I408" s="36" t="n">
        <v>-0.473015873015873</v>
      </c>
      <c r="J408" s="31" t="n">
        <v>111025</v>
      </c>
      <c r="K408" s="31" t="n">
        <v>91871.66666666667</v>
      </c>
      <c r="L408" s="31" t="n">
        <v>99189.16666666667</v>
      </c>
      <c r="M408" s="36" t="n">
        <v>0.8722985117299574</v>
      </c>
      <c r="N408" s="36" t="n">
        <v>0.725476334867862</v>
      </c>
      <c r="O408" s="36" t="n">
        <v>-0.01678183613030604</v>
      </c>
      <c r="P408" s="36" t="n">
        <v>0.06981740064446829</v>
      </c>
      <c r="Q408" s="36" t="n">
        <v>-0.07434944237918217</v>
      </c>
      <c r="R408" s="36" t="n">
        <v>-0.1029047511821661</v>
      </c>
      <c r="S408" s="36" t="n">
        <v>0.08412096584003037</v>
      </c>
      <c r="T408" s="36" t="n">
        <v>0.004141917380090288</v>
      </c>
      <c r="U408" s="31" t="n">
        <v>189000</v>
      </c>
      <c r="V408" s="31" t="n">
        <v>57400</v>
      </c>
      <c r="W408" s="36" t="n">
        <v>-0.473015873015873</v>
      </c>
      <c r="X408" s="36" t="n">
        <v>0.735191637630662</v>
      </c>
      <c r="Y408" s="31" t="n">
        <v>95312200</v>
      </c>
      <c r="Z408" s="31" t="n">
        <v>9493095120000</v>
      </c>
      <c r="AA408" s="31" t="n">
        <v>175908241200</v>
      </c>
      <c r="AB408" s="31" t="n">
        <v>168070074200</v>
      </c>
      <c r="AC408" s="36" t="n">
        <v>0.01853012520957443</v>
      </c>
      <c r="AD408" s="29" t="inlineStr">
        <is>
          <t>yfinance_download</t>
        </is>
      </c>
      <c r="AE408" s="29" t="inlineStr">
        <is>
          <t>042700.KS</t>
        </is>
      </c>
    </row>
    <row r="409" ht="24" customHeight="1">
      <c r="A409" s="24" t="inlineStr">
        <is>
          <t>2025-02-11</t>
        </is>
      </c>
      <c r="B409" s="30" t="n">
        <v>100900</v>
      </c>
      <c r="C409" s="30" t="n">
        <v>101300</v>
      </c>
      <c r="D409" s="30" t="n">
        <v>98500</v>
      </c>
      <c r="E409" s="30" t="n">
        <v>99700</v>
      </c>
      <c r="F409" s="30" t="n">
        <v>98605.640625</v>
      </c>
      <c r="G409" s="30" t="n">
        <v>881756</v>
      </c>
      <c r="H409" s="35" t="n">
        <v>0.001004016064257041</v>
      </c>
      <c r="I409" s="35" t="n">
        <v>-0.4724867724867725</v>
      </c>
      <c r="J409" s="30" t="n">
        <v>110220</v>
      </c>
      <c r="K409" s="30" t="n">
        <v>91963.33333333333</v>
      </c>
      <c r="L409" s="30" t="n">
        <v>99120.83333333333</v>
      </c>
      <c r="M409" s="35" t="n">
        <v>0.6912250199450987</v>
      </c>
      <c r="N409" s="35" t="n">
        <v>0.7251974632610433</v>
      </c>
      <c r="O409" s="35" t="n">
        <v>-0.1390328151986183</v>
      </c>
      <c r="P409" s="35" t="n">
        <v>0.0583864118895967</v>
      </c>
      <c r="Q409" s="35" t="n">
        <v>-0.07599629286376275</v>
      </c>
      <c r="R409" s="35" t="n">
        <v>-0.09544547269098169</v>
      </c>
      <c r="S409" s="35" t="n">
        <v>0.08412773206712831</v>
      </c>
      <c r="T409" s="35" t="n">
        <v>0.005843036697633419</v>
      </c>
      <c r="U409" s="30" t="n">
        <v>189000</v>
      </c>
      <c r="V409" s="30" t="n">
        <v>57400</v>
      </c>
      <c r="W409" s="35" t="n">
        <v>-0.4724867724867725</v>
      </c>
      <c r="X409" s="35" t="n">
        <v>0.7369337979094077</v>
      </c>
      <c r="Y409" s="30" t="n">
        <v>95312200</v>
      </c>
      <c r="Z409" s="30" t="n">
        <v>9502626340000</v>
      </c>
      <c r="AA409" s="30" t="n">
        <v>87911073200</v>
      </c>
      <c r="AB409" s="30" t="n">
        <v>151659899760</v>
      </c>
      <c r="AC409" s="35" t="n">
        <v>0.009251239610459101</v>
      </c>
      <c r="AD409" s="24" t="inlineStr">
        <is>
          <t>yfinance_download</t>
        </is>
      </c>
      <c r="AE409" s="24" t="inlineStr">
        <is>
          <t>042700.KS</t>
        </is>
      </c>
    </row>
    <row r="410" ht="24" customHeight="1">
      <c r="A410" s="29" t="inlineStr">
        <is>
          <t>2025-02-12</t>
        </is>
      </c>
      <c r="B410" s="31" t="n">
        <v>98600</v>
      </c>
      <c r="C410" s="31" t="n">
        <v>99500</v>
      </c>
      <c r="D410" s="31" t="n">
        <v>97400</v>
      </c>
      <c r="E410" s="31" t="n">
        <v>98600</v>
      </c>
      <c r="F410" s="31" t="n">
        <v>97517.71875</v>
      </c>
      <c r="G410" s="31" t="n">
        <v>665922</v>
      </c>
      <c r="H410" s="36" t="n">
        <v>-0.01103309929789364</v>
      </c>
      <c r="I410" s="36" t="n">
        <v>-0.4783068783068783</v>
      </c>
      <c r="J410" s="31" t="n">
        <v>109375</v>
      </c>
      <c r="K410" s="31" t="n">
        <v>92138.33333333333</v>
      </c>
      <c r="L410" s="31" t="n">
        <v>99068.33333333333</v>
      </c>
      <c r="M410" s="36" t="n">
        <v>0.6912297624073138</v>
      </c>
      <c r="N410" s="36" t="n">
        <v>0.7123380586793717</v>
      </c>
      <c r="O410" s="36" t="n">
        <v>-0.1463203463203463</v>
      </c>
      <c r="P410" s="36" t="n">
        <v>0.1191827468785471</v>
      </c>
      <c r="Q410" s="36" t="n">
        <v>-0.06005719733079118</v>
      </c>
      <c r="R410" s="36" t="n">
        <v>-0.09851428571428567</v>
      </c>
      <c r="S410" s="36" t="n">
        <v>0.07013005806486627</v>
      </c>
      <c r="T410" s="36" t="n">
        <v>-0.004727376726501809</v>
      </c>
      <c r="U410" s="31" t="n">
        <v>189000</v>
      </c>
      <c r="V410" s="31" t="n">
        <v>57400</v>
      </c>
      <c r="W410" s="36" t="n">
        <v>-0.4783068783068783</v>
      </c>
      <c r="X410" s="36" t="n">
        <v>0.7177700348432057</v>
      </c>
      <c r="Y410" s="31" t="n">
        <v>95312200</v>
      </c>
      <c r="Z410" s="31" t="n">
        <v>9397782920000</v>
      </c>
      <c r="AA410" s="31" t="n">
        <v>65659909200</v>
      </c>
      <c r="AB410" s="31" t="n">
        <v>141326940945</v>
      </c>
      <c r="AC410" s="36" t="n">
        <v>0.006986744614015834</v>
      </c>
      <c r="AD410" s="29" t="inlineStr">
        <is>
          <t>yfinance_download</t>
        </is>
      </c>
      <c r="AE410" s="29" t="inlineStr">
        <is>
          <t>042700.KS</t>
        </is>
      </c>
    </row>
    <row r="411" ht="24" customHeight="1">
      <c r="A411" s="24" t="inlineStr">
        <is>
          <t>2025-02-13</t>
        </is>
      </c>
      <c r="B411" s="30" t="n">
        <v>100000</v>
      </c>
      <c r="C411" s="30" t="n">
        <v>103500</v>
      </c>
      <c r="D411" s="30" t="n">
        <v>98600</v>
      </c>
      <c r="E411" s="30" t="n">
        <v>99700</v>
      </c>
      <c r="F411" s="30" t="n">
        <v>98605.640625</v>
      </c>
      <c r="G411" s="30" t="n">
        <v>1168697</v>
      </c>
      <c r="H411" s="35" t="n">
        <v>0.011156186612576</v>
      </c>
      <c r="I411" s="35" t="n">
        <v>-0.4724867724867725</v>
      </c>
      <c r="J411" s="30" t="n">
        <v>108715</v>
      </c>
      <c r="K411" s="30" t="n">
        <v>92388.33333333333</v>
      </c>
      <c r="L411" s="30" t="n">
        <v>98995</v>
      </c>
      <c r="M411" s="35" t="n">
        <v>0.6915363339451179</v>
      </c>
      <c r="N411" s="35" t="n">
        <v>0.7072587443773662</v>
      </c>
      <c r="O411" s="35" t="n">
        <v>-0.1169176262178919</v>
      </c>
      <c r="P411" s="35" t="n">
        <v>0.1770956316410861</v>
      </c>
      <c r="Q411" s="35" t="n">
        <v>-0.08110599078341019</v>
      </c>
      <c r="R411" s="35" t="n">
        <v>-0.08292323966333992</v>
      </c>
      <c r="S411" s="35" t="n">
        <v>0.07914058412858771</v>
      </c>
      <c r="T411" s="35" t="n">
        <v>0.00712157179655537</v>
      </c>
      <c r="U411" s="30" t="n">
        <v>189000</v>
      </c>
      <c r="V411" s="30" t="n">
        <v>57400</v>
      </c>
      <c r="W411" s="35" t="n">
        <v>-0.4724867724867725</v>
      </c>
      <c r="X411" s="35" t="n">
        <v>0.7369337979094077</v>
      </c>
      <c r="Y411" s="30" t="n">
        <v>95312200</v>
      </c>
      <c r="Z411" s="30" t="n">
        <v>9502626340000</v>
      </c>
      <c r="AA411" s="30" t="n">
        <v>116519090900</v>
      </c>
      <c r="AB411" s="30" t="n">
        <v>140241930855</v>
      </c>
      <c r="AC411" s="35" t="n">
        <v>0.012261777610841</v>
      </c>
      <c r="AD411" s="24" t="inlineStr">
        <is>
          <t>yfinance_download</t>
        </is>
      </c>
      <c r="AE411" s="24" t="inlineStr">
        <is>
          <t>042700.KS</t>
        </is>
      </c>
    </row>
    <row r="412" ht="24" customHeight="1">
      <c r="A412" s="29" t="inlineStr">
        <is>
          <t>2025-02-14</t>
        </is>
      </c>
      <c r="B412" s="31" t="n">
        <v>101500</v>
      </c>
      <c r="C412" s="31" t="n">
        <v>102500</v>
      </c>
      <c r="D412" s="31" t="n">
        <v>99800</v>
      </c>
      <c r="E412" s="31" t="n">
        <v>100500</v>
      </c>
      <c r="F412" s="31" t="n">
        <v>99396.8671875</v>
      </c>
      <c r="G412" s="31" t="n">
        <v>857695</v>
      </c>
      <c r="H412" s="36" t="n">
        <v>0.008024072216650024</v>
      </c>
      <c r="I412" s="36" t="n">
        <v>-0.4682539682539683</v>
      </c>
      <c r="J412" s="31" t="n">
        <v>108395</v>
      </c>
      <c r="K412" s="31" t="n">
        <v>92695</v>
      </c>
      <c r="L412" s="31" t="n">
        <v>98880.83333333333</v>
      </c>
      <c r="M412" s="36" t="n">
        <v>0.6691428276773222</v>
      </c>
      <c r="N412" s="36" t="n">
        <v>0.7036666527821935</v>
      </c>
      <c r="O412" s="36" t="n">
        <v>-0.05986903648269415</v>
      </c>
      <c r="P412" s="36" t="n">
        <v>0.2241169305724726</v>
      </c>
      <c r="Q412" s="36" t="n">
        <v>-0.1199649737302977</v>
      </c>
      <c r="R412" s="36" t="n">
        <v>-0.0728354628903547</v>
      </c>
      <c r="S412" s="36" t="n">
        <v>0.08420087383354002</v>
      </c>
      <c r="T412" s="36" t="n">
        <v>0.01637492941840768</v>
      </c>
      <c r="U412" s="31" t="n">
        <v>189000</v>
      </c>
      <c r="V412" s="31" t="n">
        <v>57400</v>
      </c>
      <c r="W412" s="36" t="n">
        <v>-0.4682539682539683</v>
      </c>
      <c r="X412" s="36" t="n">
        <v>0.7508710801393728</v>
      </c>
      <c r="Y412" s="31" t="n">
        <v>95312200</v>
      </c>
      <c r="Z412" s="31" t="n">
        <v>9578876100000</v>
      </c>
      <c r="AA412" s="31" t="n">
        <v>86198347500</v>
      </c>
      <c r="AB412" s="31" t="n">
        <v>138464994300</v>
      </c>
      <c r="AC412" s="36" t="n">
        <v>0.008998795537192511</v>
      </c>
      <c r="AD412" s="29" t="inlineStr">
        <is>
          <t>yfinance_download</t>
        </is>
      </c>
      <c r="AE412" s="29" t="inlineStr">
        <is>
          <t>042700.KS</t>
        </is>
      </c>
    </row>
    <row r="413" ht="24" customHeight="1">
      <c r="A413" s="24" t="inlineStr">
        <is>
          <t>2025-02-17</t>
        </is>
      </c>
      <c r="B413" s="30" t="n">
        <v>101400</v>
      </c>
      <c r="C413" s="30" t="n">
        <v>104100</v>
      </c>
      <c r="D413" s="30" t="n">
        <v>100700</v>
      </c>
      <c r="E413" s="30" t="n">
        <v>100900</v>
      </c>
      <c r="F413" s="30" t="n">
        <v>99792.4765625</v>
      </c>
      <c r="G413" s="30" t="n">
        <v>773797</v>
      </c>
      <c r="H413" s="35" t="n">
        <v>0.003980099502487455</v>
      </c>
      <c r="I413" s="35" t="n">
        <v>-0.4661375661375662</v>
      </c>
      <c r="J413" s="30" t="n">
        <v>108115</v>
      </c>
      <c r="K413" s="30" t="n">
        <v>93025</v>
      </c>
      <c r="L413" s="30" t="n">
        <v>98778.33333333333</v>
      </c>
      <c r="M413" s="35" t="n">
        <v>0.6694761016453555</v>
      </c>
      <c r="N413" s="35" t="n">
        <v>0.702828086237733</v>
      </c>
      <c r="O413" s="35" t="n">
        <v>-0.05258215962441315</v>
      </c>
      <c r="P413" s="35" t="n">
        <v>0.2441430332922319</v>
      </c>
      <c r="Q413" s="35" t="n">
        <v>-0.1086572438162544</v>
      </c>
      <c r="R413" s="35" t="n">
        <v>-0.06673449567590062</v>
      </c>
      <c r="S413" s="35" t="n">
        <v>0.08465466272507394</v>
      </c>
      <c r="T413" s="35" t="n">
        <v>0.02147906929657317</v>
      </c>
      <c r="U413" s="30" t="n">
        <v>189000</v>
      </c>
      <c r="V413" s="30" t="n">
        <v>57400</v>
      </c>
      <c r="W413" s="35" t="n">
        <v>-0.4661375661375662</v>
      </c>
      <c r="X413" s="35" t="n">
        <v>0.7578397212543555</v>
      </c>
      <c r="Y413" s="30" t="n">
        <v>95312200</v>
      </c>
      <c r="Z413" s="30" t="n">
        <v>9617000980000</v>
      </c>
      <c r="AA413" s="30" t="n">
        <v>78076117300</v>
      </c>
      <c r="AB413" s="30" t="n">
        <v>136400465615</v>
      </c>
      <c r="AC413" s="35" t="n">
        <v>0.008118551455112777</v>
      </c>
      <c r="AD413" s="24" t="inlineStr">
        <is>
          <t>yfinance_download</t>
        </is>
      </c>
      <c r="AE413" s="24" t="inlineStr">
        <is>
          <t>042700.KS</t>
        </is>
      </c>
    </row>
    <row r="414" ht="24" customHeight="1">
      <c r="A414" s="29" t="inlineStr">
        <is>
          <t>2025-02-18</t>
        </is>
      </c>
      <c r="B414" s="31" t="n">
        <v>100700</v>
      </c>
      <c r="C414" s="31" t="n">
        <v>100800</v>
      </c>
      <c r="D414" s="31" t="n">
        <v>97700</v>
      </c>
      <c r="E414" s="31" t="n">
        <v>98400</v>
      </c>
      <c r="F414" s="31" t="n">
        <v>97319.9140625</v>
      </c>
      <c r="G414" s="31" t="n">
        <v>865882</v>
      </c>
      <c r="H414" s="36" t="n">
        <v>-0.02477700693756191</v>
      </c>
      <c r="I414" s="36" t="n">
        <v>-0.4793650793650793</v>
      </c>
      <c r="J414" s="31" t="n">
        <v>107765</v>
      </c>
      <c r="K414" s="31" t="n">
        <v>93303.33333333333</v>
      </c>
      <c r="L414" s="31" t="n">
        <v>98610.83333333333</v>
      </c>
      <c r="M414" s="36" t="n">
        <v>0.673848685810578</v>
      </c>
      <c r="N414" s="36" t="n">
        <v>0.7053653520061786</v>
      </c>
      <c r="O414" s="36" t="n">
        <v>-0.06641366223908918</v>
      </c>
      <c r="P414" s="36" t="n">
        <v>0.2044063647490819</v>
      </c>
      <c r="Q414" s="36" t="n">
        <v>-0.169620253164557</v>
      </c>
      <c r="R414" s="36" t="n">
        <v>-0.08690205539832041</v>
      </c>
      <c r="S414" s="36" t="n">
        <v>0.05462470079668469</v>
      </c>
      <c r="T414" s="36" t="n">
        <v>-0.002138034191645599</v>
      </c>
      <c r="U414" s="31" t="n">
        <v>189000</v>
      </c>
      <c r="V414" s="31" t="n">
        <v>57400</v>
      </c>
      <c r="W414" s="36" t="n">
        <v>-0.4793650793650793</v>
      </c>
      <c r="X414" s="36" t="n">
        <v>0.7142857142857142</v>
      </c>
      <c r="Y414" s="31" t="n">
        <v>95312200</v>
      </c>
      <c r="Z414" s="31" t="n">
        <v>9378720480000</v>
      </c>
      <c r="AA414" s="31" t="n">
        <v>85202788800</v>
      </c>
      <c r="AB414" s="31" t="n">
        <v>135776542965</v>
      </c>
      <c r="AC414" s="36" t="n">
        <v>0.009084692200998404</v>
      </c>
      <c r="AD414" s="29" t="inlineStr">
        <is>
          <t>yfinance_download</t>
        </is>
      </c>
      <c r="AE414" s="29" t="inlineStr">
        <is>
          <t>042700.KS</t>
        </is>
      </c>
    </row>
    <row r="415" ht="24" customHeight="1">
      <c r="A415" s="24" t="inlineStr">
        <is>
          <t>2025-02-19</t>
        </is>
      </c>
      <c r="B415" s="30" t="n">
        <v>101800</v>
      </c>
      <c r="C415" s="30" t="n">
        <v>111000</v>
      </c>
      <c r="D415" s="30" t="n">
        <v>100100</v>
      </c>
      <c r="E415" s="30" t="n">
        <v>107000</v>
      </c>
      <c r="F415" s="30" t="n">
        <v>105825.515625</v>
      </c>
      <c r="G415" s="30" t="n">
        <v>4008194</v>
      </c>
      <c r="H415" s="35" t="n">
        <v>0.08739837398373984</v>
      </c>
      <c r="I415" s="35" t="n">
        <v>-0.4338624338624338</v>
      </c>
      <c r="J415" s="30" t="n">
        <v>107790</v>
      </c>
      <c r="K415" s="30" t="n">
        <v>93743.33333333333</v>
      </c>
      <c r="L415" s="30" t="n">
        <v>98438.33333333333</v>
      </c>
      <c r="M415" s="35" t="n">
        <v>0.7451802931748782</v>
      </c>
      <c r="N415" s="35" t="n">
        <v>0.7246961780855753</v>
      </c>
      <c r="O415" s="35" t="n">
        <v>0.004694835680751241</v>
      </c>
      <c r="P415" s="35" t="n">
        <v>0.3275434243176178</v>
      </c>
      <c r="Q415" s="35" t="n">
        <v>-0.1620986687548943</v>
      </c>
      <c r="R415" s="35" t="n">
        <v>-0.007329065776045973</v>
      </c>
      <c r="S415" s="35" t="n">
        <v>0.1414145005867085</v>
      </c>
      <c r="T415" s="35" t="n">
        <v>0.08697492507999938</v>
      </c>
      <c r="U415" s="30" t="n">
        <v>189000</v>
      </c>
      <c r="V415" s="30" t="n">
        <v>58800</v>
      </c>
      <c r="W415" s="35" t="n">
        <v>-0.4338624338624338</v>
      </c>
      <c r="X415" s="35" t="n">
        <v>0.8197278911564625</v>
      </c>
      <c r="Y415" s="30" t="n">
        <v>95312200</v>
      </c>
      <c r="Z415" s="30" t="n">
        <v>10198405400000</v>
      </c>
      <c r="AA415" s="30" t="n">
        <v>428876758000</v>
      </c>
      <c r="AB415" s="30" t="n">
        <v>150526791965</v>
      </c>
      <c r="AC415" s="35" t="n">
        <v>0.04205331531535313</v>
      </c>
      <c r="AD415" s="24" t="inlineStr">
        <is>
          <t>yfinance_download</t>
        </is>
      </c>
      <c r="AE415" s="24" t="inlineStr">
        <is>
          <t>042700.KS</t>
        </is>
      </c>
    </row>
    <row r="416" ht="24" customHeight="1">
      <c r="A416" s="29" t="inlineStr">
        <is>
          <t>2025-02-20</t>
        </is>
      </c>
      <c r="B416" s="31" t="n">
        <v>109000</v>
      </c>
      <c r="C416" s="31" t="n">
        <v>109800</v>
      </c>
      <c r="D416" s="31" t="n">
        <v>104100</v>
      </c>
      <c r="E416" s="31" t="n">
        <v>107900</v>
      </c>
      <c r="F416" s="31" t="n">
        <v>106715.6328125</v>
      </c>
      <c r="G416" s="31" t="n">
        <v>1372885</v>
      </c>
      <c r="H416" s="36" t="n">
        <v>0.008411214953271129</v>
      </c>
      <c r="I416" s="36" t="n">
        <v>-0.4291005291005291</v>
      </c>
      <c r="J416" s="31" t="n">
        <v>107560</v>
      </c>
      <c r="K416" s="31" t="n">
        <v>94195</v>
      </c>
      <c r="L416" s="31" t="n">
        <v>98296.66666666667</v>
      </c>
      <c r="M416" s="36" t="n">
        <v>0.7170868535833786</v>
      </c>
      <c r="N416" s="36" t="n">
        <v>0.7246847783560357</v>
      </c>
      <c r="O416" s="36" t="n">
        <v>-0.04088888888888886</v>
      </c>
      <c r="P416" s="36" t="n">
        <v>0.3353960396039604</v>
      </c>
      <c r="Q416" s="36" t="n">
        <v>-0.1361088871096877</v>
      </c>
      <c r="R416" s="36" t="n">
        <v>0.003161026403867506</v>
      </c>
      <c r="S416" s="36" t="n">
        <v>0.1454960454376559</v>
      </c>
      <c r="T416" s="36" t="n">
        <v>0.09769744650547652</v>
      </c>
      <c r="U416" s="31" t="n">
        <v>189000</v>
      </c>
      <c r="V416" s="31" t="n">
        <v>58800</v>
      </c>
      <c r="W416" s="36" t="n">
        <v>-0.4291005291005291</v>
      </c>
      <c r="X416" s="36" t="n">
        <v>0.8350340136054422</v>
      </c>
      <c r="Y416" s="31" t="n">
        <v>95312200</v>
      </c>
      <c r="Z416" s="31" t="n">
        <v>10284186380000</v>
      </c>
      <c r="AA416" s="31" t="n">
        <v>148134291500</v>
      </c>
      <c r="AB416" s="31" t="n">
        <v>148303371540</v>
      </c>
      <c r="AC416" s="36" t="n">
        <v>0.01440408468170916</v>
      </c>
      <c r="AD416" s="29" t="inlineStr">
        <is>
          <t>yfinance_download</t>
        </is>
      </c>
      <c r="AE416" s="29" t="inlineStr">
        <is>
          <t>042700.KS</t>
        </is>
      </c>
    </row>
    <row r="417" ht="24" customHeight="1">
      <c r="A417" s="24" t="inlineStr">
        <is>
          <t>2025-02-21</t>
        </is>
      </c>
      <c r="B417" s="30" t="n">
        <v>108500</v>
      </c>
      <c r="C417" s="30" t="n">
        <v>108600</v>
      </c>
      <c r="D417" s="30" t="n">
        <v>105200</v>
      </c>
      <c r="E417" s="30" t="n">
        <v>105900</v>
      </c>
      <c r="F417" s="30" t="n">
        <v>104737.59375</v>
      </c>
      <c r="G417" s="30" t="n">
        <v>693046</v>
      </c>
      <c r="H417" s="35" t="n">
        <v>-0.01853568118628357</v>
      </c>
      <c r="I417" s="35" t="n">
        <v>-0.4396825396825397</v>
      </c>
      <c r="J417" s="30" t="n">
        <v>107450</v>
      </c>
      <c r="K417" s="30" t="n">
        <v>94598.33333333333</v>
      </c>
      <c r="L417" s="30" t="n">
        <v>98133.33333333333</v>
      </c>
      <c r="M417" s="35" t="n">
        <v>0.7062729987069516</v>
      </c>
      <c r="N417" s="35" t="n">
        <v>0.7263048032382523</v>
      </c>
      <c r="O417" s="35" t="n">
        <v>-0.02035152636447735</v>
      </c>
      <c r="P417" s="35" t="n">
        <v>0.2962056303549572</v>
      </c>
      <c r="Q417" s="35" t="n">
        <v>-0.1561752988047809</v>
      </c>
      <c r="R417" s="35" t="n">
        <v>-0.01442531409958125</v>
      </c>
      <c r="S417" s="35" t="n">
        <v>0.1194700399936575</v>
      </c>
      <c r="T417" s="35" t="n">
        <v>0.0791440217391306</v>
      </c>
      <c r="U417" s="30" t="n">
        <v>189000</v>
      </c>
      <c r="V417" s="30" t="n">
        <v>60400</v>
      </c>
      <c r="W417" s="35" t="n">
        <v>-0.4396825396825397</v>
      </c>
      <c r="X417" s="35" t="n">
        <v>0.7533112582781456</v>
      </c>
      <c r="Y417" s="30" t="n">
        <v>95312200</v>
      </c>
      <c r="Z417" s="30" t="n">
        <v>10093561980000</v>
      </c>
      <c r="AA417" s="30" t="n">
        <v>73393571400</v>
      </c>
      <c r="AB417" s="30" t="n">
        <v>146788893005</v>
      </c>
      <c r="AC417" s="35" t="n">
        <v>0.007271325181875983</v>
      </c>
      <c r="AD417" s="24" t="inlineStr">
        <is>
          <t>yfinance_download</t>
        </is>
      </c>
      <c r="AE417" s="24" t="inlineStr">
        <is>
          <t>042700.KS</t>
        </is>
      </c>
    </row>
    <row r="418" ht="24" customHeight="1">
      <c r="A418" s="29" t="inlineStr">
        <is>
          <t>2025-02-24</t>
        </is>
      </c>
      <c r="B418" s="31" t="n">
        <v>101800</v>
      </c>
      <c r="C418" s="31" t="n">
        <v>102400</v>
      </c>
      <c r="D418" s="31" t="n">
        <v>99300</v>
      </c>
      <c r="E418" s="31" t="n">
        <v>100900</v>
      </c>
      <c r="F418" s="31" t="n">
        <v>99792.4765625</v>
      </c>
      <c r="G418" s="31" t="n">
        <v>1013179</v>
      </c>
      <c r="H418" s="36" t="n">
        <v>-0.04721435316336164</v>
      </c>
      <c r="I418" s="36" t="n">
        <v>-0.4661375661375662</v>
      </c>
      <c r="J418" s="31" t="n">
        <v>106815</v>
      </c>
      <c r="K418" s="31" t="n">
        <v>94935</v>
      </c>
      <c r="L418" s="31" t="n">
        <v>97934.16666666667</v>
      </c>
      <c r="M418" s="36" t="n">
        <v>0.6981351468409606</v>
      </c>
      <c r="N418" s="36" t="n">
        <v>0.7334198168951019</v>
      </c>
      <c r="O418" s="36" t="n">
        <v>-0.1117957746478874</v>
      </c>
      <c r="P418" s="36" t="n">
        <v>0.2503097893432467</v>
      </c>
      <c r="Q418" s="36" t="n">
        <v>-0.1915064102564102</v>
      </c>
      <c r="R418" s="36" t="n">
        <v>-0.05537611758648131</v>
      </c>
      <c r="S418" s="36" t="n">
        <v>0.06283246431769096</v>
      </c>
      <c r="T418" s="36" t="n">
        <v>0.03028394925162314</v>
      </c>
      <c r="U418" s="31" t="n">
        <v>189000</v>
      </c>
      <c r="V418" s="31" t="n">
        <v>60400</v>
      </c>
      <c r="W418" s="36" t="n">
        <v>-0.4661375661375662</v>
      </c>
      <c r="X418" s="36" t="n">
        <v>0.6705298013245033</v>
      </c>
      <c r="Y418" s="31" t="n">
        <v>95312200</v>
      </c>
      <c r="Z418" s="31" t="n">
        <v>9617000980000</v>
      </c>
      <c r="AA418" s="31" t="n">
        <v>102229761100</v>
      </c>
      <c r="AB418" s="31" t="n">
        <v>144805924740</v>
      </c>
      <c r="AC418" s="36" t="n">
        <v>0.01063010821279962</v>
      </c>
      <c r="AD418" s="29" t="inlineStr">
        <is>
          <t>yfinance_download</t>
        </is>
      </c>
      <c r="AE418" s="29" t="inlineStr">
        <is>
          <t>042700.KS</t>
        </is>
      </c>
    </row>
    <row r="419" ht="24" customHeight="1">
      <c r="A419" s="24" t="inlineStr">
        <is>
          <t>2025-02-25</t>
        </is>
      </c>
      <c r="B419" s="30" t="n">
        <v>98600</v>
      </c>
      <c r="C419" s="30" t="n">
        <v>100500</v>
      </c>
      <c r="D419" s="30" t="n">
        <v>98400</v>
      </c>
      <c r="E419" s="30" t="n">
        <v>100200</v>
      </c>
      <c r="F419" s="30" t="n">
        <v>99100.15625</v>
      </c>
      <c r="G419" s="30" t="n">
        <v>493835</v>
      </c>
      <c r="H419" s="35" t="n">
        <v>-0.006937561942517378</v>
      </c>
      <c r="I419" s="35" t="n">
        <v>-0.4698412698412698</v>
      </c>
      <c r="J419" s="30" t="n">
        <v>105520</v>
      </c>
      <c r="K419" s="30" t="n">
        <v>95215</v>
      </c>
      <c r="L419" s="30" t="n">
        <v>97763.33333333333</v>
      </c>
      <c r="M419" s="35" t="n">
        <v>0.5502887547043042</v>
      </c>
      <c r="N419" s="35" t="n">
        <v>0.7313344467621165</v>
      </c>
      <c r="O419" s="35" t="n">
        <v>-0.2053925455987312</v>
      </c>
      <c r="P419" s="35" t="n">
        <v>0.2014388489208634</v>
      </c>
      <c r="Q419" s="35" t="n">
        <v>-0.1698425849212924</v>
      </c>
      <c r="R419" s="35" t="n">
        <v>-0.05041698256254734</v>
      </c>
      <c r="S419" s="35" t="n">
        <v>0.05235519613506279</v>
      </c>
      <c r="T419" s="35" t="n">
        <v>0.02492413652016778</v>
      </c>
      <c r="U419" s="30" t="n">
        <v>189000</v>
      </c>
      <c r="V419" s="30" t="n">
        <v>70100</v>
      </c>
      <c r="W419" s="35" t="n">
        <v>-0.4698412698412698</v>
      </c>
      <c r="X419" s="35" t="n">
        <v>0.4293865905848788</v>
      </c>
      <c r="Y419" s="30" t="n">
        <v>95312200</v>
      </c>
      <c r="Z419" s="30" t="n">
        <v>9550282440000</v>
      </c>
      <c r="AA419" s="30" t="n">
        <v>49482267000</v>
      </c>
      <c r="AB419" s="30" t="n">
        <v>125928830225</v>
      </c>
      <c r="AC419" s="35" t="n">
        <v>0.005181235980283742</v>
      </c>
      <c r="AD419" s="24" t="inlineStr">
        <is>
          <t>yfinance_download</t>
        </is>
      </c>
      <c r="AE419" s="24" t="inlineStr">
        <is>
          <t>042700.KS</t>
        </is>
      </c>
    </row>
    <row r="420" ht="24" customHeight="1">
      <c r="A420" s="29" t="inlineStr">
        <is>
          <t>2025-02-26</t>
        </is>
      </c>
      <c r="B420" s="31" t="n">
        <v>99500</v>
      </c>
      <c r="C420" s="31" t="n">
        <v>102300</v>
      </c>
      <c r="D420" s="31" t="n">
        <v>99100</v>
      </c>
      <c r="E420" s="31" t="n">
        <v>100400</v>
      </c>
      <c r="F420" s="31" t="n">
        <v>99297.9609375</v>
      </c>
      <c r="G420" s="31" t="n">
        <v>778521</v>
      </c>
      <c r="H420" s="36" t="n">
        <v>0.001996007984031989</v>
      </c>
      <c r="I420" s="36" t="n">
        <v>-0.4687830687830687</v>
      </c>
      <c r="J420" s="31" t="n">
        <v>104445</v>
      </c>
      <c r="K420" s="31" t="n">
        <v>95485</v>
      </c>
      <c r="L420" s="31" t="n">
        <v>97618.33333333333</v>
      </c>
      <c r="M420" s="36" t="n">
        <v>0.5454369130762357</v>
      </c>
      <c r="N420" s="36" t="n">
        <v>0.7312551942101493</v>
      </c>
      <c r="O420" s="36" t="n">
        <v>-0.1763740771123872</v>
      </c>
      <c r="P420" s="36" t="n">
        <v>0.1923990498812351</v>
      </c>
      <c r="Q420" s="36" t="n">
        <v>-0.1477079796264855</v>
      </c>
      <c r="R420" s="36" t="n">
        <v>-0.03872851740150318</v>
      </c>
      <c r="S420" s="36" t="n">
        <v>0.051474053516259</v>
      </c>
      <c r="T420" s="36" t="n">
        <v>0.0284953304536375</v>
      </c>
      <c r="U420" s="31" t="n">
        <v>189000</v>
      </c>
      <c r="V420" s="31" t="n">
        <v>70100</v>
      </c>
      <c r="W420" s="36" t="n">
        <v>-0.4687830687830687</v>
      </c>
      <c r="X420" s="36" t="n">
        <v>0.4322396576319543</v>
      </c>
      <c r="Y420" s="31" t="n">
        <v>95312200</v>
      </c>
      <c r="Z420" s="31" t="n">
        <v>9569344880000</v>
      </c>
      <c r="AA420" s="31" t="n">
        <v>78163508400</v>
      </c>
      <c r="AB420" s="31" t="n">
        <v>120387579730</v>
      </c>
      <c r="AC420" s="36" t="n">
        <v>0.008168114889804243</v>
      </c>
      <c r="AD420" s="29" t="inlineStr">
        <is>
          <t>yfinance_download</t>
        </is>
      </c>
      <c r="AE420" s="29" t="inlineStr">
        <is>
          <t>042700.KS</t>
        </is>
      </c>
    </row>
    <row r="421" ht="24" customHeight="1">
      <c r="A421" s="24" t="inlineStr">
        <is>
          <t>2025-02-27</t>
        </is>
      </c>
      <c r="B421" s="30" t="n">
        <v>103500</v>
      </c>
      <c r="C421" s="30" t="n">
        <v>103600</v>
      </c>
      <c r="D421" s="30" t="n">
        <v>99700</v>
      </c>
      <c r="E421" s="30" t="n">
        <v>100000</v>
      </c>
      <c r="F421" s="30" t="n">
        <v>98902.3515625</v>
      </c>
      <c r="G421" s="30" t="n">
        <v>783896</v>
      </c>
      <c r="H421" s="35" t="n">
        <v>-0.003984063745019917</v>
      </c>
      <c r="I421" s="35" t="n">
        <v>-0.4708994708994709</v>
      </c>
      <c r="J421" s="30" t="n">
        <v>103415</v>
      </c>
      <c r="K421" s="30" t="n">
        <v>95806.66666666667</v>
      </c>
      <c r="L421" s="30" t="n">
        <v>97490</v>
      </c>
      <c r="M421" s="35" t="n">
        <v>0.5456975037911542</v>
      </c>
      <c r="N421" s="35" t="n">
        <v>0.7252964333278211</v>
      </c>
      <c r="O421" s="35" t="n">
        <v>-0.1708126036484245</v>
      </c>
      <c r="P421" s="35" t="n">
        <v>0.2391573729863692</v>
      </c>
      <c r="Q421" s="35" t="n">
        <v>-0.1334488734835355</v>
      </c>
      <c r="R421" s="35" t="n">
        <v>-0.03302228883624236</v>
      </c>
      <c r="S421" s="35" t="n">
        <v>0.04376870085589024</v>
      </c>
      <c r="T421" s="35" t="n">
        <v>0.02574623038260326</v>
      </c>
      <c r="U421" s="30" t="n">
        <v>189000</v>
      </c>
      <c r="V421" s="30" t="n">
        <v>70100</v>
      </c>
      <c r="W421" s="35" t="n">
        <v>-0.4708994708994709</v>
      </c>
      <c r="X421" s="35" t="n">
        <v>0.4265335235378032</v>
      </c>
      <c r="Y421" s="30" t="n">
        <v>95312200</v>
      </c>
      <c r="Z421" s="30" t="n">
        <v>9531220000000</v>
      </c>
      <c r="AA421" s="30" t="n">
        <v>78389600000</v>
      </c>
      <c r="AB421" s="30" t="n">
        <v>118173006050</v>
      </c>
      <c r="AC421" s="35" t="n">
        <v>0.008224508509928424</v>
      </c>
      <c r="AD421" s="24" t="inlineStr">
        <is>
          <t>yfinance_download</t>
        </is>
      </c>
      <c r="AE421" s="24" t="inlineStr">
        <is>
          <t>042700.KS</t>
        </is>
      </c>
    </row>
    <row r="422" ht="24" customHeight="1">
      <c r="A422" s="29" t="inlineStr">
        <is>
          <t>2025-02-28</t>
        </is>
      </c>
      <c r="B422" s="31" t="n">
        <v>95100</v>
      </c>
      <c r="C422" s="31" t="n">
        <v>96000</v>
      </c>
      <c r="D422" s="31" t="n">
        <v>91900</v>
      </c>
      <c r="E422" s="31" t="n">
        <v>93500</v>
      </c>
      <c r="F422" s="31" t="n">
        <v>92473.6953125</v>
      </c>
      <c r="G422" s="31" t="n">
        <v>1375402</v>
      </c>
      <c r="H422" s="36" t="n">
        <v>-0.06499999999999995</v>
      </c>
      <c r="I422" s="36" t="n">
        <v>-0.5052910052910053</v>
      </c>
      <c r="J422" s="31" t="n">
        <v>102430</v>
      </c>
      <c r="K422" s="31" t="n">
        <v>96088.33333333333</v>
      </c>
      <c r="L422" s="31" t="n">
        <v>97310</v>
      </c>
      <c r="M422" s="36" t="n">
        <v>0.55048301832854</v>
      </c>
      <c r="N422" s="36" t="n">
        <v>0.730490128207874</v>
      </c>
      <c r="O422" s="36" t="n">
        <v>-0.1740282685512368</v>
      </c>
      <c r="P422" s="36" t="n">
        <v>0.2206266318537859</v>
      </c>
      <c r="Q422" s="36" t="n">
        <v>-0.1876629018245004</v>
      </c>
      <c r="R422" s="36" t="n">
        <v>-0.08718148979791074</v>
      </c>
      <c r="S422" s="36" t="n">
        <v>-0.02693701975612717</v>
      </c>
      <c r="T422" s="36" t="n">
        <v>-0.03915322166272739</v>
      </c>
      <c r="U422" s="31" t="n">
        <v>189000</v>
      </c>
      <c r="V422" s="31" t="n">
        <v>70100</v>
      </c>
      <c r="W422" s="36" t="n">
        <v>-0.5052910052910053</v>
      </c>
      <c r="X422" s="36" t="n">
        <v>0.333808844507846</v>
      </c>
      <c r="Y422" s="31" t="n">
        <v>95312200</v>
      </c>
      <c r="Z422" s="31" t="n">
        <v>8911690700000</v>
      </c>
      <c r="AA422" s="31" t="n">
        <v>128600087000</v>
      </c>
      <c r="AB422" s="31" t="n">
        <v>115459699240</v>
      </c>
      <c r="AC422" s="36" t="n">
        <v>0.01443049263368173</v>
      </c>
      <c r="AD422" s="29" t="inlineStr">
        <is>
          <t>yfinance_download</t>
        </is>
      </c>
      <c r="AE422" s="29" t="inlineStr">
        <is>
          <t>042700.KS</t>
        </is>
      </c>
    </row>
    <row r="423" ht="24" customHeight="1">
      <c r="A423" s="24" t="inlineStr">
        <is>
          <t>2025-03-04</t>
        </is>
      </c>
      <c r="B423" s="30" t="n">
        <v>89500</v>
      </c>
      <c r="C423" s="30" t="n">
        <v>90800</v>
      </c>
      <c r="D423" s="30" t="n">
        <v>88800</v>
      </c>
      <c r="E423" s="30" t="n">
        <v>90200</v>
      </c>
      <c r="F423" s="30" t="n">
        <v>89209.921875</v>
      </c>
      <c r="G423" s="30" t="n">
        <v>791986</v>
      </c>
      <c r="H423" s="35" t="n">
        <v>-0.03529411764705881</v>
      </c>
      <c r="I423" s="35" t="n">
        <v>-0.5227513227513227</v>
      </c>
      <c r="J423" s="30" t="n">
        <v>101640</v>
      </c>
      <c r="K423" s="30" t="n">
        <v>96310</v>
      </c>
      <c r="L423" s="30" t="n">
        <v>97038.33333333333</v>
      </c>
      <c r="M423" s="35" t="n">
        <v>0.5216148280557988</v>
      </c>
      <c r="N423" s="35" t="n">
        <v>0.7349919612220452</v>
      </c>
      <c r="O423" s="35" t="n">
        <v>-0.1490566037735849</v>
      </c>
      <c r="P423" s="35" t="n">
        <v>0.1729518855656698</v>
      </c>
      <c r="Q423" s="35" t="n">
        <v>-0.2654723127035831</v>
      </c>
      <c r="R423" s="35" t="n">
        <v>-0.1125541125541125</v>
      </c>
      <c r="S423" s="35" t="n">
        <v>-0.06344097186169662</v>
      </c>
      <c r="T423" s="35" t="n">
        <v>-0.07047043264689212</v>
      </c>
      <c r="U423" s="30" t="n">
        <v>189000</v>
      </c>
      <c r="V423" s="30" t="n">
        <v>70100</v>
      </c>
      <c r="W423" s="35" t="n">
        <v>-0.5227513227513227</v>
      </c>
      <c r="X423" s="35" t="n">
        <v>0.2867332382310985</v>
      </c>
      <c r="Y423" s="30" t="n">
        <v>95312200</v>
      </c>
      <c r="Z423" s="30" t="n">
        <v>8597160440000</v>
      </c>
      <c r="AA423" s="30" t="n">
        <v>71437137200</v>
      </c>
      <c r="AB423" s="30" t="n">
        <v>111979471500</v>
      </c>
      <c r="AC423" s="35" t="n">
        <v>0.008309387465613006</v>
      </c>
      <c r="AD423" s="24" t="inlineStr">
        <is>
          <t>yfinance_download</t>
        </is>
      </c>
      <c r="AE423" s="24" t="inlineStr">
        <is>
          <t>042700.KS</t>
        </is>
      </c>
    </row>
    <row r="424" ht="24" customHeight="1">
      <c r="A424" s="29" t="inlineStr">
        <is>
          <t>2025-03-05</t>
        </is>
      </c>
      <c r="B424" s="31" t="n">
        <v>91200</v>
      </c>
      <c r="C424" s="31" t="n">
        <v>92800</v>
      </c>
      <c r="D424" s="31" t="n">
        <v>90000</v>
      </c>
      <c r="E424" s="31" t="n">
        <v>91000</v>
      </c>
      <c r="F424" s="31" t="n">
        <v>90001.140625</v>
      </c>
      <c r="G424" s="31" t="n">
        <v>667542</v>
      </c>
      <c r="H424" s="36" t="n">
        <v>0.008869179600886845</v>
      </c>
      <c r="I424" s="36" t="n">
        <v>-0.5185185185185186</v>
      </c>
      <c r="J424" s="31" t="n">
        <v>100885</v>
      </c>
      <c r="K424" s="31" t="n">
        <v>96583.33333333333</v>
      </c>
      <c r="L424" s="31" t="n">
        <v>96870</v>
      </c>
      <c r="M424" s="36" t="n">
        <v>0.5240750387975055</v>
      </c>
      <c r="N424" s="36" t="n">
        <v>0.7317117095100134</v>
      </c>
      <c r="O424" s="36" t="n">
        <v>-0.1423185673892554</v>
      </c>
      <c r="P424" s="36" t="n">
        <v>0.2198391420911527</v>
      </c>
      <c r="Q424" s="36" t="n">
        <v>-0.1816546762589928</v>
      </c>
      <c r="R424" s="36" t="n">
        <v>-0.09798285176190713</v>
      </c>
      <c r="S424" s="36" t="n">
        <v>-0.05780845556514236</v>
      </c>
      <c r="T424" s="36" t="n">
        <v>-0.06059667595746876</v>
      </c>
      <c r="U424" s="31" t="n">
        <v>189000</v>
      </c>
      <c r="V424" s="31" t="n">
        <v>70100</v>
      </c>
      <c r="W424" s="36" t="n">
        <v>-0.5185185185185186</v>
      </c>
      <c r="X424" s="36" t="n">
        <v>0.298145506419401</v>
      </c>
      <c r="Y424" s="31" t="n">
        <v>95312200</v>
      </c>
      <c r="Z424" s="31" t="n">
        <v>8673410200000</v>
      </c>
      <c r="AA424" s="31" t="n">
        <v>60746322000</v>
      </c>
      <c r="AB424" s="31" t="n">
        <v>108820011795</v>
      </c>
      <c r="AC424" s="36" t="n">
        <v>0.007003741388825355</v>
      </c>
      <c r="AD424" s="29" t="inlineStr">
        <is>
          <t>yfinance_download</t>
        </is>
      </c>
      <c r="AE424" s="29" t="inlineStr">
        <is>
          <t>042700.KS</t>
        </is>
      </c>
    </row>
    <row r="425" ht="24" customHeight="1">
      <c r="A425" s="24" t="inlineStr">
        <is>
          <t>2025-03-06</t>
        </is>
      </c>
      <c r="B425" s="30" t="n">
        <v>91100</v>
      </c>
      <c r="C425" s="30" t="n">
        <v>91700</v>
      </c>
      <c r="D425" s="30" t="n">
        <v>87000</v>
      </c>
      <c r="E425" s="30" t="n">
        <v>87300</v>
      </c>
      <c r="F425" s="30" t="n">
        <v>87030.34375</v>
      </c>
      <c r="G425" s="30" t="n">
        <v>884594</v>
      </c>
      <c r="H425" s="35" t="n">
        <v>-0.04065934065934063</v>
      </c>
      <c r="I425" s="35" t="n">
        <v>-0.5380952380952381</v>
      </c>
      <c r="J425" s="30" t="n">
        <v>99800</v>
      </c>
      <c r="K425" s="30" t="n">
        <v>96833.33333333333</v>
      </c>
      <c r="L425" s="30" t="n">
        <v>96643.33333333333</v>
      </c>
      <c r="M425" s="35" t="n">
        <v>0.5203302341480666</v>
      </c>
      <c r="N425" s="35" t="n">
        <v>0.7340023759808993</v>
      </c>
      <c r="O425" s="35" t="n">
        <v>-0.1990825688073394</v>
      </c>
      <c r="P425" s="35" t="n">
        <v>0.2074688796680497</v>
      </c>
      <c r="Q425" s="35" t="n">
        <v>-0.2375545851528384</v>
      </c>
      <c r="R425" s="35" t="n">
        <v>-0.125250501002004</v>
      </c>
      <c r="S425" s="35" t="n">
        <v>-0.09845094664371767</v>
      </c>
      <c r="T425" s="35" t="n">
        <v>-0.0966785086055254</v>
      </c>
      <c r="U425" s="30" t="n">
        <v>189000</v>
      </c>
      <c r="V425" s="30" t="n">
        <v>70100</v>
      </c>
      <c r="W425" s="35" t="n">
        <v>-0.5380952380952381</v>
      </c>
      <c r="X425" s="35" t="n">
        <v>0.2453637660485022</v>
      </c>
      <c r="Y425" s="30" t="n">
        <v>95312200</v>
      </c>
      <c r="Z425" s="30" t="n">
        <v>8320755060000</v>
      </c>
      <c r="AA425" s="30" t="n">
        <v>77225056200</v>
      </c>
      <c r="AB425" s="30" t="n">
        <v>108431937755</v>
      </c>
      <c r="AC425" s="35" t="n">
        <v>0.00928101544188467</v>
      </c>
      <c r="AD425" s="24" t="inlineStr">
        <is>
          <t>yfinance_download</t>
        </is>
      </c>
      <c r="AE425" s="24" t="inlineStr">
        <is>
          <t>042700.KS</t>
        </is>
      </c>
    </row>
    <row r="426" ht="24" customHeight="1">
      <c r="A426" s="29" t="inlineStr">
        <is>
          <t>2025-03-07</t>
        </is>
      </c>
      <c r="B426" s="31" t="n">
        <v>86100</v>
      </c>
      <c r="C426" s="31" t="n">
        <v>88300</v>
      </c>
      <c r="D426" s="31" t="n">
        <v>84800</v>
      </c>
      <c r="E426" s="31" t="n">
        <v>87400</v>
      </c>
      <c r="F426" s="31" t="n">
        <v>87130.0390625</v>
      </c>
      <c r="G426" s="31" t="n">
        <v>668313</v>
      </c>
      <c r="H426" s="36" t="n">
        <v>0.001145475372279492</v>
      </c>
      <c r="I426" s="36" t="n">
        <v>-0.5375661375661376</v>
      </c>
      <c r="J426" s="31" t="n">
        <v>98755</v>
      </c>
      <c r="K426" s="31" t="n">
        <v>97041.66666666667</v>
      </c>
      <c r="L426" s="31" t="n">
        <v>96443.33333333333</v>
      </c>
      <c r="M426" s="36" t="n">
        <v>0.521814212086098</v>
      </c>
      <c r="N426" s="36" t="n">
        <v>0.7310222135558148</v>
      </c>
      <c r="O426" s="36" t="n">
        <v>-0.1929824561403509</v>
      </c>
      <c r="P426" s="36" t="n">
        <v>0.1668891855807744</v>
      </c>
      <c r="Q426" s="36" t="n">
        <v>-0.2154398563734291</v>
      </c>
      <c r="R426" s="36" t="n">
        <v>-0.1149815199230418</v>
      </c>
      <c r="S426" s="36" t="n">
        <v>-0.09935594675826542</v>
      </c>
      <c r="T426" s="36" t="n">
        <v>-0.0937683613866519</v>
      </c>
      <c r="U426" s="31" t="n">
        <v>189000</v>
      </c>
      <c r="V426" s="31" t="n">
        <v>70100</v>
      </c>
      <c r="W426" s="36" t="n">
        <v>-0.5375661375661376</v>
      </c>
      <c r="X426" s="36" t="n">
        <v>0.2467902995720399</v>
      </c>
      <c r="Y426" s="31" t="n">
        <v>95312200</v>
      </c>
      <c r="Z426" s="31" t="n">
        <v>8330286280000</v>
      </c>
      <c r="AA426" s="31" t="n">
        <v>58410556200</v>
      </c>
      <c r="AB426" s="31" t="n">
        <v>106586052605</v>
      </c>
      <c r="AC426" s="36" t="n">
        <v>0.007011830594614331</v>
      </c>
      <c r="AD426" s="29" t="inlineStr">
        <is>
          <t>yfinance_download</t>
        </is>
      </c>
      <c r="AE426" s="29" t="inlineStr">
        <is>
          <t>042700.KS</t>
        </is>
      </c>
    </row>
    <row r="427" ht="24" customHeight="1">
      <c r="A427" s="24" t="inlineStr">
        <is>
          <t>2025-03-10</t>
        </is>
      </c>
      <c r="B427" s="30" t="n">
        <v>86000</v>
      </c>
      <c r="C427" s="30" t="n">
        <v>88700</v>
      </c>
      <c r="D427" s="30" t="n">
        <v>85800</v>
      </c>
      <c r="E427" s="30" t="n">
        <v>87400</v>
      </c>
      <c r="F427" s="30" t="n">
        <v>87130.0390625</v>
      </c>
      <c r="G427" s="30" t="n">
        <v>494106</v>
      </c>
      <c r="H427" s="35" t="n">
        <v>0</v>
      </c>
      <c r="I427" s="35" t="n">
        <v>-0.5375661375661376</v>
      </c>
      <c r="J427" s="30" t="n">
        <v>97825</v>
      </c>
      <c r="K427" s="30" t="n">
        <v>97263.33333333333</v>
      </c>
      <c r="L427" s="30" t="n">
        <v>96266.66666666667</v>
      </c>
      <c r="M427" s="35" t="n">
        <v>0.521276123378722</v>
      </c>
      <c r="N427" s="35" t="n">
        <v>0.7304595587997114</v>
      </c>
      <c r="O427" s="35" t="n">
        <v>-0.1754716981132075</v>
      </c>
      <c r="P427" s="35" t="n">
        <v>0.1794871794871795</v>
      </c>
      <c r="Q427" s="35" t="n">
        <v>-0.1952117863720073</v>
      </c>
      <c r="R427" s="35" t="n">
        <v>-0.1065678507538973</v>
      </c>
      <c r="S427" s="35" t="n">
        <v>-0.1014085472428801</v>
      </c>
      <c r="T427" s="35" t="n">
        <v>-0.0921052631578948</v>
      </c>
      <c r="U427" s="30" t="n">
        <v>189000</v>
      </c>
      <c r="V427" s="30" t="n">
        <v>70100</v>
      </c>
      <c r="W427" s="35" t="n">
        <v>-0.5375661375661376</v>
      </c>
      <c r="X427" s="35" t="n">
        <v>0.2467902995720399</v>
      </c>
      <c r="Y427" s="30" t="n">
        <v>95312200</v>
      </c>
      <c r="Z427" s="30" t="n">
        <v>8330286280000</v>
      </c>
      <c r="AA427" s="30" t="n">
        <v>43184864400</v>
      </c>
      <c r="AB427" s="30" t="n">
        <v>104687467425</v>
      </c>
      <c r="AC427" s="35" t="n">
        <v>0.00518407926792163</v>
      </c>
      <c r="AD427" s="24" t="inlineStr">
        <is>
          <t>yfinance_download</t>
        </is>
      </c>
      <c r="AE427" s="24" t="inlineStr">
        <is>
          <t>042700.KS</t>
        </is>
      </c>
    </row>
    <row r="428" ht="24" customHeight="1">
      <c r="A428" s="29" t="inlineStr">
        <is>
          <t>2025-03-11</t>
        </is>
      </c>
      <c r="B428" s="31" t="n">
        <v>83000</v>
      </c>
      <c r="C428" s="31" t="n">
        <v>87000</v>
      </c>
      <c r="D428" s="31" t="n">
        <v>82400</v>
      </c>
      <c r="E428" s="31" t="n">
        <v>86100</v>
      </c>
      <c r="F428" s="31" t="n">
        <v>85834.0546875</v>
      </c>
      <c r="G428" s="31" t="n">
        <v>664444</v>
      </c>
      <c r="H428" s="36" t="n">
        <v>-0.01487414187643021</v>
      </c>
      <c r="I428" s="36" t="n">
        <v>-0.5444444444444445</v>
      </c>
      <c r="J428" s="31" t="n">
        <v>97150</v>
      </c>
      <c r="K428" s="31" t="n">
        <v>97458.33333333333</v>
      </c>
      <c r="L428" s="31" t="n">
        <v>96142.5</v>
      </c>
      <c r="M428" s="36" t="n">
        <v>0.4857095880141612</v>
      </c>
      <c r="N428" s="36" t="n">
        <v>0.7314564873088354</v>
      </c>
      <c r="O428" s="36" t="n">
        <v>-0.1355421686746988</v>
      </c>
      <c r="P428" s="36" t="n">
        <v>0.157258064516129</v>
      </c>
      <c r="Q428" s="36" t="n">
        <v>-0.1475247524752475</v>
      </c>
      <c r="R428" s="36" t="n">
        <v>-0.1137416366443644</v>
      </c>
      <c r="S428" s="36" t="n">
        <v>-0.1165455322787515</v>
      </c>
      <c r="T428" s="36" t="n">
        <v>-0.104454325610422</v>
      </c>
      <c r="U428" s="31" t="n">
        <v>189000</v>
      </c>
      <c r="V428" s="31" t="n">
        <v>70100</v>
      </c>
      <c r="W428" s="36" t="n">
        <v>-0.5444444444444445</v>
      </c>
      <c r="X428" s="36" t="n">
        <v>0.2282453637660484</v>
      </c>
      <c r="Y428" s="31" t="n">
        <v>95312200</v>
      </c>
      <c r="Z428" s="31" t="n">
        <v>8206380420000</v>
      </c>
      <c r="AA428" s="31" t="n">
        <v>57208628400</v>
      </c>
      <c r="AB428" s="31" t="n">
        <v>98752486785</v>
      </c>
      <c r="AC428" s="36" t="n">
        <v>0.006971237679961222</v>
      </c>
      <c r="AD428" s="29" t="inlineStr">
        <is>
          <t>yfinance_download</t>
        </is>
      </c>
      <c r="AE428" s="29" t="inlineStr">
        <is>
          <t>042700.KS</t>
        </is>
      </c>
    </row>
    <row r="429" ht="24" customHeight="1">
      <c r="A429" s="24" t="inlineStr">
        <is>
          <t>2025-03-12</t>
        </is>
      </c>
      <c r="B429" s="30" t="n">
        <v>87400</v>
      </c>
      <c r="C429" s="30" t="n">
        <v>90400</v>
      </c>
      <c r="D429" s="30" t="n">
        <v>87000</v>
      </c>
      <c r="E429" s="30" t="n">
        <v>90400</v>
      </c>
      <c r="F429" s="30" t="n">
        <v>90120.7734375</v>
      </c>
      <c r="G429" s="30" t="n">
        <v>748637</v>
      </c>
      <c r="H429" s="35" t="n">
        <v>0.04994192799070851</v>
      </c>
      <c r="I429" s="35" t="n">
        <v>-0.5216931216931218</v>
      </c>
      <c r="J429" s="30" t="n">
        <v>96685</v>
      </c>
      <c r="K429" s="30" t="n">
        <v>97760</v>
      </c>
      <c r="L429" s="30" t="n">
        <v>96064.16666666667</v>
      </c>
      <c r="M429" s="35" t="n">
        <v>0.5255868995966571</v>
      </c>
      <c r="N429" s="35" t="n">
        <v>0.734535985225173</v>
      </c>
      <c r="O429" s="35" t="n">
        <v>-0.09327983951855567</v>
      </c>
      <c r="P429" s="35" t="n">
        <v>0.2503457814661134</v>
      </c>
      <c r="Q429" s="35" t="n">
        <v>-0.094188376753507</v>
      </c>
      <c r="R429" s="35" t="n">
        <v>-0.0650049128613539</v>
      </c>
      <c r="S429" s="35" t="n">
        <v>-0.07528641571194761</v>
      </c>
      <c r="T429" s="35" t="n">
        <v>-0.05896232552894343</v>
      </c>
      <c r="U429" s="30" t="n">
        <v>189000</v>
      </c>
      <c r="V429" s="30" t="n">
        <v>70100</v>
      </c>
      <c r="W429" s="35" t="n">
        <v>-0.5216931216931218</v>
      </c>
      <c r="X429" s="35" t="n">
        <v>0.289586305278174</v>
      </c>
      <c r="Y429" s="30" t="n">
        <v>95312200</v>
      </c>
      <c r="Z429" s="30" t="n">
        <v>8616222880000</v>
      </c>
      <c r="AA429" s="30" t="n">
        <v>67676784800</v>
      </c>
      <c r="AB429" s="30" t="n">
        <v>97740772365</v>
      </c>
      <c r="AC429" s="35" t="n">
        <v>0.007854576853750097</v>
      </c>
      <c r="AD429" s="24" t="inlineStr">
        <is>
          <t>yfinance_download</t>
        </is>
      </c>
      <c r="AE429" s="24" t="inlineStr">
        <is>
          <t>042700.KS</t>
        </is>
      </c>
    </row>
    <row r="430" ht="24" customHeight="1">
      <c r="A430" s="29" t="inlineStr">
        <is>
          <t>2025-03-13</t>
        </is>
      </c>
      <c r="B430" s="31" t="n">
        <v>91700</v>
      </c>
      <c r="C430" s="31" t="n">
        <v>92400</v>
      </c>
      <c r="D430" s="31" t="n">
        <v>88000</v>
      </c>
      <c r="E430" s="31" t="n">
        <v>91000</v>
      </c>
      <c r="F430" s="31" t="n">
        <v>90718.9140625</v>
      </c>
      <c r="G430" s="31" t="n">
        <v>968691</v>
      </c>
      <c r="H430" s="36" t="n">
        <v>0.006637168141592875</v>
      </c>
      <c r="I430" s="36" t="n">
        <v>-0.5185185185185186</v>
      </c>
      <c r="J430" s="31" t="n">
        <v>96305</v>
      </c>
      <c r="K430" s="31" t="n">
        <v>98108.33333333333</v>
      </c>
      <c r="L430" s="31" t="n">
        <v>96018.33333333333</v>
      </c>
      <c r="M430" s="36" t="n">
        <v>0.5263575860428178</v>
      </c>
      <c r="N430" s="36" t="n">
        <v>0.7308729001102096</v>
      </c>
      <c r="O430" s="36" t="n">
        <v>-0.07707910750507097</v>
      </c>
      <c r="P430" s="36" t="n">
        <v>0.298145506419401</v>
      </c>
      <c r="Q430" s="36" t="n">
        <v>-0.05699481865284972</v>
      </c>
      <c r="R430" s="36" t="n">
        <v>-0.05508540574217335</v>
      </c>
      <c r="S430" s="36" t="n">
        <v>-0.07245391998640949</v>
      </c>
      <c r="T430" s="36" t="n">
        <v>-0.05226432452135876</v>
      </c>
      <c r="U430" s="31" t="n">
        <v>189000</v>
      </c>
      <c r="V430" s="31" t="n">
        <v>70100</v>
      </c>
      <c r="W430" s="36" t="n">
        <v>-0.5185185185185186</v>
      </c>
      <c r="X430" s="36" t="n">
        <v>0.298145506419401</v>
      </c>
      <c r="Y430" s="31" t="n">
        <v>95312200</v>
      </c>
      <c r="Z430" s="31" t="n">
        <v>8673410200000</v>
      </c>
      <c r="AA430" s="31" t="n">
        <v>88150881000</v>
      </c>
      <c r="AB430" s="31" t="n">
        <v>98865320955</v>
      </c>
      <c r="AC430" s="36" t="n">
        <v>0.01016334739938854</v>
      </c>
      <c r="AD430" s="29" t="inlineStr">
        <is>
          <t>yfinance_download</t>
        </is>
      </c>
      <c r="AE430" s="29" t="inlineStr">
        <is>
          <t>042700.KS</t>
        </is>
      </c>
    </row>
    <row r="431" ht="24" customHeight="1">
      <c r="A431" s="24" t="inlineStr">
        <is>
          <t>2025-03-14</t>
        </is>
      </c>
      <c r="B431" s="30" t="n">
        <v>89700</v>
      </c>
      <c r="C431" s="30" t="n">
        <v>90300</v>
      </c>
      <c r="D431" s="30" t="n">
        <v>87600</v>
      </c>
      <c r="E431" s="30" t="n">
        <v>87800</v>
      </c>
      <c r="F431" s="30" t="n">
        <v>87528.796875</v>
      </c>
      <c r="G431" s="30" t="n">
        <v>862579</v>
      </c>
      <c r="H431" s="35" t="n">
        <v>-0.03516483516483515</v>
      </c>
      <c r="I431" s="35" t="n">
        <v>-0.5354497354497354</v>
      </c>
      <c r="J431" s="30" t="n">
        <v>95710</v>
      </c>
      <c r="K431" s="30" t="n">
        <v>98388.33333333333</v>
      </c>
      <c r="L431" s="30" t="n">
        <v>95936.66666666667</v>
      </c>
      <c r="M431" s="35" t="n">
        <v>0.5348797158932177</v>
      </c>
      <c r="N431" s="35" t="n">
        <v>0.735383746310359</v>
      </c>
      <c r="O431" s="35" t="n">
        <v>-0.119358074222668</v>
      </c>
      <c r="P431" s="35" t="n">
        <v>0.2366197183098591</v>
      </c>
      <c r="Q431" s="35" t="n">
        <v>-0.1004098360655737</v>
      </c>
      <c r="R431" s="35" t="n">
        <v>-0.08264549158917567</v>
      </c>
      <c r="S431" s="35" t="n">
        <v>-0.1076177731099554</v>
      </c>
      <c r="T431" s="35" t="n">
        <v>-0.08481289739758868</v>
      </c>
      <c r="U431" s="30" t="n">
        <v>189000</v>
      </c>
      <c r="V431" s="30" t="n">
        <v>70100</v>
      </c>
      <c r="W431" s="35" t="n">
        <v>-0.5354497354497354</v>
      </c>
      <c r="X431" s="35" t="n">
        <v>0.2524964336661912</v>
      </c>
      <c r="Y431" s="30" t="n">
        <v>95312200</v>
      </c>
      <c r="Z431" s="30" t="n">
        <v>8368411160000</v>
      </c>
      <c r="AA431" s="30" t="n">
        <v>75734436200</v>
      </c>
      <c r="AB431" s="30" t="n">
        <v>96826088220</v>
      </c>
      <c r="AC431" s="35" t="n">
        <v>0.009050037665692325</v>
      </c>
      <c r="AD431" s="24" t="inlineStr">
        <is>
          <t>yfinance_download</t>
        </is>
      </c>
      <c r="AE431" s="24" t="inlineStr">
        <is>
          <t>042700.KS</t>
        </is>
      </c>
    </row>
    <row r="432" ht="24" customHeight="1">
      <c r="A432" s="29" t="inlineStr">
        <is>
          <t>2025-03-17</t>
        </is>
      </c>
      <c r="B432" s="31" t="n">
        <v>88700</v>
      </c>
      <c r="C432" s="31" t="n">
        <v>89900</v>
      </c>
      <c r="D432" s="31" t="n">
        <v>87100</v>
      </c>
      <c r="E432" s="31" t="n">
        <v>87100</v>
      </c>
      <c r="F432" s="31" t="n">
        <v>86830.9609375</v>
      </c>
      <c r="G432" s="31" t="n">
        <v>804864</v>
      </c>
      <c r="H432" s="36" t="n">
        <v>-0.007972665148063829</v>
      </c>
      <c r="I432" s="36" t="n">
        <v>-0.5391534391534392</v>
      </c>
      <c r="J432" s="31" t="n">
        <v>95040</v>
      </c>
      <c r="K432" s="31" t="n">
        <v>98491.66666666667</v>
      </c>
      <c r="L432" s="31" t="n">
        <v>95859.16666666667</v>
      </c>
      <c r="M432" s="36" t="n">
        <v>0.5324037630092919</v>
      </c>
      <c r="N432" s="36" t="n">
        <v>0.6798683598619342</v>
      </c>
      <c r="O432" s="36" t="n">
        <v>-0.1333333333333333</v>
      </c>
      <c r="P432" s="36" t="n">
        <v>0.07663782447466017</v>
      </c>
      <c r="Q432" s="36" t="n">
        <v>-0.09647302904564314</v>
      </c>
      <c r="R432" s="36" t="n">
        <v>-0.08354377104377109</v>
      </c>
      <c r="S432" s="36" t="n">
        <v>-0.115661223453761</v>
      </c>
      <c r="T432" s="36" t="n">
        <v>-0.09137536837895877</v>
      </c>
      <c r="U432" s="31" t="n">
        <v>189000</v>
      </c>
      <c r="V432" s="31" t="n">
        <v>70100</v>
      </c>
      <c r="W432" s="36" t="n">
        <v>-0.5391534391534392</v>
      </c>
      <c r="X432" s="36" t="n">
        <v>0.2425106990014265</v>
      </c>
      <c r="Y432" s="31" t="n">
        <v>95312200</v>
      </c>
      <c r="Z432" s="31" t="n">
        <v>8301692620000</v>
      </c>
      <c r="AA432" s="31" t="n">
        <v>70103654400</v>
      </c>
      <c r="AB432" s="31" t="n">
        <v>96021353565</v>
      </c>
      <c r="AC432" s="36" t="n">
        <v>0.008444501333512393</v>
      </c>
      <c r="AD432" s="29" t="inlineStr">
        <is>
          <t>yfinance_download</t>
        </is>
      </c>
      <c r="AE432" s="29" t="inlineStr">
        <is>
          <t>042700.KS</t>
        </is>
      </c>
    </row>
    <row r="433" ht="24" customHeight="1">
      <c r="A433" s="24" t="inlineStr">
        <is>
          <t>2025-03-18</t>
        </is>
      </c>
      <c r="B433" s="30" t="n">
        <v>87600</v>
      </c>
      <c r="C433" s="30" t="n">
        <v>91800</v>
      </c>
      <c r="D433" s="30" t="n">
        <v>87600</v>
      </c>
      <c r="E433" s="30" t="n">
        <v>88400</v>
      </c>
      <c r="F433" s="30" t="n">
        <v>88126.9453125</v>
      </c>
      <c r="G433" s="30" t="n">
        <v>1080731</v>
      </c>
      <c r="H433" s="35" t="n">
        <v>0.0149253731343284</v>
      </c>
      <c r="I433" s="35" t="n">
        <v>-0.5322751322751322</v>
      </c>
      <c r="J433" s="30" t="n">
        <v>94415</v>
      </c>
      <c r="K433" s="30" t="n">
        <v>98568.33333333333</v>
      </c>
      <c r="L433" s="30" t="n">
        <v>95793.33333333333</v>
      </c>
      <c r="M433" s="35" t="n">
        <v>0.5366894216628237</v>
      </c>
      <c r="N433" s="35" t="n">
        <v>0.6767790459214291</v>
      </c>
      <c r="O433" s="35" t="n">
        <v>-0.1238850346878098</v>
      </c>
      <c r="P433" s="35" t="n">
        <v>0.05489260143198083</v>
      </c>
      <c r="Q433" s="35" t="n">
        <v>-0.08203530633437173</v>
      </c>
      <c r="R433" s="35" t="n">
        <v>-0.06370809723031301</v>
      </c>
      <c r="S433" s="35" t="n">
        <v>-0.1031602441622562</v>
      </c>
      <c r="T433" s="35" t="n">
        <v>-0.07718004036467385</v>
      </c>
      <c r="U433" s="30" t="n">
        <v>189000</v>
      </c>
      <c r="V433" s="30" t="n">
        <v>70100</v>
      </c>
      <c r="W433" s="35" t="n">
        <v>-0.5322751322751322</v>
      </c>
      <c r="X433" s="35" t="n">
        <v>0.261055634807418</v>
      </c>
      <c r="Y433" s="30" t="n">
        <v>95312200</v>
      </c>
      <c r="Z433" s="30" t="n">
        <v>8425598480000</v>
      </c>
      <c r="AA433" s="30" t="n">
        <v>95536620400</v>
      </c>
      <c r="AB433" s="30" t="n">
        <v>96894378720</v>
      </c>
      <c r="AC433" s="35" t="n">
        <v>0.01133885273868403</v>
      </c>
      <c r="AD433" s="24" t="inlineStr">
        <is>
          <t>yfinance_download</t>
        </is>
      </c>
      <c r="AE433" s="24" t="inlineStr">
        <is>
          <t>042700.KS</t>
        </is>
      </c>
    </row>
    <row r="434" ht="24" customHeight="1">
      <c r="A434" s="29" t="inlineStr">
        <is>
          <t>2025-03-19</t>
        </is>
      </c>
      <c r="B434" s="31" t="n">
        <v>88600</v>
      </c>
      <c r="C434" s="31" t="n">
        <v>90700</v>
      </c>
      <c r="D434" s="31" t="n">
        <v>87800</v>
      </c>
      <c r="E434" s="31" t="n">
        <v>88500</v>
      </c>
      <c r="F434" s="31" t="n">
        <v>88226.640625</v>
      </c>
      <c r="G434" s="31" t="n">
        <v>597616</v>
      </c>
      <c r="H434" s="36" t="n">
        <v>0.00113122171945701</v>
      </c>
      <c r="I434" s="36" t="n">
        <v>-0.5317460317460317</v>
      </c>
      <c r="J434" s="31" t="n">
        <v>93920</v>
      </c>
      <c r="K434" s="31" t="n">
        <v>98660</v>
      </c>
      <c r="L434" s="31" t="n">
        <v>95685.83333333333</v>
      </c>
      <c r="M434" s="36" t="n">
        <v>0.5325655264006265</v>
      </c>
      <c r="N434" s="36" t="n">
        <v>0.6763707289832919</v>
      </c>
      <c r="O434" s="36" t="n">
        <v>-0.100609756097561</v>
      </c>
      <c r="P434" s="36" t="n">
        <v>0.06626506024096379</v>
      </c>
      <c r="Q434" s="36" t="n">
        <v>-0.1272189349112426</v>
      </c>
      <c r="R434" s="36" t="n">
        <v>-0.05770868824531517</v>
      </c>
      <c r="S434" s="36" t="n">
        <v>-0.1029799310764241</v>
      </c>
      <c r="T434" s="36" t="n">
        <v>-0.07509819461257761</v>
      </c>
      <c r="U434" s="31" t="n">
        <v>189000</v>
      </c>
      <c r="V434" s="31" t="n">
        <v>70100</v>
      </c>
      <c r="W434" s="36" t="n">
        <v>-0.5317460317460317</v>
      </c>
      <c r="X434" s="36" t="n">
        <v>0.2624821683309557</v>
      </c>
      <c r="Y434" s="31" t="n">
        <v>95312200</v>
      </c>
      <c r="Z434" s="31" t="n">
        <v>8435129700000</v>
      </c>
      <c r="AA434" s="31" t="n">
        <v>52889016000</v>
      </c>
      <c r="AB434" s="31" t="n">
        <v>95278690080</v>
      </c>
      <c r="AC434" s="36" t="n">
        <v>0.006270089243559586</v>
      </c>
      <c r="AD434" s="29" t="inlineStr">
        <is>
          <t>yfinance_download</t>
        </is>
      </c>
      <c r="AE434" s="29" t="inlineStr">
        <is>
          <t>042700.KS</t>
        </is>
      </c>
    </row>
    <row r="435" ht="24" customHeight="1">
      <c r="A435" s="24" t="inlineStr">
        <is>
          <t>2025-03-20</t>
        </is>
      </c>
      <c r="B435" s="30" t="n">
        <v>89600</v>
      </c>
      <c r="C435" s="30" t="n">
        <v>91000</v>
      </c>
      <c r="D435" s="30" t="n">
        <v>88600</v>
      </c>
      <c r="E435" s="30" t="n">
        <v>90400</v>
      </c>
      <c r="F435" s="30" t="n">
        <v>90120.7734375</v>
      </c>
      <c r="G435" s="30" t="n">
        <v>807118</v>
      </c>
      <c r="H435" s="35" t="n">
        <v>0.02146892655367227</v>
      </c>
      <c r="I435" s="35" t="n">
        <v>-0.5216931216931218</v>
      </c>
      <c r="J435" s="30" t="n">
        <v>93090</v>
      </c>
      <c r="K435" s="30" t="n">
        <v>98770</v>
      </c>
      <c r="L435" s="30" t="n">
        <v>95610</v>
      </c>
      <c r="M435" s="35" t="n">
        <v>0.4209791570776093</v>
      </c>
      <c r="N435" s="35" t="n">
        <v>0.6773797521261062</v>
      </c>
      <c r="O435" s="35" t="n">
        <v>-0.1551401869158878</v>
      </c>
      <c r="P435" s="35" t="n">
        <v>0.07875894988066823</v>
      </c>
      <c r="Q435" s="35" t="n">
        <v>-0.09145728643216078</v>
      </c>
      <c r="R435" s="35" t="n">
        <v>-0.02889676656998608</v>
      </c>
      <c r="S435" s="35" t="n">
        <v>-0.0847423306672066</v>
      </c>
      <c r="T435" s="35" t="n">
        <v>-0.05449220792804099</v>
      </c>
      <c r="U435" s="30" t="n">
        <v>189000</v>
      </c>
      <c r="V435" s="30" t="n">
        <v>70100</v>
      </c>
      <c r="W435" s="35" t="n">
        <v>-0.5216931216931218</v>
      </c>
      <c r="X435" s="35" t="n">
        <v>0.289586305278174</v>
      </c>
      <c r="Y435" s="30" t="n">
        <v>95312200</v>
      </c>
      <c r="Z435" s="30" t="n">
        <v>8616222880000</v>
      </c>
      <c r="AA435" s="30" t="n">
        <v>72963467200</v>
      </c>
      <c r="AB435" s="30" t="n">
        <v>77483025540</v>
      </c>
      <c r="AC435" s="35" t="n">
        <v>0.008468149932537493</v>
      </c>
      <c r="AD435" s="24" t="inlineStr">
        <is>
          <t>yfinance_download</t>
        </is>
      </c>
      <c r="AE435" s="24" t="inlineStr">
        <is>
          <t>042700.KS</t>
        </is>
      </c>
    </row>
    <row r="436" ht="24" customHeight="1">
      <c r="A436" s="29" t="inlineStr">
        <is>
          <t>2025-03-21</t>
        </is>
      </c>
      <c r="B436" s="31" t="n">
        <v>91500</v>
      </c>
      <c r="C436" s="31" t="n">
        <v>92500</v>
      </c>
      <c r="D436" s="31" t="n">
        <v>88700</v>
      </c>
      <c r="E436" s="31" t="n">
        <v>90300</v>
      </c>
      <c r="F436" s="31" t="n">
        <v>90021.078125</v>
      </c>
      <c r="G436" s="31" t="n">
        <v>1003828</v>
      </c>
      <c r="H436" s="36" t="n">
        <v>-0.001106194690265516</v>
      </c>
      <c r="I436" s="36" t="n">
        <v>-0.5222222222222221</v>
      </c>
      <c r="J436" s="31" t="n">
        <v>92210</v>
      </c>
      <c r="K436" s="31" t="n">
        <v>98830</v>
      </c>
      <c r="L436" s="31" t="n">
        <v>95560.83333333333</v>
      </c>
      <c r="M436" s="36" t="n">
        <v>0.4173817824396023</v>
      </c>
      <c r="N436" s="36" t="n">
        <v>0.6740135201006303</v>
      </c>
      <c r="O436" s="36" t="n">
        <v>-0.1631139944392956</v>
      </c>
      <c r="P436" s="36" t="n">
        <v>0.04152249134948094</v>
      </c>
      <c r="Q436" s="36" t="n">
        <v>-0.06133056133056136</v>
      </c>
      <c r="R436" s="36" t="n">
        <v>-0.02071358854787986</v>
      </c>
      <c r="S436" s="36" t="n">
        <v>-0.08630982495193762</v>
      </c>
      <c r="T436" s="36" t="n">
        <v>-0.05505219188475052</v>
      </c>
      <c r="U436" s="31" t="n">
        <v>189000</v>
      </c>
      <c r="V436" s="31" t="n">
        <v>70100</v>
      </c>
      <c r="W436" s="36" t="n">
        <v>-0.5222222222222221</v>
      </c>
      <c r="X436" s="36" t="n">
        <v>0.2881597717546363</v>
      </c>
      <c r="Y436" s="31" t="n">
        <v>95312200</v>
      </c>
      <c r="Z436" s="31" t="n">
        <v>8606691660000</v>
      </c>
      <c r="AA436" s="31" t="n">
        <v>90645668400</v>
      </c>
      <c r="AB436" s="31" t="n">
        <v>74608594385</v>
      </c>
      <c r="AC436" s="36" t="n">
        <v>0.010531999051538</v>
      </c>
      <c r="AD436" s="29" t="inlineStr">
        <is>
          <t>yfinance_download</t>
        </is>
      </c>
      <c r="AE436" s="29" t="inlineStr">
        <is>
          <t>042700.KS</t>
        </is>
      </c>
    </row>
    <row r="437" ht="24" customHeight="1">
      <c r="A437" s="24" t="inlineStr">
        <is>
          <t>2025-03-24</t>
        </is>
      </c>
      <c r="B437" s="30" t="n">
        <v>89400</v>
      </c>
      <c r="C437" s="30" t="n">
        <v>89500</v>
      </c>
      <c r="D437" s="30" t="n">
        <v>87000</v>
      </c>
      <c r="E437" s="30" t="n">
        <v>87000</v>
      </c>
      <c r="F437" s="30" t="n">
        <v>86731.2734375</v>
      </c>
      <c r="G437" s="30" t="n">
        <v>426643</v>
      </c>
      <c r="H437" s="35" t="n">
        <v>-0.03654485049833889</v>
      </c>
      <c r="I437" s="35" t="n">
        <v>-0.5396825396825398</v>
      </c>
      <c r="J437" s="30" t="n">
        <v>91265</v>
      </c>
      <c r="K437" s="30" t="n">
        <v>98831.66666666667</v>
      </c>
      <c r="L437" s="30" t="n">
        <v>95450</v>
      </c>
      <c r="M437" s="35" t="n">
        <v>0.427870698528279</v>
      </c>
      <c r="N437" s="35" t="n">
        <v>0.6785128218134096</v>
      </c>
      <c r="O437" s="35" t="n">
        <v>-0.1784702549575071</v>
      </c>
      <c r="P437" s="35" t="n">
        <v>0.00115074798619097</v>
      </c>
      <c r="Q437" s="35" t="n">
        <v>-0.1326021934197408</v>
      </c>
      <c r="R437" s="35" t="n">
        <v>-0.04673204404755382</v>
      </c>
      <c r="S437" s="35" t="n">
        <v>-0.1197153408995093</v>
      </c>
      <c r="T437" s="35" t="n">
        <v>-0.08852802514405445</v>
      </c>
      <c r="U437" s="30" t="n">
        <v>189000</v>
      </c>
      <c r="V437" s="30" t="n">
        <v>70100</v>
      </c>
      <c r="W437" s="35" t="n">
        <v>-0.5396825396825398</v>
      </c>
      <c r="X437" s="35" t="n">
        <v>0.2410841654778888</v>
      </c>
      <c r="Y437" s="30" t="n">
        <v>95312200</v>
      </c>
      <c r="Z437" s="30" t="n">
        <v>8292161400000</v>
      </c>
      <c r="AA437" s="30" t="n">
        <v>37117941000</v>
      </c>
      <c r="AB437" s="30" t="n">
        <v>72794812865</v>
      </c>
      <c r="AC437" s="35" t="n">
        <v>0.004476268515468115</v>
      </c>
      <c r="AD437" s="24" t="inlineStr">
        <is>
          <t>yfinance_download</t>
        </is>
      </c>
      <c r="AE437" s="24" t="inlineStr">
        <is>
          <t>042700.KS</t>
        </is>
      </c>
    </row>
    <row r="438" ht="24" customHeight="1">
      <c r="A438" s="29" t="inlineStr">
        <is>
          <t>2025-03-25</t>
        </is>
      </c>
      <c r="B438" s="31" t="n">
        <v>88500</v>
      </c>
      <c r="C438" s="31" t="n">
        <v>88500</v>
      </c>
      <c r="D438" s="31" t="n">
        <v>84700</v>
      </c>
      <c r="E438" s="31" t="n">
        <v>85200</v>
      </c>
      <c r="F438" s="31" t="n">
        <v>84936.828125</v>
      </c>
      <c r="G438" s="31" t="n">
        <v>344483</v>
      </c>
      <c r="H438" s="36" t="n">
        <v>-0.02068965517241383</v>
      </c>
      <c r="I438" s="36" t="n">
        <v>-0.5492063492063493</v>
      </c>
      <c r="J438" s="31" t="n">
        <v>90480</v>
      </c>
      <c r="K438" s="31" t="n">
        <v>98836.66666666667</v>
      </c>
      <c r="L438" s="31" t="n">
        <v>95315</v>
      </c>
      <c r="M438" s="36" t="n">
        <v>0.4066378191007061</v>
      </c>
      <c r="N438" s="36" t="n">
        <v>0.6781795172520655</v>
      </c>
      <c r="O438" s="36" t="n">
        <v>-0.155599603567889</v>
      </c>
      <c r="P438" s="36" t="n">
        <v>0.003533568904593665</v>
      </c>
      <c r="Q438" s="36" t="n">
        <v>-0.1597633136094675</v>
      </c>
      <c r="R438" s="36" t="n">
        <v>-0.05835543766578244</v>
      </c>
      <c r="S438" s="36" t="n">
        <v>-0.1379717378840511</v>
      </c>
      <c r="T438" s="36" t="n">
        <v>-0.1061218066411372</v>
      </c>
      <c r="U438" s="31" t="n">
        <v>189000</v>
      </c>
      <c r="V438" s="31" t="n">
        <v>70100</v>
      </c>
      <c r="W438" s="36" t="n">
        <v>-0.5492063492063493</v>
      </c>
      <c r="X438" s="36" t="n">
        <v>0.2154065620542083</v>
      </c>
      <c r="Y438" s="31" t="n">
        <v>95312200</v>
      </c>
      <c r="Z438" s="31" t="n">
        <v>8120599440000</v>
      </c>
      <c r="AA438" s="31" t="n">
        <v>29349951600</v>
      </c>
      <c r="AB438" s="31" t="n">
        <v>69150822390</v>
      </c>
      <c r="AC438" s="36" t="n">
        <v>0.003614259244881558</v>
      </c>
      <c r="AD438" s="29" t="inlineStr">
        <is>
          <t>yfinance_download</t>
        </is>
      </c>
      <c r="AE438" s="29" t="inlineStr">
        <is>
          <t>042700.KS</t>
        </is>
      </c>
    </row>
    <row r="439" ht="24" customHeight="1">
      <c r="A439" s="24" t="inlineStr">
        <is>
          <t>2025-03-26</t>
        </is>
      </c>
      <c r="B439" s="30" t="n">
        <v>85200</v>
      </c>
      <c r="C439" s="30" t="n">
        <v>86700</v>
      </c>
      <c r="D439" s="30" t="n">
        <v>84700</v>
      </c>
      <c r="E439" s="30" t="n">
        <v>85000</v>
      </c>
      <c r="F439" s="30" t="n">
        <v>84737.453125</v>
      </c>
      <c r="G439" s="30" t="n">
        <v>249655</v>
      </c>
      <c r="H439" s="35" t="n">
        <v>-0.002347417840375621</v>
      </c>
      <c r="I439" s="35" t="n">
        <v>-0.5502645502645502</v>
      </c>
      <c r="J439" s="30" t="n">
        <v>89720</v>
      </c>
      <c r="K439" s="30" t="n">
        <v>98923.33333333333</v>
      </c>
      <c r="L439" s="30" t="n">
        <v>95143.33333333333</v>
      </c>
      <c r="M439" s="35" t="n">
        <v>0.4071388109736387</v>
      </c>
      <c r="N439" s="35" t="n">
        <v>0.6662145130347542</v>
      </c>
      <c r="O439" s="35" t="n">
        <v>-0.1516966067864272</v>
      </c>
      <c r="P439" s="35" t="n">
        <v>0.06516290726817053</v>
      </c>
      <c r="Q439" s="35" t="n">
        <v>-0.1950757575757576</v>
      </c>
      <c r="R439" s="35" t="n">
        <v>-0.05260811413285782</v>
      </c>
      <c r="S439" s="35" t="n">
        <v>-0.1407487279711561</v>
      </c>
      <c r="T439" s="35" t="n">
        <v>-0.1066110780226325</v>
      </c>
      <c r="U439" s="30" t="n">
        <v>189000</v>
      </c>
      <c r="V439" s="30" t="n">
        <v>70100</v>
      </c>
      <c r="W439" s="35" t="n">
        <v>-0.5502645502645502</v>
      </c>
      <c r="X439" s="35" t="n">
        <v>0.2125534950071326</v>
      </c>
      <c r="Y439" s="30" t="n">
        <v>95312200</v>
      </c>
      <c r="Z439" s="30" t="n">
        <v>8101537000000</v>
      </c>
      <c r="AA439" s="30" t="n">
        <v>21220675000</v>
      </c>
      <c r="AB439" s="30" t="n">
        <v>67737742790</v>
      </c>
      <c r="AC439" s="35" t="n">
        <v>0.00261933939201907</v>
      </c>
      <c r="AD439" s="24" t="inlineStr">
        <is>
          <t>yfinance_download</t>
        </is>
      </c>
      <c r="AE439" s="24" t="inlineStr">
        <is>
          <t>042700.KS</t>
        </is>
      </c>
    </row>
    <row r="440" ht="24" customHeight="1">
      <c r="A440" s="29" t="inlineStr">
        <is>
          <t>2025-03-27</t>
        </is>
      </c>
      <c r="B440" s="31" t="n">
        <v>82900</v>
      </c>
      <c r="C440" s="31" t="n">
        <v>85200</v>
      </c>
      <c r="D440" s="31" t="n">
        <v>79500</v>
      </c>
      <c r="E440" s="31" t="n">
        <v>79900</v>
      </c>
      <c r="F440" s="31" t="n">
        <v>79653.203125</v>
      </c>
      <c r="G440" s="31" t="n">
        <v>702107</v>
      </c>
      <c r="H440" s="36" t="n">
        <v>-0.06000000000000005</v>
      </c>
      <c r="I440" s="36" t="n">
        <v>-0.5772486772486772</v>
      </c>
      <c r="J440" s="31" t="n">
        <v>88695</v>
      </c>
      <c r="K440" s="31" t="n">
        <v>98810</v>
      </c>
      <c r="L440" s="31" t="n">
        <v>94920.83333333333</v>
      </c>
      <c r="M440" s="36" t="n">
        <v>0.4449216101367129</v>
      </c>
      <c r="N440" s="36" t="n">
        <v>0.6543145197157353</v>
      </c>
      <c r="O440" s="36" t="n">
        <v>-0.204183266932271</v>
      </c>
      <c r="P440" s="36" t="n">
        <v>-0.07843137254901966</v>
      </c>
      <c r="Q440" s="36" t="n">
        <v>-0.2504690431519699</v>
      </c>
      <c r="R440" s="36" t="n">
        <v>-0.09916004284345226</v>
      </c>
      <c r="S440" s="36" t="n">
        <v>-0.1913773909523327</v>
      </c>
      <c r="T440" s="36" t="n">
        <v>-0.1582459066766164</v>
      </c>
      <c r="U440" s="31" t="n">
        <v>189000</v>
      </c>
      <c r="V440" s="31" t="n">
        <v>70100</v>
      </c>
      <c r="W440" s="36" t="n">
        <v>-0.5772486772486772</v>
      </c>
      <c r="X440" s="36" t="n">
        <v>0.1398002853067046</v>
      </c>
      <c r="Y440" s="31" t="n">
        <v>95312200</v>
      </c>
      <c r="Z440" s="31" t="n">
        <v>7615444780000</v>
      </c>
      <c r="AA440" s="31" t="n">
        <v>56098349300</v>
      </c>
      <c r="AB440" s="31" t="n">
        <v>66634484835</v>
      </c>
      <c r="AC440" s="36" t="n">
        <v>0.007366391710609974</v>
      </c>
      <c r="AD440" s="29" t="inlineStr">
        <is>
          <t>yfinance_download</t>
        </is>
      </c>
      <c r="AE440" s="29" t="inlineStr">
        <is>
          <t>042700.KS</t>
        </is>
      </c>
    </row>
    <row r="441" ht="24" customHeight="1">
      <c r="A441" s="24" t="inlineStr">
        <is>
          <t>2025-03-28</t>
        </is>
      </c>
      <c r="B441" s="30" t="n">
        <v>78900</v>
      </c>
      <c r="C441" s="30" t="n">
        <v>79400</v>
      </c>
      <c r="D441" s="30" t="n">
        <v>76200</v>
      </c>
      <c r="E441" s="30" t="n">
        <v>76500</v>
      </c>
      <c r="F441" s="30" t="n">
        <v>76263.703125</v>
      </c>
      <c r="G441" s="30" t="n">
        <v>492233</v>
      </c>
      <c r="H441" s="35" t="n">
        <v>-0.04255319148936165</v>
      </c>
      <c r="I441" s="35" t="n">
        <v>-0.5952380952380952</v>
      </c>
      <c r="J441" s="30" t="n">
        <v>87520</v>
      </c>
      <c r="K441" s="30" t="n">
        <v>98673.33333333333</v>
      </c>
      <c r="L441" s="30" t="n">
        <v>94606.66666666667</v>
      </c>
      <c r="M441" s="35" t="n">
        <v>0.4577612815357181</v>
      </c>
      <c r="N441" s="35" t="n">
        <v>0.6583849145257564</v>
      </c>
      <c r="O441" s="35" t="n">
        <v>-0.235</v>
      </c>
      <c r="P441" s="35" t="n">
        <v>-0.09681227863046049</v>
      </c>
      <c r="Q441" s="35" t="n">
        <v>-0.330122591943958</v>
      </c>
      <c r="R441" s="35" t="n">
        <v>-0.1259140767824497</v>
      </c>
      <c r="S441" s="35" t="n">
        <v>-0.2247145463144382</v>
      </c>
      <c r="T441" s="35" t="n">
        <v>-0.1913889084631105</v>
      </c>
      <c r="U441" s="30" t="n">
        <v>189000</v>
      </c>
      <c r="V441" s="30" t="n">
        <v>70100</v>
      </c>
      <c r="W441" s="35" t="n">
        <v>-0.5952380952380952</v>
      </c>
      <c r="X441" s="35" t="n">
        <v>0.09129814550641946</v>
      </c>
      <c r="Y441" s="30" t="n">
        <v>95312200</v>
      </c>
      <c r="Z441" s="30" t="n">
        <v>7291383300000</v>
      </c>
      <c r="AA441" s="30" t="n">
        <v>37655824500</v>
      </c>
      <c r="AB441" s="30" t="n">
        <v>64597796060</v>
      </c>
      <c r="AC441" s="35" t="n">
        <v>0.00516442805852766</v>
      </c>
      <c r="AD441" s="24" t="inlineStr">
        <is>
          <t>yfinance_download</t>
        </is>
      </c>
      <c r="AE441" s="24" t="inlineStr">
        <is>
          <t>042700.KS</t>
        </is>
      </c>
    </row>
    <row r="442" ht="24" customHeight="1">
      <c r="A442" s="29" t="inlineStr">
        <is>
          <t>2025-03-31</t>
        </is>
      </c>
      <c r="B442" s="31" t="n">
        <v>73100</v>
      </c>
      <c r="C442" s="31" t="n">
        <v>74000</v>
      </c>
      <c r="D442" s="31" t="n">
        <v>68000</v>
      </c>
      <c r="E442" s="31" t="n">
        <v>68200</v>
      </c>
      <c r="F442" s="31" t="n">
        <v>67989.34375</v>
      </c>
      <c r="G442" s="31" t="n">
        <v>2451138</v>
      </c>
      <c r="H442" s="36" t="n">
        <v>-0.1084967320261437</v>
      </c>
      <c r="I442" s="36" t="n">
        <v>-0.6391534391534391</v>
      </c>
      <c r="J442" s="31" t="n">
        <v>86255</v>
      </c>
      <c r="K442" s="31" t="n">
        <v>98435</v>
      </c>
      <c r="L442" s="31" t="n">
        <v>94233.33333333333</v>
      </c>
      <c r="M442" s="36" t="n">
        <v>0.5417495094858802</v>
      </c>
      <c r="N442" s="36" t="n">
        <v>0.6926529888163849</v>
      </c>
      <c r="O442" s="36" t="n">
        <v>-0.2705882352941177</v>
      </c>
      <c r="P442" s="36" t="n">
        <v>-0.1733333333333333</v>
      </c>
      <c r="Q442" s="36" t="n">
        <v>-0.3964601769911504</v>
      </c>
      <c r="R442" s="36" t="n">
        <v>-0.2093211987710857</v>
      </c>
      <c r="S442" s="36" t="n">
        <v>-0.3071570071620866</v>
      </c>
      <c r="T442" s="36" t="n">
        <v>-0.2762645914396887</v>
      </c>
      <c r="U442" s="31" t="n">
        <v>189000</v>
      </c>
      <c r="V442" s="31" t="n">
        <v>68200</v>
      </c>
      <c r="W442" s="36" t="n">
        <v>-0.6391534391534391</v>
      </c>
      <c r="X442" s="36" t="n">
        <v>0</v>
      </c>
      <c r="Y442" s="31" t="n">
        <v>95312200</v>
      </c>
      <c r="Z442" s="31" t="n">
        <v>6500292040000</v>
      </c>
      <c r="AA442" s="31" t="n">
        <v>167167611600</v>
      </c>
      <c r="AB442" s="31" t="n">
        <v>66526172290</v>
      </c>
      <c r="AC442" s="36" t="n">
        <v>0.02571693865003641</v>
      </c>
      <c r="AD442" s="29" t="inlineStr">
        <is>
          <t>yfinance_download</t>
        </is>
      </c>
      <c r="AE442" s="29" t="inlineStr">
        <is>
          <t>042700.KS</t>
        </is>
      </c>
    </row>
    <row r="443" ht="24" customHeight="1">
      <c r="A443" s="24" t="inlineStr">
        <is>
          <t>2025-04-01</t>
        </is>
      </c>
      <c r="B443" s="30" t="n">
        <v>68900</v>
      </c>
      <c r="C443" s="30" t="n">
        <v>70300</v>
      </c>
      <c r="D443" s="30" t="n">
        <v>67500</v>
      </c>
      <c r="E443" s="30" t="n">
        <v>69700</v>
      </c>
      <c r="F443" s="30" t="n">
        <v>69484.7109375</v>
      </c>
      <c r="G443" s="30" t="n">
        <v>672781</v>
      </c>
      <c r="H443" s="35" t="n">
        <v>0.02199413489736068</v>
      </c>
      <c r="I443" s="35" t="n">
        <v>-0.6312169312169312</v>
      </c>
      <c r="J443" s="30" t="n">
        <v>85230</v>
      </c>
      <c r="K443" s="30" t="n">
        <v>98210</v>
      </c>
      <c r="L443" s="30" t="n">
        <v>93911.66666666667</v>
      </c>
      <c r="M443" s="35" t="n">
        <v>0.5514757380408555</v>
      </c>
      <c r="N443" s="35" t="n">
        <v>0.6940988181862245</v>
      </c>
      <c r="O443" s="35" t="n">
        <v>-0.2272727272727273</v>
      </c>
      <c r="P443" s="35" t="n">
        <v>-0.1622596153846154</v>
      </c>
      <c r="Q443" s="35" t="n">
        <v>-0.3564173591874423</v>
      </c>
      <c r="R443" s="35" t="n">
        <v>-0.1822128358559193</v>
      </c>
      <c r="S443" s="35" t="n">
        <v>-0.290296303838713</v>
      </c>
      <c r="T443" s="35" t="n">
        <v>-0.2578131932489751</v>
      </c>
      <c r="U443" s="30" t="n">
        <v>189000</v>
      </c>
      <c r="V443" s="30" t="n">
        <v>68200</v>
      </c>
      <c r="W443" s="35" t="n">
        <v>-0.6312169312169312</v>
      </c>
      <c r="X443" s="35" t="n">
        <v>0.02199413489736068</v>
      </c>
      <c r="Y443" s="30" t="n">
        <v>95312200</v>
      </c>
      <c r="Z443" s="30" t="n">
        <v>6643260340000</v>
      </c>
      <c r="AA443" s="30" t="n">
        <v>46892835700</v>
      </c>
      <c r="AB443" s="30" t="n">
        <v>65298957215</v>
      </c>
      <c r="AC443" s="35" t="n">
        <v>0.007058708119212441</v>
      </c>
      <c r="AD443" s="24" t="inlineStr">
        <is>
          <t>yfinance_download</t>
        </is>
      </c>
      <c r="AE443" s="24" t="inlineStr">
        <is>
          <t>042700.KS</t>
        </is>
      </c>
    </row>
    <row r="444" ht="24" customHeight="1">
      <c r="A444" s="29" t="inlineStr">
        <is>
          <t>2025-04-02</t>
        </is>
      </c>
      <c r="B444" s="31" t="n">
        <v>69800</v>
      </c>
      <c r="C444" s="31" t="n">
        <v>70200</v>
      </c>
      <c r="D444" s="31" t="n">
        <v>66900</v>
      </c>
      <c r="E444" s="31" t="n">
        <v>67000</v>
      </c>
      <c r="F444" s="31" t="n">
        <v>66793.046875</v>
      </c>
      <c r="G444" s="31" t="n">
        <v>863173</v>
      </c>
      <c r="H444" s="36" t="n">
        <v>-0.03873744619799135</v>
      </c>
      <c r="I444" s="36" t="n">
        <v>-0.6455026455026456</v>
      </c>
      <c r="J444" s="31" t="n">
        <v>84030</v>
      </c>
      <c r="K444" s="31" t="n">
        <v>97951.66666666667</v>
      </c>
      <c r="L444" s="31" t="n">
        <v>93570.83333333333</v>
      </c>
      <c r="M444" s="36" t="n">
        <v>0.5532238155995124</v>
      </c>
      <c r="N444" s="36" t="n">
        <v>0.6980622154050489</v>
      </c>
      <c r="O444" s="36" t="n">
        <v>-0.2637362637362637</v>
      </c>
      <c r="P444" s="36" t="n">
        <v>-0.1878787878787879</v>
      </c>
      <c r="Q444" s="36" t="n">
        <v>-0.3790546802594995</v>
      </c>
      <c r="R444" s="36" t="n">
        <v>-0.2026657146257289</v>
      </c>
      <c r="S444" s="36" t="n">
        <v>-0.3159891783362543</v>
      </c>
      <c r="T444" s="36" t="n">
        <v>-0.2839649107182616</v>
      </c>
      <c r="U444" s="31" t="n">
        <v>189000</v>
      </c>
      <c r="V444" s="31" t="n">
        <v>67000</v>
      </c>
      <c r="W444" s="36" t="n">
        <v>-0.6455026455026456</v>
      </c>
      <c r="X444" s="36" t="n">
        <v>0</v>
      </c>
      <c r="Y444" s="31" t="n">
        <v>95312200</v>
      </c>
      <c r="Z444" s="31" t="n">
        <v>6385917400000</v>
      </c>
      <c r="AA444" s="31" t="n">
        <v>57832591000</v>
      </c>
      <c r="AB444" s="31" t="n">
        <v>65153270665</v>
      </c>
      <c r="AC444" s="36" t="n">
        <v>0.009056269816455815</v>
      </c>
      <c r="AD444" s="29" t="inlineStr">
        <is>
          <t>yfinance_download</t>
        </is>
      </c>
      <c r="AE444" s="29" t="inlineStr">
        <is>
          <t>042700.KS</t>
        </is>
      </c>
    </row>
    <row r="445" ht="24" customHeight="1">
      <c r="A445" s="24" t="inlineStr">
        <is>
          <t>2025-04-03</t>
        </is>
      </c>
      <c r="B445" s="30" t="n">
        <v>63500</v>
      </c>
      <c r="C445" s="30" t="n">
        <v>67300</v>
      </c>
      <c r="D445" s="30" t="n">
        <v>63400</v>
      </c>
      <c r="E445" s="30" t="n">
        <v>67200</v>
      </c>
      <c r="F445" s="30" t="n">
        <v>66992.4296875</v>
      </c>
      <c r="G445" s="30" t="n">
        <v>477399</v>
      </c>
      <c r="H445" s="35" t="n">
        <v>0.002985074626865591</v>
      </c>
      <c r="I445" s="35" t="n">
        <v>-0.6444444444444444</v>
      </c>
      <c r="J445" s="30" t="n">
        <v>83025</v>
      </c>
      <c r="K445" s="30" t="n">
        <v>97620</v>
      </c>
      <c r="L445" s="30" t="n">
        <v>93235.83333333333</v>
      </c>
      <c r="M445" s="35" t="n">
        <v>0.5476150909872494</v>
      </c>
      <c r="N445" s="35" t="n">
        <v>0.6875409268018871</v>
      </c>
      <c r="O445" s="35" t="n">
        <v>-0.2302405498281787</v>
      </c>
      <c r="P445" s="35" t="n">
        <v>-0.2284730195177956</v>
      </c>
      <c r="Q445" s="35" t="n">
        <v>-0.3743016759776536</v>
      </c>
      <c r="R445" s="35" t="n">
        <v>-0.1906052393857272</v>
      </c>
      <c r="S445" s="35" t="n">
        <v>-0.3116164720344192</v>
      </c>
      <c r="T445" s="35" t="n">
        <v>-0.279247070600538</v>
      </c>
      <c r="U445" s="30" t="n">
        <v>189000</v>
      </c>
      <c r="V445" s="30" t="n">
        <v>67000</v>
      </c>
      <c r="W445" s="35" t="n">
        <v>-0.6444444444444444</v>
      </c>
      <c r="X445" s="35" t="n">
        <v>0.002985074626865591</v>
      </c>
      <c r="Y445" s="30" t="n">
        <v>95312200</v>
      </c>
      <c r="Z445" s="30" t="n">
        <v>6404979840000</v>
      </c>
      <c r="AA445" s="30" t="n">
        <v>32081212800</v>
      </c>
      <c r="AB445" s="30" t="n">
        <v>62896078495</v>
      </c>
      <c r="AC445" s="35" t="n">
        <v>0.005008792158821222</v>
      </c>
      <c r="AD445" s="24" t="inlineStr">
        <is>
          <t>yfinance_download</t>
        </is>
      </c>
      <c r="AE445" s="24" t="inlineStr">
        <is>
          <t>042700.KS</t>
        </is>
      </c>
    </row>
    <row r="446" ht="24" customHeight="1">
      <c r="A446" s="29" t="inlineStr">
        <is>
          <t>2025-04-04</t>
        </is>
      </c>
      <c r="B446" s="31" t="n">
        <v>64900</v>
      </c>
      <c r="C446" s="31" t="n">
        <v>69200</v>
      </c>
      <c r="D446" s="31" t="n">
        <v>64000</v>
      </c>
      <c r="E446" s="31" t="n">
        <v>65500</v>
      </c>
      <c r="F446" s="31" t="n">
        <v>65297.6796875</v>
      </c>
      <c r="G446" s="31" t="n">
        <v>1272733</v>
      </c>
      <c r="H446" s="36" t="n">
        <v>-0.02529761904761907</v>
      </c>
      <c r="I446" s="36" t="n">
        <v>-0.6534391534391535</v>
      </c>
      <c r="J446" s="31" t="n">
        <v>81930</v>
      </c>
      <c r="K446" s="31" t="n">
        <v>97156.66666666667</v>
      </c>
      <c r="L446" s="31" t="n">
        <v>92858.33333333333</v>
      </c>
      <c r="M446" s="36" t="n">
        <v>0.5469756166352979</v>
      </c>
      <c r="N446" s="36" t="n">
        <v>0.6710688524483108</v>
      </c>
      <c r="O446" s="36" t="n">
        <v>-0.2505720823798627</v>
      </c>
      <c r="P446" s="36" t="n">
        <v>-0.2979635584137191</v>
      </c>
      <c r="Q446" s="36" t="n">
        <v>-0.4088447653429603</v>
      </c>
      <c r="R446" s="36" t="n">
        <v>-0.2005370438178933</v>
      </c>
      <c r="S446" s="36" t="n">
        <v>-0.3258311318489039</v>
      </c>
      <c r="T446" s="36" t="n">
        <v>-0.2946244278919501</v>
      </c>
      <c r="U446" s="31" t="n">
        <v>189000</v>
      </c>
      <c r="V446" s="31" t="n">
        <v>65500</v>
      </c>
      <c r="W446" s="36" t="n">
        <v>-0.6534391534391535</v>
      </c>
      <c r="X446" s="36" t="n">
        <v>0</v>
      </c>
      <c r="Y446" s="31" t="n">
        <v>95312200</v>
      </c>
      <c r="Z446" s="31" t="n">
        <v>6242949100000</v>
      </c>
      <c r="AA446" s="31" t="n">
        <v>83364011500</v>
      </c>
      <c r="AB446" s="31" t="n">
        <v>64143751260</v>
      </c>
      <c r="AC446" s="36" t="n">
        <v>0.0133533062923739</v>
      </c>
      <c r="AD446" s="29" t="inlineStr">
        <is>
          <t>yfinance_download</t>
        </is>
      </c>
      <c r="AE446" s="29" t="inlineStr">
        <is>
          <t>042700.KS</t>
        </is>
      </c>
    </row>
    <row r="447" ht="24" customHeight="1">
      <c r="A447" s="24" t="inlineStr">
        <is>
          <t>2025-04-07</t>
        </is>
      </c>
      <c r="B447" s="30" t="n">
        <v>61900</v>
      </c>
      <c r="C447" s="30" t="n">
        <v>62400</v>
      </c>
      <c r="D447" s="30" t="n">
        <v>60000</v>
      </c>
      <c r="E447" s="30" t="n">
        <v>60200</v>
      </c>
      <c r="F447" s="30" t="n">
        <v>60014.05078125</v>
      </c>
      <c r="G447" s="30" t="n">
        <v>983431</v>
      </c>
      <c r="H447" s="35" t="n">
        <v>-0.08091603053435115</v>
      </c>
      <c r="I447" s="35" t="n">
        <v>-0.6814814814814815</v>
      </c>
      <c r="J447" s="30" t="n">
        <v>80570</v>
      </c>
      <c r="K447" s="30" t="n">
        <v>96501.66666666667</v>
      </c>
      <c r="L447" s="30" t="n">
        <v>92465</v>
      </c>
      <c r="M447" s="35" t="n">
        <v>0.5934632719996084</v>
      </c>
      <c r="N447" s="35" t="n">
        <v>0.6719955924830248</v>
      </c>
      <c r="O447" s="35" t="n">
        <v>-0.3112128146453089</v>
      </c>
      <c r="P447" s="35" t="n">
        <v>-0.3949748743718593</v>
      </c>
      <c r="Q447" s="35" t="n">
        <v>-0.4394785847299814</v>
      </c>
      <c r="R447" s="35" t="n">
        <v>-0.2528236316246742</v>
      </c>
      <c r="S447" s="35" t="n">
        <v>-0.3761765772611873</v>
      </c>
      <c r="T447" s="35" t="n">
        <v>-0.348942843237982</v>
      </c>
      <c r="U447" s="30" t="n">
        <v>189000</v>
      </c>
      <c r="V447" s="30" t="n">
        <v>60200</v>
      </c>
      <c r="W447" s="35" t="n">
        <v>-0.6814814814814815</v>
      </c>
      <c r="X447" s="35" t="n">
        <v>0</v>
      </c>
      <c r="Y447" s="30" t="n">
        <v>95312200</v>
      </c>
      <c r="Z447" s="30" t="n">
        <v>5737794440000</v>
      </c>
      <c r="AA447" s="30" t="n">
        <v>59202546200</v>
      </c>
      <c r="AB447" s="30" t="n">
        <v>64944635350</v>
      </c>
      <c r="AC447" s="35" t="n">
        <v>0.01031799706648257</v>
      </c>
      <c r="AD447" s="24" t="inlineStr">
        <is>
          <t>yfinance_download</t>
        </is>
      </c>
      <c r="AE447" s="24" t="inlineStr">
        <is>
          <t>042700.KS</t>
        </is>
      </c>
    </row>
    <row r="448" ht="24" customHeight="1">
      <c r="A448" s="29" t="inlineStr">
        <is>
          <t>2025-04-08</t>
        </is>
      </c>
      <c r="B448" s="31" t="n">
        <v>62600</v>
      </c>
      <c r="C448" s="31" t="n">
        <v>63000</v>
      </c>
      <c r="D448" s="31" t="n">
        <v>60500</v>
      </c>
      <c r="E448" s="31" t="n">
        <v>61200</v>
      </c>
      <c r="F448" s="31" t="n">
        <v>61010.96484375</v>
      </c>
      <c r="G448" s="31" t="n">
        <v>489343</v>
      </c>
      <c r="H448" s="36" t="n">
        <v>0.01661129568106312</v>
      </c>
      <c r="I448" s="36" t="n">
        <v>-0.6761904761904762</v>
      </c>
      <c r="J448" s="31" t="n">
        <v>79325</v>
      </c>
      <c r="K448" s="31" t="n">
        <v>95833.33333333333</v>
      </c>
      <c r="L448" s="31" t="n">
        <v>92052.5</v>
      </c>
      <c r="M448" s="36" t="n">
        <v>0.6059018959592691</v>
      </c>
      <c r="N448" s="36" t="n">
        <v>0.6717620716314389</v>
      </c>
      <c r="O448" s="36" t="n">
        <v>-0.289198606271777</v>
      </c>
      <c r="P448" s="36" t="n">
        <v>-0.3958538993089832</v>
      </c>
      <c r="Q448" s="36" t="n">
        <v>-0.4471544715447154</v>
      </c>
      <c r="R448" s="36" t="n">
        <v>-0.2284903876457611</v>
      </c>
      <c r="S448" s="36" t="n">
        <v>-0.3613913043478261</v>
      </c>
      <c r="T448" s="36" t="n">
        <v>-0.3351619999456832</v>
      </c>
      <c r="U448" s="31" t="n">
        <v>189000</v>
      </c>
      <c r="V448" s="31" t="n">
        <v>60200</v>
      </c>
      <c r="W448" s="36" t="n">
        <v>-0.6761904761904762</v>
      </c>
      <c r="X448" s="36" t="n">
        <v>0.01661129568106312</v>
      </c>
      <c r="Y448" s="31" t="n">
        <v>95312200</v>
      </c>
      <c r="Z448" s="31" t="n">
        <v>5833106640000</v>
      </c>
      <c r="AA448" s="31" t="n">
        <v>29947791600</v>
      </c>
      <c r="AB448" s="31" t="n">
        <v>63581593510</v>
      </c>
      <c r="AC448" s="36" t="n">
        <v>0.005134106651614379</v>
      </c>
      <c r="AD448" s="29" t="inlineStr">
        <is>
          <t>yfinance_download</t>
        </is>
      </c>
      <c r="AE448" s="29" t="inlineStr">
        <is>
          <t>042700.KS</t>
        </is>
      </c>
    </row>
    <row r="449" ht="24" customHeight="1">
      <c r="A449" s="24" t="inlineStr">
        <is>
          <t>2025-04-09</t>
        </is>
      </c>
      <c r="B449" s="30" t="n">
        <v>59600</v>
      </c>
      <c r="C449" s="30" t="n">
        <v>60700</v>
      </c>
      <c r="D449" s="30" t="n">
        <v>58200</v>
      </c>
      <c r="E449" s="30" t="n">
        <v>61200</v>
      </c>
      <c r="F449" s="30" t="n">
        <v>61010.96484375</v>
      </c>
      <c r="G449" s="30" t="n">
        <v>973664</v>
      </c>
      <c r="H449" s="35" t="n">
        <v>0</v>
      </c>
      <c r="I449" s="35" t="n">
        <v>-0.6761904761904762</v>
      </c>
      <c r="J449" s="30" t="n">
        <v>77865</v>
      </c>
      <c r="K449" s="30" t="n">
        <v>94923.33333333333</v>
      </c>
      <c r="L449" s="30" t="n">
        <v>91650</v>
      </c>
      <c r="M449" s="35" t="n">
        <v>0.5575948994459459</v>
      </c>
      <c r="N449" s="35" t="n">
        <v>0.594246237081508</v>
      </c>
      <c r="O449" s="35" t="n">
        <v>-0.3230088495575221</v>
      </c>
      <c r="P449" s="35" t="n">
        <v>-0.4715025906735751</v>
      </c>
      <c r="Q449" s="35" t="n">
        <v>-0.4410958904109589</v>
      </c>
      <c r="R449" s="35" t="n">
        <v>-0.2140242727798112</v>
      </c>
      <c r="S449" s="35" t="n">
        <v>-0.3552691645889665</v>
      </c>
      <c r="T449" s="35" t="n">
        <v>-0.3322422258592471</v>
      </c>
      <c r="U449" s="30" t="n">
        <v>189000</v>
      </c>
      <c r="V449" s="30" t="n">
        <v>60200</v>
      </c>
      <c r="W449" s="35" t="n">
        <v>-0.6761904761904762</v>
      </c>
      <c r="X449" s="35" t="n">
        <v>0.01661129568106312</v>
      </c>
      <c r="Y449" s="30" t="n">
        <v>95312200</v>
      </c>
      <c r="Z449" s="30" t="n">
        <v>5833106640000</v>
      </c>
      <c r="AA449" s="30" t="n">
        <v>59588236800</v>
      </c>
      <c r="AB449" s="30" t="n">
        <v>63177166110</v>
      </c>
      <c r="AC449" s="35" t="n">
        <v>0.01021552330131924</v>
      </c>
      <c r="AD449" s="24" t="inlineStr">
        <is>
          <t>yfinance_download</t>
        </is>
      </c>
      <c r="AE449" s="24" t="inlineStr">
        <is>
          <t>042700.KS</t>
        </is>
      </c>
    </row>
    <row r="450" ht="24" customHeight="1">
      <c r="A450" s="29" t="inlineStr">
        <is>
          <t>2025-04-10</t>
        </is>
      </c>
      <c r="B450" s="31" t="n">
        <v>68700</v>
      </c>
      <c r="C450" s="31" t="n">
        <v>69100</v>
      </c>
      <c r="D450" s="31" t="n">
        <v>63700</v>
      </c>
      <c r="E450" s="31" t="n">
        <v>65800</v>
      </c>
      <c r="F450" s="31" t="n">
        <v>65596.7578125</v>
      </c>
      <c r="G450" s="31" t="n">
        <v>1677607</v>
      </c>
      <c r="H450" s="36" t="n">
        <v>0.07516339869281041</v>
      </c>
      <c r="I450" s="36" t="n">
        <v>-0.6518518518518519</v>
      </c>
      <c r="J450" s="31" t="n">
        <v>76605</v>
      </c>
      <c r="K450" s="31" t="n">
        <v>94095</v>
      </c>
      <c r="L450" s="31" t="n">
        <v>91285.83333333333</v>
      </c>
      <c r="M450" s="36" t="n">
        <v>0.6450914527662179</v>
      </c>
      <c r="N450" s="36" t="n">
        <v>0.6191632455190204</v>
      </c>
      <c r="O450" s="36" t="n">
        <v>-0.2769230769230769</v>
      </c>
      <c r="P450" s="36" t="n">
        <v>-0.4303030303030303</v>
      </c>
      <c r="Q450" s="36" t="n">
        <v>-0.3990867579908676</v>
      </c>
      <c r="R450" s="36" t="n">
        <v>-0.1410482344494485</v>
      </c>
      <c r="S450" s="36" t="n">
        <v>-0.3007067325575217</v>
      </c>
      <c r="T450" s="36" t="n">
        <v>-0.2791871685091699</v>
      </c>
      <c r="U450" s="31" t="n">
        <v>189000</v>
      </c>
      <c r="V450" s="31" t="n">
        <v>60200</v>
      </c>
      <c r="W450" s="36" t="n">
        <v>-0.6518518518518519</v>
      </c>
      <c r="X450" s="36" t="n">
        <v>0.09302325581395343</v>
      </c>
      <c r="Y450" s="31" t="n">
        <v>95312200</v>
      </c>
      <c r="Z450" s="31" t="n">
        <v>6271542760000</v>
      </c>
      <c r="AA450" s="31" t="n">
        <v>110386540600</v>
      </c>
      <c r="AB450" s="31" t="n">
        <v>64288949090</v>
      </c>
      <c r="AC450" s="36" t="n">
        <v>0.01760117802338001</v>
      </c>
      <c r="AD450" s="29" t="inlineStr">
        <is>
          <t>yfinance_download</t>
        </is>
      </c>
      <c r="AE450" s="29" t="inlineStr">
        <is>
          <t>042700.KS</t>
        </is>
      </c>
    </row>
    <row r="451" ht="24" customHeight="1">
      <c r="A451" s="24" t="inlineStr">
        <is>
          <t>2025-04-11</t>
        </is>
      </c>
      <c r="B451" s="30" t="n">
        <v>63700</v>
      </c>
      <c r="C451" s="30" t="n">
        <v>72300</v>
      </c>
      <c r="D451" s="30" t="n">
        <v>62200</v>
      </c>
      <c r="E451" s="30" t="n">
        <v>68700</v>
      </c>
      <c r="F451" s="30" t="n">
        <v>68487.796875</v>
      </c>
      <c r="G451" s="30" t="n">
        <v>2876987</v>
      </c>
      <c r="H451" s="35" t="n">
        <v>0.04407294832826758</v>
      </c>
      <c r="I451" s="35" t="n">
        <v>-0.6365079365079365</v>
      </c>
      <c r="J451" s="30" t="n">
        <v>75650</v>
      </c>
      <c r="K451" s="30" t="n">
        <v>93358.33333333333</v>
      </c>
      <c r="L451" s="30" t="n">
        <v>90925</v>
      </c>
      <c r="M451" s="35" t="n">
        <v>0.6733887886065875</v>
      </c>
      <c r="N451" s="35" t="n">
        <v>0.6277443543553181</v>
      </c>
      <c r="O451" s="35" t="n">
        <v>-0.2175398633257403</v>
      </c>
      <c r="P451" s="35" t="n">
        <v>-0.391496899911426</v>
      </c>
      <c r="Q451" s="35" t="n">
        <v>-0.3866071428571428</v>
      </c>
      <c r="R451" s="35" t="n">
        <v>-0.09187045604758759</v>
      </c>
      <c r="S451" s="35" t="n">
        <v>-0.2641256806212621</v>
      </c>
      <c r="T451" s="35" t="n">
        <v>-0.2444322243607369</v>
      </c>
      <c r="U451" s="30" t="n">
        <v>189000</v>
      </c>
      <c r="V451" s="30" t="n">
        <v>60200</v>
      </c>
      <c r="W451" s="35" t="n">
        <v>-0.6365079365079365</v>
      </c>
      <c r="X451" s="35" t="n">
        <v>0.1411960132890366</v>
      </c>
      <c r="Y451" s="30" t="n">
        <v>95312200</v>
      </c>
      <c r="Z451" s="30" t="n">
        <v>6547948140000</v>
      </c>
      <c r="AA451" s="30" t="n">
        <v>197649006900</v>
      </c>
      <c r="AB451" s="30" t="n">
        <v>70384677625</v>
      </c>
      <c r="AC451" s="35" t="n">
        <v>0.0301848766474806</v>
      </c>
      <c r="AD451" s="24" t="inlineStr">
        <is>
          <t>yfinance_download</t>
        </is>
      </c>
      <c r="AE451" s="24" t="inlineStr">
        <is>
          <t>042700.KS</t>
        </is>
      </c>
    </row>
    <row r="452" ht="24" customHeight="1">
      <c r="A452" s="29" t="inlineStr">
        <is>
          <t>2025-04-14</t>
        </is>
      </c>
      <c r="B452" s="31" t="n">
        <v>71200</v>
      </c>
      <c r="C452" s="31" t="n">
        <v>72300</v>
      </c>
      <c r="D452" s="31" t="n">
        <v>67300</v>
      </c>
      <c r="E452" s="31" t="n">
        <v>67900</v>
      </c>
      <c r="F452" s="31" t="n">
        <v>67690.265625</v>
      </c>
      <c r="G452" s="31" t="n">
        <v>1128610</v>
      </c>
      <c r="H452" s="36" t="n">
        <v>-0.01164483260553129</v>
      </c>
      <c r="I452" s="36" t="n">
        <v>-0.6407407407407407</v>
      </c>
      <c r="J452" s="31" t="n">
        <v>74690</v>
      </c>
      <c r="K452" s="31" t="n">
        <v>92708.33333333333</v>
      </c>
      <c r="L452" s="31" t="n">
        <v>90585</v>
      </c>
      <c r="M452" s="36" t="n">
        <v>0.6732731612133356</v>
      </c>
      <c r="N452" s="36" t="n">
        <v>0.6205695596808876</v>
      </c>
      <c r="O452" s="36" t="n">
        <v>-0.2204362801377727</v>
      </c>
      <c r="P452" s="36" t="n">
        <v>-0.3648269410664172</v>
      </c>
      <c r="Q452" s="36" t="n">
        <v>-0.375344986200552</v>
      </c>
      <c r="R452" s="36" t="n">
        <v>-0.09090909090909094</v>
      </c>
      <c r="S452" s="36" t="n">
        <v>-0.2675955056179775</v>
      </c>
      <c r="T452" s="36" t="n">
        <v>-0.250427775017939</v>
      </c>
      <c r="U452" s="31" t="n">
        <v>189000</v>
      </c>
      <c r="V452" s="31" t="n">
        <v>60200</v>
      </c>
      <c r="W452" s="36" t="n">
        <v>-0.6407407407407407</v>
      </c>
      <c r="X452" s="36" t="n">
        <v>0.1279069767441861</v>
      </c>
      <c r="Y452" s="31" t="n">
        <v>95312200</v>
      </c>
      <c r="Z452" s="31" t="n">
        <v>6471698380000</v>
      </c>
      <c r="AA452" s="31" t="n">
        <v>76632619000</v>
      </c>
      <c r="AB452" s="31" t="n">
        <v>70711125855</v>
      </c>
      <c r="AC452" s="36" t="n">
        <v>0.01184119136899578</v>
      </c>
      <c r="AD452" s="29" t="inlineStr">
        <is>
          <t>yfinance_download</t>
        </is>
      </c>
      <c r="AE452" s="29" t="inlineStr">
        <is>
          <t>042700.KS</t>
        </is>
      </c>
    </row>
    <row r="453" ht="24" customHeight="1">
      <c r="A453" s="24" t="inlineStr">
        <is>
          <t>2025-04-15</t>
        </is>
      </c>
      <c r="B453" s="30" t="n">
        <v>68300</v>
      </c>
      <c r="C453" s="30" t="n">
        <v>69100</v>
      </c>
      <c r="D453" s="30" t="n">
        <v>67500</v>
      </c>
      <c r="E453" s="30" t="n">
        <v>67600</v>
      </c>
      <c r="F453" s="30" t="n">
        <v>67391.1953125</v>
      </c>
      <c r="G453" s="30" t="n">
        <v>561984</v>
      </c>
      <c r="H453" s="35" t="n">
        <v>-0.004418262150220897</v>
      </c>
      <c r="I453" s="35" t="n">
        <v>-0.6423280423280423</v>
      </c>
      <c r="J453" s="30" t="n">
        <v>73650</v>
      </c>
      <c r="K453" s="30" t="n">
        <v>92060</v>
      </c>
      <c r="L453" s="30" t="n">
        <v>90179.16666666667</v>
      </c>
      <c r="M453" s="35" t="n">
        <v>0.6666727659716148</v>
      </c>
      <c r="N453" s="35" t="n">
        <v>0.6205569431914059</v>
      </c>
      <c r="O453" s="35" t="n">
        <v>-0.2352941176470589</v>
      </c>
      <c r="P453" s="35" t="n">
        <v>-0.3652582159624413</v>
      </c>
      <c r="Q453" s="35" t="n">
        <v>-0.4187446259673259</v>
      </c>
      <c r="R453" s="35" t="n">
        <v>-0.08214528173794977</v>
      </c>
      <c r="S453" s="35" t="n">
        <v>-0.2656962850315012</v>
      </c>
      <c r="T453" s="35" t="n">
        <v>-0.2503811856027354</v>
      </c>
      <c r="U453" s="30" t="n">
        <v>189000</v>
      </c>
      <c r="V453" s="30" t="n">
        <v>60200</v>
      </c>
      <c r="W453" s="35" t="n">
        <v>-0.6423280423280423</v>
      </c>
      <c r="X453" s="35" t="n">
        <v>0.1229235880398671</v>
      </c>
      <c r="Y453" s="30" t="n">
        <v>95312200</v>
      </c>
      <c r="Z453" s="30" t="n">
        <v>6443104720000</v>
      </c>
      <c r="AA453" s="30" t="n">
        <v>37990118400</v>
      </c>
      <c r="AB453" s="30" t="n">
        <v>67833800755</v>
      </c>
      <c r="AC453" s="35" t="n">
        <v>0.005896244132440548</v>
      </c>
      <c r="AD453" s="24" t="inlineStr">
        <is>
          <t>yfinance_download</t>
        </is>
      </c>
      <c r="AE453" s="24" t="inlineStr">
        <is>
          <t>042700.KS</t>
        </is>
      </c>
    </row>
    <row r="454" ht="24" customHeight="1">
      <c r="A454" s="29" t="inlineStr">
        <is>
          <t>2025-04-16</t>
        </is>
      </c>
      <c r="B454" s="31" t="n">
        <v>65900</v>
      </c>
      <c r="C454" s="31" t="n">
        <v>66500</v>
      </c>
      <c r="D454" s="31" t="n">
        <v>64200</v>
      </c>
      <c r="E454" s="31" t="n">
        <v>64700</v>
      </c>
      <c r="F454" s="31" t="n">
        <v>64500.15234375</v>
      </c>
      <c r="G454" s="31" t="n">
        <v>669330</v>
      </c>
      <c r="H454" s="36" t="n">
        <v>-0.04289940828402372</v>
      </c>
      <c r="I454" s="36" t="n">
        <v>-0.6576719576719576</v>
      </c>
      <c r="J454" s="31" t="n">
        <v>72460</v>
      </c>
      <c r="K454" s="31" t="n">
        <v>91381.66666666667</v>
      </c>
      <c r="L454" s="31" t="n">
        <v>89850</v>
      </c>
      <c r="M454" s="36" t="n">
        <v>0.673051776088721</v>
      </c>
      <c r="N454" s="36" t="n">
        <v>0.624923627646507</v>
      </c>
      <c r="O454" s="36" t="n">
        <v>-0.2689265536723164</v>
      </c>
      <c r="P454" s="36" t="n">
        <v>-0.3861480075901328</v>
      </c>
      <c r="Q454" s="36" t="n">
        <v>-0.3790786948176583</v>
      </c>
      <c r="R454" s="36" t="n">
        <v>-0.107093568865581</v>
      </c>
      <c r="S454" s="36" t="n">
        <v>-0.291980521256999</v>
      </c>
      <c r="T454" s="36" t="n">
        <v>-0.2799109627156372</v>
      </c>
      <c r="U454" s="31" t="n">
        <v>189000</v>
      </c>
      <c r="V454" s="31" t="n">
        <v>60200</v>
      </c>
      <c r="W454" s="36" t="n">
        <v>-0.6576719576719576</v>
      </c>
      <c r="X454" s="36" t="n">
        <v>0.07475083056478415</v>
      </c>
      <c r="Y454" s="31" t="n">
        <v>95312200</v>
      </c>
      <c r="Z454" s="31" t="n">
        <v>6166699340000</v>
      </c>
      <c r="AA454" s="31" t="n">
        <v>43305651000</v>
      </c>
      <c r="AB454" s="31" t="n">
        <v>67354632505</v>
      </c>
      <c r="AC454" s="36" t="n">
        <v>0.007022500792133641</v>
      </c>
      <c r="AD454" s="29" t="inlineStr">
        <is>
          <t>yfinance_download</t>
        </is>
      </c>
      <c r="AE454" s="29" t="inlineStr">
        <is>
          <t>042700.KS</t>
        </is>
      </c>
    </row>
    <row r="455" ht="24" customHeight="1">
      <c r="A455" s="24" t="inlineStr">
        <is>
          <t>2025-04-17</t>
        </is>
      </c>
      <c r="B455" s="30" t="n">
        <v>63500</v>
      </c>
      <c r="C455" s="30" t="n">
        <v>72300</v>
      </c>
      <c r="D455" s="30" t="n">
        <v>63500</v>
      </c>
      <c r="E455" s="30" t="n">
        <v>68000</v>
      </c>
      <c r="F455" s="30" t="n">
        <v>67789.9609375</v>
      </c>
      <c r="G455" s="30" t="n">
        <v>2138903</v>
      </c>
      <c r="H455" s="35" t="n">
        <v>0.05100463678516221</v>
      </c>
      <c r="I455" s="35" t="n">
        <v>-0.6402116402116402</v>
      </c>
      <c r="J455" s="30" t="n">
        <v>71340</v>
      </c>
      <c r="K455" s="30" t="n">
        <v>90740</v>
      </c>
      <c r="L455" s="30" t="n">
        <v>89570.83333333333</v>
      </c>
      <c r="M455" s="35" t="n">
        <v>0.7016427661827548</v>
      </c>
      <c r="N455" s="35" t="n">
        <v>0.6352964991644546</v>
      </c>
      <c r="O455" s="35" t="n">
        <v>-0.2477876106194691</v>
      </c>
      <c r="P455" s="35" t="n">
        <v>-0.3615023474178404</v>
      </c>
      <c r="Q455" s="35" t="n">
        <v>-0.3300492610837439</v>
      </c>
      <c r="R455" s="35" t="n">
        <v>-0.04681805438744047</v>
      </c>
      <c r="S455" s="35" t="n">
        <v>-0.2506061273969583</v>
      </c>
      <c r="T455" s="35" t="n">
        <v>-0.2408243010652649</v>
      </c>
      <c r="U455" s="30" t="n">
        <v>189000</v>
      </c>
      <c r="V455" s="30" t="n">
        <v>60200</v>
      </c>
      <c r="W455" s="35" t="n">
        <v>-0.6402116402116402</v>
      </c>
      <c r="X455" s="35" t="n">
        <v>0.1295681063122924</v>
      </c>
      <c r="Y455" s="30" t="n">
        <v>95312200</v>
      </c>
      <c r="Z455" s="30" t="n">
        <v>6481229600000</v>
      </c>
      <c r="AA455" s="30" t="n">
        <v>145445404000</v>
      </c>
      <c r="AB455" s="30" t="n">
        <v>70978729345</v>
      </c>
      <c r="AC455" s="35" t="n">
        <v>0.02244102014222733</v>
      </c>
      <c r="AD455" s="24" t="inlineStr">
        <is>
          <t>yfinance_download</t>
        </is>
      </c>
      <c r="AE455" s="24" t="inlineStr">
        <is>
          <t>042700.KS</t>
        </is>
      </c>
    </row>
    <row r="456" ht="24" customHeight="1">
      <c r="A456" s="29" t="inlineStr">
        <is>
          <t>2025-04-18</t>
        </is>
      </c>
      <c r="B456" s="31" t="n">
        <v>69400</v>
      </c>
      <c r="C456" s="31" t="n">
        <v>73500</v>
      </c>
      <c r="D456" s="31" t="n">
        <v>67200</v>
      </c>
      <c r="E456" s="31" t="n">
        <v>73200</v>
      </c>
      <c r="F456" s="31" t="n">
        <v>72973.8984375</v>
      </c>
      <c r="G456" s="31" t="n">
        <v>2389382</v>
      </c>
      <c r="H456" s="36" t="n">
        <v>0.07647058823529407</v>
      </c>
      <c r="I456" s="36" t="n">
        <v>-0.6126984126984127</v>
      </c>
      <c r="J456" s="31" t="n">
        <v>70485</v>
      </c>
      <c r="K456" s="31" t="n">
        <v>90085</v>
      </c>
      <c r="L456" s="31" t="n">
        <v>89357.5</v>
      </c>
      <c r="M456" s="36" t="n">
        <v>0.7700648010130058</v>
      </c>
      <c r="N456" s="36" t="n">
        <v>0.6450881778225559</v>
      </c>
      <c r="O456" s="36" t="n">
        <v>-0.1893687707641196</v>
      </c>
      <c r="P456" s="36" t="n">
        <v>-0.3493333333333334</v>
      </c>
      <c r="Q456" s="36" t="n">
        <v>-0.2591093117408907</v>
      </c>
      <c r="R456" s="36" t="n">
        <v>0.03851883379442445</v>
      </c>
      <c r="S456" s="36" t="n">
        <v>-0.1874340900260865</v>
      </c>
      <c r="T456" s="36" t="n">
        <v>-0.1808186218280502</v>
      </c>
      <c r="U456" s="31" t="n">
        <v>189000</v>
      </c>
      <c r="V456" s="31" t="n">
        <v>60200</v>
      </c>
      <c r="W456" s="36" t="n">
        <v>-0.6126984126984127</v>
      </c>
      <c r="X456" s="36" t="n">
        <v>0.2159468438538206</v>
      </c>
      <c r="Y456" s="31" t="n">
        <v>95312200</v>
      </c>
      <c r="Z456" s="31" t="n">
        <v>6976853040000</v>
      </c>
      <c r="AA456" s="31" t="n">
        <v>174902762400</v>
      </c>
      <c r="AB456" s="31" t="n">
        <v>75191584045</v>
      </c>
      <c r="AC456" s="36" t="n">
        <v>0.02506900480735939</v>
      </c>
      <c r="AD456" s="29" t="inlineStr">
        <is>
          <t>yfinance_download</t>
        </is>
      </c>
      <c r="AE456" s="29" t="inlineStr">
        <is>
          <t>042700.KS</t>
        </is>
      </c>
    </row>
    <row r="457" ht="24" customHeight="1">
      <c r="A457" s="24" t="inlineStr">
        <is>
          <t>2025-04-21</t>
        </is>
      </c>
      <c r="B457" s="30" t="n">
        <v>76100</v>
      </c>
      <c r="C457" s="30" t="n">
        <v>77800</v>
      </c>
      <c r="D457" s="30" t="n">
        <v>73900</v>
      </c>
      <c r="E457" s="30" t="n">
        <v>75100</v>
      </c>
      <c r="F457" s="30" t="n">
        <v>74868.03125</v>
      </c>
      <c r="G457" s="30" t="n">
        <v>1486200</v>
      </c>
      <c r="H457" s="35" t="n">
        <v>0.02595628415300544</v>
      </c>
      <c r="I457" s="35" t="n">
        <v>-0.6026455026455027</v>
      </c>
      <c r="J457" s="30" t="n">
        <v>69890</v>
      </c>
      <c r="K457" s="30" t="n">
        <v>89535</v>
      </c>
      <c r="L457" s="30" t="n">
        <v>89137.5</v>
      </c>
      <c r="M457" s="35" t="n">
        <v>0.7727034327136958</v>
      </c>
      <c r="N457" s="35" t="n">
        <v>0.6447464625408941</v>
      </c>
      <c r="O457" s="35" t="n">
        <v>-0.1367816091954023</v>
      </c>
      <c r="P457" s="35" t="n">
        <v>-0.3052728954671601</v>
      </c>
      <c r="Q457" s="35" t="n">
        <v>-0.2600985221674876</v>
      </c>
      <c r="R457" s="35" t="n">
        <v>0.07454571469451987</v>
      </c>
      <c r="S457" s="35" t="n">
        <v>-0.1612218685430279</v>
      </c>
      <c r="T457" s="35" t="n">
        <v>-0.1574814191557986</v>
      </c>
      <c r="U457" s="30" t="n">
        <v>189000</v>
      </c>
      <c r="V457" s="30" t="n">
        <v>60200</v>
      </c>
      <c r="W457" s="35" t="n">
        <v>-0.6026455026455027</v>
      </c>
      <c r="X457" s="35" t="n">
        <v>0.2475083056478404</v>
      </c>
      <c r="Y457" s="30" t="n">
        <v>95312200</v>
      </c>
      <c r="Z457" s="30" t="n">
        <v>7157946220000</v>
      </c>
      <c r="AA457" s="30" t="n">
        <v>111613620000</v>
      </c>
      <c r="AB457" s="30" t="n">
        <v>78916367995</v>
      </c>
      <c r="AC457" s="35" t="n">
        <v>0.01559296711228993</v>
      </c>
      <c r="AD457" s="24" t="inlineStr">
        <is>
          <t>yfinance_download</t>
        </is>
      </c>
      <c r="AE457" s="24" t="inlineStr">
        <is>
          <t>042700.KS</t>
        </is>
      </c>
    </row>
    <row r="458" ht="24" customHeight="1">
      <c r="A458" s="29" t="inlineStr">
        <is>
          <t>2025-04-22</t>
        </is>
      </c>
      <c r="B458" s="31" t="n">
        <v>73000</v>
      </c>
      <c r="C458" s="31" t="n">
        <v>77000</v>
      </c>
      <c r="D458" s="31" t="n">
        <v>72000</v>
      </c>
      <c r="E458" s="31" t="n">
        <v>74900</v>
      </c>
      <c r="F458" s="31" t="n">
        <v>74668.6484375</v>
      </c>
      <c r="G458" s="31" t="n">
        <v>1423345</v>
      </c>
      <c r="H458" s="36" t="n">
        <v>-0.002663115845539243</v>
      </c>
      <c r="I458" s="36" t="n">
        <v>-0.6037037037037036</v>
      </c>
      <c r="J458" s="31" t="n">
        <v>69375</v>
      </c>
      <c r="K458" s="31" t="n">
        <v>88890</v>
      </c>
      <c r="L458" s="31" t="n">
        <v>88943.33333333333</v>
      </c>
      <c r="M458" s="36" t="n">
        <v>0.7708633144232612</v>
      </c>
      <c r="N458" s="36" t="n">
        <v>0.6340898496819471</v>
      </c>
      <c r="O458" s="36" t="n">
        <v>-0.1208920187793427</v>
      </c>
      <c r="P458" s="36" t="n">
        <v>-0.340669014084507</v>
      </c>
      <c r="Q458" s="36" t="n">
        <v>-0.2372708757637475</v>
      </c>
      <c r="R458" s="36" t="n">
        <v>0.07963963963963971</v>
      </c>
      <c r="S458" s="36" t="n">
        <v>-0.1573855326808415</v>
      </c>
      <c r="T458" s="36" t="n">
        <v>-0.1578907918899674</v>
      </c>
      <c r="U458" s="31" t="n">
        <v>189000</v>
      </c>
      <c r="V458" s="31" t="n">
        <v>60200</v>
      </c>
      <c r="W458" s="36" t="n">
        <v>-0.6037037037037036</v>
      </c>
      <c r="X458" s="36" t="n">
        <v>0.2441860465116279</v>
      </c>
      <c r="Y458" s="31" t="n">
        <v>95312200</v>
      </c>
      <c r="Z458" s="31" t="n">
        <v>7138883780000</v>
      </c>
      <c r="AA458" s="31" t="n">
        <v>106608540500</v>
      </c>
      <c r="AB458" s="31" t="n">
        <v>82779297440</v>
      </c>
      <c r="AC458" s="36" t="n">
        <v>0.01493350274151682</v>
      </c>
      <c r="AD458" s="29" t="inlineStr">
        <is>
          <t>yfinance_download</t>
        </is>
      </c>
      <c r="AE458" s="29" t="inlineStr">
        <is>
          <t>042700.KS</t>
        </is>
      </c>
    </row>
    <row r="459" ht="24" customHeight="1">
      <c r="A459" s="24" t="inlineStr">
        <is>
          <t>2025-04-23</t>
        </is>
      </c>
      <c r="B459" s="30" t="n">
        <v>78000</v>
      </c>
      <c r="C459" s="30" t="n">
        <v>85900</v>
      </c>
      <c r="D459" s="30" t="n">
        <v>76800</v>
      </c>
      <c r="E459" s="30" t="n">
        <v>85600</v>
      </c>
      <c r="F459" s="30" t="n">
        <v>85335.59375</v>
      </c>
      <c r="G459" s="30" t="n">
        <v>4533237</v>
      </c>
      <c r="H459" s="35" t="n">
        <v>0.1428571428571428</v>
      </c>
      <c r="I459" s="35" t="n">
        <v>-0.5470899470899471</v>
      </c>
      <c r="J459" s="30" t="n">
        <v>69405</v>
      </c>
      <c r="K459" s="30" t="n">
        <v>88215</v>
      </c>
      <c r="L459" s="30" t="n">
        <v>88841.66666666667</v>
      </c>
      <c r="M459" s="35" t="n">
        <v>0.9333868827105456</v>
      </c>
      <c r="N459" s="35" t="n">
        <v>0.6626959096751278</v>
      </c>
      <c r="O459" s="35" t="n">
        <v>0.007058823529411784</v>
      </c>
      <c r="P459" s="35" t="n">
        <v>-0.3211736716891356</v>
      </c>
      <c r="Q459" s="35" t="n">
        <v>-0.1247443762781186</v>
      </c>
      <c r="R459" s="35" t="n">
        <v>0.2333405374252575</v>
      </c>
      <c r="S459" s="35" t="n">
        <v>-0.02964348466814037</v>
      </c>
      <c r="T459" s="35" t="n">
        <v>-0.03648813432135822</v>
      </c>
      <c r="U459" s="30" t="n">
        <v>189000</v>
      </c>
      <c r="V459" s="30" t="n">
        <v>60200</v>
      </c>
      <c r="W459" s="35" t="n">
        <v>-0.5470899470899471</v>
      </c>
      <c r="X459" s="35" t="n">
        <v>0.4219269102990033</v>
      </c>
      <c r="Y459" s="30" t="n">
        <v>95312200</v>
      </c>
      <c r="Z459" s="30" t="n">
        <v>8158724320000</v>
      </c>
      <c r="AA459" s="30" t="n">
        <v>388045087200</v>
      </c>
      <c r="AB459" s="30" t="n">
        <v>101120518050</v>
      </c>
      <c r="AC459" s="35" t="n">
        <v>0.04756198052295509</v>
      </c>
      <c r="AD459" s="24" t="inlineStr">
        <is>
          <t>yfinance_download</t>
        </is>
      </c>
      <c r="AE459" s="24" t="inlineStr">
        <is>
          <t>042700.KS</t>
        </is>
      </c>
    </row>
    <row r="460" ht="24" customHeight="1">
      <c r="A460" s="29" t="inlineStr">
        <is>
          <t>2025-04-24</t>
        </is>
      </c>
      <c r="B460" s="31" t="n">
        <v>88600</v>
      </c>
      <c r="C460" s="31" t="n">
        <v>88600</v>
      </c>
      <c r="D460" s="31" t="n">
        <v>83100</v>
      </c>
      <c r="E460" s="31" t="n">
        <v>83300</v>
      </c>
      <c r="F460" s="31" t="n">
        <v>83042.703125</v>
      </c>
      <c r="G460" s="31" t="n">
        <v>2444483</v>
      </c>
      <c r="H460" s="36" t="n">
        <v>-0.02686915887850472</v>
      </c>
      <c r="I460" s="36" t="n">
        <v>-0.5592592592592592</v>
      </c>
      <c r="J460" s="31" t="n">
        <v>69575</v>
      </c>
      <c r="K460" s="31" t="n">
        <v>87571.66666666667</v>
      </c>
      <c r="L460" s="31" t="n">
        <v>88740</v>
      </c>
      <c r="M460" s="36" t="n">
        <v>0.9113593850270771</v>
      </c>
      <c r="N460" s="36" t="n">
        <v>0.6616763176396581</v>
      </c>
      <c r="O460" s="36" t="n">
        <v>0.04255319148936176</v>
      </c>
      <c r="P460" s="36" t="n">
        <v>-0.3166529942575882</v>
      </c>
      <c r="Q460" s="36" t="n">
        <v>-0.1277486910994764</v>
      </c>
      <c r="R460" s="36" t="n">
        <v>0.1972691340280273</v>
      </c>
      <c r="S460" s="36" t="n">
        <v>-0.04877909521725066</v>
      </c>
      <c r="T460" s="36" t="n">
        <v>-0.06130268199233713</v>
      </c>
      <c r="U460" s="31" t="n">
        <v>189000</v>
      </c>
      <c r="V460" s="31" t="n">
        <v>60200</v>
      </c>
      <c r="W460" s="36" t="n">
        <v>-0.5592592592592592</v>
      </c>
      <c r="X460" s="36" t="n">
        <v>0.3837209302325582</v>
      </c>
      <c r="Y460" s="31" t="n">
        <v>95312200</v>
      </c>
      <c r="Z460" s="31" t="n">
        <v>7939506260000</v>
      </c>
      <c r="AA460" s="31" t="n">
        <v>203625433900</v>
      </c>
      <c r="AB460" s="31" t="n">
        <v>108496872280</v>
      </c>
      <c r="AC460" s="36" t="n">
        <v>0.02564711547944544</v>
      </c>
      <c r="AD460" s="29" t="inlineStr">
        <is>
          <t>yfinance_download</t>
        </is>
      </c>
      <c r="AE460" s="29" t="inlineStr">
        <is>
          <t>042700.KS</t>
        </is>
      </c>
    </row>
    <row r="461" ht="24" customHeight="1">
      <c r="A461" s="24" t="inlineStr">
        <is>
          <t>2025-04-25</t>
        </is>
      </c>
      <c r="B461" s="30" t="n">
        <v>86500</v>
      </c>
      <c r="C461" s="30" t="n">
        <v>86700</v>
      </c>
      <c r="D461" s="30" t="n">
        <v>80500</v>
      </c>
      <c r="E461" s="30" t="n">
        <v>82500</v>
      </c>
      <c r="F461" s="30" t="n">
        <v>82245.171875</v>
      </c>
      <c r="G461" s="30" t="n">
        <v>1602496</v>
      </c>
      <c r="H461" s="35" t="n">
        <v>-0.009603841536614643</v>
      </c>
      <c r="I461" s="35" t="n">
        <v>-0.5634920634920635</v>
      </c>
      <c r="J461" s="30" t="n">
        <v>69875</v>
      </c>
      <c r="K461" s="30" t="n">
        <v>86936.66666666667</v>
      </c>
      <c r="L461" s="30" t="n">
        <v>88655.83333333333</v>
      </c>
      <c r="M461" s="35" t="n">
        <v>0.896598640211543</v>
      </c>
      <c r="N461" s="35" t="n">
        <v>0.6616443932844468</v>
      </c>
      <c r="O461" s="35" t="n">
        <v>0.07843137254901955</v>
      </c>
      <c r="P461" s="35" t="n">
        <v>-0.3159203980099502</v>
      </c>
      <c r="Q461" s="35" t="n">
        <v>-0.1090712742980562</v>
      </c>
      <c r="R461" s="35" t="n">
        <v>0.1806797853309481</v>
      </c>
      <c r="S461" s="35" t="n">
        <v>-0.05103331927456778</v>
      </c>
      <c r="T461" s="35" t="n">
        <v>-0.06943517535037169</v>
      </c>
      <c r="U461" s="30" t="n">
        <v>189000</v>
      </c>
      <c r="V461" s="30" t="n">
        <v>60200</v>
      </c>
      <c r="W461" s="35" t="n">
        <v>-0.5634920634920635</v>
      </c>
      <c r="X461" s="35" t="n">
        <v>0.3704318936877076</v>
      </c>
      <c r="Y461" s="30" t="n">
        <v>95312200</v>
      </c>
      <c r="Z461" s="30" t="n">
        <v>7863256500000</v>
      </c>
      <c r="AA461" s="30" t="n">
        <v>132205920000</v>
      </c>
      <c r="AB461" s="30" t="n">
        <v>113224377055</v>
      </c>
      <c r="AC461" s="35" t="n">
        <v>0.01681312570688747</v>
      </c>
      <c r="AD461" s="24" t="inlineStr">
        <is>
          <t>yfinance_download</t>
        </is>
      </c>
      <c r="AE461" s="24" t="inlineStr">
        <is>
          <t>042700.KS</t>
        </is>
      </c>
    </row>
    <row r="462" ht="24" customHeight="1">
      <c r="A462" s="29" t="inlineStr">
        <is>
          <t>2025-04-28</t>
        </is>
      </c>
      <c r="B462" s="31" t="n">
        <v>81700</v>
      </c>
      <c r="C462" s="31" t="n">
        <v>81700</v>
      </c>
      <c r="D462" s="31" t="n">
        <v>74300</v>
      </c>
      <c r="E462" s="31" t="n">
        <v>75900</v>
      </c>
      <c r="F462" s="31" t="n">
        <v>75665.5546875</v>
      </c>
      <c r="G462" s="31" t="n">
        <v>1795012</v>
      </c>
      <c r="H462" s="36" t="n">
        <v>-0.07999999999999996</v>
      </c>
      <c r="I462" s="36" t="n">
        <v>-0.5984126984126984</v>
      </c>
      <c r="J462" s="31" t="n">
        <v>70260</v>
      </c>
      <c r="K462" s="31" t="n">
        <v>86315</v>
      </c>
      <c r="L462" s="31" t="n">
        <v>88485.83333333333</v>
      </c>
      <c r="M462" s="36" t="n">
        <v>0.8532976900221876</v>
      </c>
      <c r="N462" s="36" t="n">
        <v>0.6694275105079073</v>
      </c>
      <c r="O462" s="36" t="n">
        <v>0.1129032258064515</v>
      </c>
      <c r="P462" s="36" t="n">
        <v>-0.3295053003533569</v>
      </c>
      <c r="Q462" s="36" t="n">
        <v>-0.2118380062305296</v>
      </c>
      <c r="R462" s="36" t="n">
        <v>0.08027327070879586</v>
      </c>
      <c r="S462" s="36" t="n">
        <v>-0.120662688988009</v>
      </c>
      <c r="T462" s="36" t="n">
        <v>-0.1422355744328188</v>
      </c>
      <c r="U462" s="31" t="n">
        <v>189000</v>
      </c>
      <c r="V462" s="31" t="n">
        <v>60200</v>
      </c>
      <c r="W462" s="36" t="n">
        <v>-0.5984126984126984</v>
      </c>
      <c r="X462" s="36" t="n">
        <v>0.260797342192691</v>
      </c>
      <c r="Y462" s="31" t="n">
        <v>95312200</v>
      </c>
      <c r="Z462" s="31" t="n">
        <v>7234195980000</v>
      </c>
      <c r="AA462" s="31" t="n">
        <v>136241410800</v>
      </c>
      <c r="AB462" s="31" t="n">
        <v>111678067015</v>
      </c>
      <c r="AC462" s="36" t="n">
        <v>0.01883297206443666</v>
      </c>
      <c r="AD462" s="29" t="inlineStr">
        <is>
          <t>yfinance_download</t>
        </is>
      </c>
      <c r="AE462" s="29" t="inlineStr">
        <is>
          <t>042700.KS</t>
        </is>
      </c>
    </row>
    <row r="463" ht="24" customHeight="1">
      <c r="A463" s="24" t="inlineStr">
        <is>
          <t>2025-04-29</t>
        </is>
      </c>
      <c r="B463" s="30" t="n">
        <v>76500</v>
      </c>
      <c r="C463" s="30" t="n">
        <v>79300</v>
      </c>
      <c r="D463" s="30" t="n">
        <v>75200</v>
      </c>
      <c r="E463" s="30" t="n">
        <v>77200</v>
      </c>
      <c r="F463" s="30" t="n">
        <v>76961.5390625</v>
      </c>
      <c r="G463" s="30" t="n">
        <v>1208871</v>
      </c>
      <c r="H463" s="35" t="n">
        <v>0.01712779973649536</v>
      </c>
      <c r="I463" s="35" t="n">
        <v>-0.5915343915343916</v>
      </c>
      <c r="J463" s="30" t="n">
        <v>70635</v>
      </c>
      <c r="K463" s="30" t="n">
        <v>85835</v>
      </c>
      <c r="L463" s="30" t="n">
        <v>88362.5</v>
      </c>
      <c r="M463" s="35" t="n">
        <v>0.852315374692217</v>
      </c>
      <c r="N463" s="35" t="n">
        <v>0.6600186522674272</v>
      </c>
      <c r="O463" s="35" t="n">
        <v>0.1076040172166428</v>
      </c>
      <c r="P463" s="35" t="n">
        <v>-0.2716981132075472</v>
      </c>
      <c r="Q463" s="35" t="n">
        <v>-0.1608695652173913</v>
      </c>
      <c r="R463" s="35" t="n">
        <v>0.09294259219933454</v>
      </c>
      <c r="S463" s="35" t="n">
        <v>-0.1005999883497408</v>
      </c>
      <c r="T463" s="35" t="n">
        <v>-0.1263262130428632</v>
      </c>
      <c r="U463" s="30" t="n">
        <v>189000</v>
      </c>
      <c r="V463" s="30" t="n">
        <v>60200</v>
      </c>
      <c r="W463" s="35" t="n">
        <v>-0.5915343915343916</v>
      </c>
      <c r="X463" s="35" t="n">
        <v>0.2823920265780731</v>
      </c>
      <c r="Y463" s="30" t="n">
        <v>95312200</v>
      </c>
      <c r="Z463" s="30" t="n">
        <v>7358101840000</v>
      </c>
      <c r="AA463" s="30" t="n">
        <v>93324841200</v>
      </c>
      <c r="AB463" s="30" t="n">
        <v>113999667290</v>
      </c>
      <c r="AC463" s="35" t="n">
        <v>0.01268327664244451</v>
      </c>
      <c r="AD463" s="24" t="inlineStr">
        <is>
          <t>yfinance_download</t>
        </is>
      </c>
      <c r="AE463" s="24" t="inlineStr">
        <is>
          <t>042700.KS</t>
        </is>
      </c>
    </row>
    <row r="464" ht="24" customHeight="1">
      <c r="A464" s="29" t="inlineStr">
        <is>
          <t>2025-04-30</t>
        </is>
      </c>
      <c r="B464" s="31" t="n">
        <v>76600</v>
      </c>
      <c r="C464" s="31" t="n">
        <v>78600</v>
      </c>
      <c r="D464" s="31" t="n">
        <v>74600</v>
      </c>
      <c r="E464" s="31" t="n">
        <v>76100</v>
      </c>
      <c r="F464" s="31" t="n">
        <v>75864.9375</v>
      </c>
      <c r="G464" s="31" t="n">
        <v>731746</v>
      </c>
      <c r="H464" s="36" t="n">
        <v>-0.01424870466321249</v>
      </c>
      <c r="I464" s="36" t="n">
        <v>-0.5973544973544973</v>
      </c>
      <c r="J464" s="31" t="n">
        <v>71090</v>
      </c>
      <c r="K464" s="31" t="n">
        <v>85335</v>
      </c>
      <c r="L464" s="31" t="n">
        <v>88223.33333333333</v>
      </c>
      <c r="M464" s="36" t="n">
        <v>0.8394269663923641</v>
      </c>
      <c r="N464" s="36" t="n">
        <v>0.6602249140037051</v>
      </c>
      <c r="O464" s="36" t="n">
        <v>0.1358208955223881</v>
      </c>
      <c r="P464" s="36" t="n">
        <v>-0.2827521206409048</v>
      </c>
      <c r="Q464" s="36" t="n">
        <v>-0.1799568965517241</v>
      </c>
      <c r="R464" s="36" t="n">
        <v>0.07047404698269788</v>
      </c>
      <c r="S464" s="36" t="n">
        <v>-0.108220542567528</v>
      </c>
      <c r="T464" s="36" t="n">
        <v>-0.1374164053349454</v>
      </c>
      <c r="U464" s="31" t="n">
        <v>189000</v>
      </c>
      <c r="V464" s="31" t="n">
        <v>60200</v>
      </c>
      <c r="W464" s="36" t="n">
        <v>-0.5973544973544973</v>
      </c>
      <c r="X464" s="36" t="n">
        <v>0.2641196013289036</v>
      </c>
      <c r="Y464" s="31" t="n">
        <v>95312200</v>
      </c>
      <c r="Z464" s="31" t="n">
        <v>7253258420000</v>
      </c>
      <c r="AA464" s="31" t="n">
        <v>55685870600</v>
      </c>
      <c r="AB464" s="31" t="n">
        <v>113892331270</v>
      </c>
      <c r="AC464" s="36" t="n">
        <v>0.007677359246770088</v>
      </c>
      <c r="AD464" s="29" t="inlineStr">
        <is>
          <t>yfinance_download</t>
        </is>
      </c>
      <c r="AE464" s="29" t="inlineStr">
        <is>
          <t>042700.KS</t>
        </is>
      </c>
    </row>
    <row r="465" ht="24" customHeight="1">
      <c r="A465" s="24" t="inlineStr">
        <is>
          <t>2025-05-02</t>
        </is>
      </c>
      <c r="B465" s="30" t="n">
        <v>75800</v>
      </c>
      <c r="C465" s="30" t="n">
        <v>77200</v>
      </c>
      <c r="D465" s="30" t="n">
        <v>75400</v>
      </c>
      <c r="E465" s="30" t="n">
        <v>76300</v>
      </c>
      <c r="F465" s="30" t="n">
        <v>76064.3203125</v>
      </c>
      <c r="G465" s="30" t="n">
        <v>526966</v>
      </c>
      <c r="H465" s="35" t="n">
        <v>0.002628120893561015</v>
      </c>
      <c r="I465" s="35" t="n">
        <v>-0.5962962962962963</v>
      </c>
      <c r="J465" s="30" t="n">
        <v>71545</v>
      </c>
      <c r="K465" s="30" t="n">
        <v>84790</v>
      </c>
      <c r="L465" s="30" t="n">
        <v>88062.5</v>
      </c>
      <c r="M465" s="35" t="n">
        <v>0.8394544262731997</v>
      </c>
      <c r="N465" s="35" t="n">
        <v>0.6570420442043564</v>
      </c>
      <c r="O465" s="35" t="n">
        <v>0.1354166666666667</v>
      </c>
      <c r="P465" s="35" t="n">
        <v>-0.3</v>
      </c>
      <c r="Q465" s="35" t="n">
        <v>-0.2018828451882845</v>
      </c>
      <c r="R465" s="35" t="n">
        <v>0.06646166748200444</v>
      </c>
      <c r="S465" s="35" t="n">
        <v>-0.10012973227975</v>
      </c>
      <c r="T465" s="35" t="n">
        <v>-0.133569907735983</v>
      </c>
      <c r="U465" s="30" t="n">
        <v>189000</v>
      </c>
      <c r="V465" s="30" t="n">
        <v>60200</v>
      </c>
      <c r="W465" s="35" t="n">
        <v>-0.5962962962962963</v>
      </c>
      <c r="X465" s="35" t="n">
        <v>0.2674418604651163</v>
      </c>
      <c r="Y465" s="30" t="n">
        <v>95312200</v>
      </c>
      <c r="Z465" s="30" t="n">
        <v>7272320860000</v>
      </c>
      <c r="AA465" s="30" t="n">
        <v>40207505800</v>
      </c>
      <c r="AB465" s="30" t="n">
        <v>114298645920</v>
      </c>
      <c r="AC465" s="35" t="n">
        <v>0.005528841008811044</v>
      </c>
      <c r="AD465" s="24" t="inlineStr">
        <is>
          <t>yfinance_download</t>
        </is>
      </c>
      <c r="AE465" s="24" t="inlineStr">
        <is>
          <t>042700.KS</t>
        </is>
      </c>
    </row>
    <row r="466" ht="24" customHeight="1">
      <c r="A466" s="29" t="inlineStr">
        <is>
          <t>2025-05-07</t>
        </is>
      </c>
      <c r="B466" s="31" t="n">
        <v>76800</v>
      </c>
      <c r="C466" s="31" t="n">
        <v>79100</v>
      </c>
      <c r="D466" s="31" t="n">
        <v>76800</v>
      </c>
      <c r="E466" s="31" t="n">
        <v>77700</v>
      </c>
      <c r="F466" s="31" t="n">
        <v>77460</v>
      </c>
      <c r="G466" s="31" t="n">
        <v>684436</v>
      </c>
      <c r="H466" s="36" t="n">
        <v>0.0183486238532109</v>
      </c>
      <c r="I466" s="36" t="n">
        <v>-0.5888888888888889</v>
      </c>
      <c r="J466" s="31" t="n">
        <v>72155</v>
      </c>
      <c r="K466" s="31" t="n">
        <v>84280</v>
      </c>
      <c r="L466" s="31" t="n">
        <v>87914.16666666667</v>
      </c>
      <c r="M466" s="36" t="n">
        <v>0.8309762885594129</v>
      </c>
      <c r="N466" s="36" t="n">
        <v>0.6587867715960294</v>
      </c>
      <c r="O466" s="36" t="n">
        <v>0.1862595419847328</v>
      </c>
      <c r="P466" s="36" t="n">
        <v>-0.2825484764542936</v>
      </c>
      <c r="Q466" s="36" t="n">
        <v>-0.1863874345549739</v>
      </c>
      <c r="R466" s="36" t="n">
        <v>0.07684845125077966</v>
      </c>
      <c r="S466" s="36" t="n">
        <v>-0.07807308970099669</v>
      </c>
      <c r="T466" s="36" t="n">
        <v>-0.1161833985800544</v>
      </c>
      <c r="U466" s="31" t="n">
        <v>189000</v>
      </c>
      <c r="V466" s="31" t="n">
        <v>60200</v>
      </c>
      <c r="W466" s="36" t="n">
        <v>-0.5888888888888889</v>
      </c>
      <c r="X466" s="36" t="n">
        <v>0.2906976744186047</v>
      </c>
      <c r="Y466" s="31" t="n">
        <v>95312200</v>
      </c>
      <c r="Z466" s="31" t="n">
        <v>7405757940000</v>
      </c>
      <c r="AA466" s="31" t="n">
        <v>53180677200</v>
      </c>
      <c r="AB466" s="31" t="n">
        <v>112789479205</v>
      </c>
      <c r="AC466" s="36" t="n">
        <v>0.007180990471314271</v>
      </c>
      <c r="AD466" s="29" t="inlineStr">
        <is>
          <t>yfinance_download</t>
        </is>
      </c>
      <c r="AE466" s="29" t="inlineStr">
        <is>
          <t>042700.KS</t>
        </is>
      </c>
    </row>
    <row r="467" ht="24" customHeight="1">
      <c r="A467" s="24" t="inlineStr">
        <is>
          <t>2025-05-08</t>
        </is>
      </c>
      <c r="B467" s="30" t="n">
        <v>78900</v>
      </c>
      <c r="C467" s="30" t="n">
        <v>81400</v>
      </c>
      <c r="D467" s="30" t="n">
        <v>77500</v>
      </c>
      <c r="E467" s="30" t="n">
        <v>78500</v>
      </c>
      <c r="F467" s="30" t="n">
        <v>78257.5234375</v>
      </c>
      <c r="G467" s="30" t="n">
        <v>1491354</v>
      </c>
      <c r="H467" s="35" t="n">
        <v>0.01029601029601035</v>
      </c>
      <c r="I467" s="35" t="n">
        <v>-0.5846560846560847</v>
      </c>
      <c r="J467" s="30" t="n">
        <v>73070</v>
      </c>
      <c r="K467" s="30" t="n">
        <v>83821.66666666667</v>
      </c>
      <c r="L467" s="30" t="n">
        <v>87792.5</v>
      </c>
      <c r="M467" s="35" t="n">
        <v>0.7587763589257608</v>
      </c>
      <c r="N467" s="35" t="n">
        <v>0.6585713321105388</v>
      </c>
      <c r="O467" s="35" t="n">
        <v>0.3039867109634551</v>
      </c>
      <c r="P467" s="35" t="n">
        <v>-0.2594339622641509</v>
      </c>
      <c r="Q467" s="35" t="n">
        <v>-0.1568206229860365</v>
      </c>
      <c r="R467" s="35" t="n">
        <v>0.07431230327083616</v>
      </c>
      <c r="S467" s="35" t="n">
        <v>-0.06348796055117023</v>
      </c>
      <c r="T467" s="35" t="n">
        <v>-0.1058461713699917</v>
      </c>
      <c r="U467" s="30" t="n">
        <v>189000</v>
      </c>
      <c r="V467" s="30" t="n">
        <v>60200</v>
      </c>
      <c r="W467" s="35" t="n">
        <v>-0.5846560846560847</v>
      </c>
      <c r="X467" s="35" t="n">
        <v>0.3039867109634551</v>
      </c>
      <c r="Y467" s="30" t="n">
        <v>95312200</v>
      </c>
      <c r="Z467" s="30" t="n">
        <v>7482007700000</v>
      </c>
      <c r="AA467" s="30" t="n">
        <v>117071289000</v>
      </c>
      <c r="AB467" s="30" t="n">
        <v>115682916345</v>
      </c>
      <c r="AC467" s="35" t="n">
        <v>0.01564704203659133</v>
      </c>
      <c r="AD467" s="24" t="inlineStr">
        <is>
          <t>yfinance_download</t>
        </is>
      </c>
      <c r="AE467" s="24" t="inlineStr">
        <is>
          <t>042700.KS</t>
        </is>
      </c>
    </row>
    <row r="468" ht="24" customHeight="1">
      <c r="A468" s="29" t="inlineStr">
        <is>
          <t>2025-05-09</t>
        </is>
      </c>
      <c r="B468" s="31" t="n">
        <v>79400</v>
      </c>
      <c r="C468" s="31" t="n">
        <v>79500</v>
      </c>
      <c r="D468" s="31" t="n">
        <v>77000</v>
      </c>
      <c r="E468" s="31" t="n">
        <v>77400</v>
      </c>
      <c r="F468" s="31" t="n">
        <v>77160.921875</v>
      </c>
      <c r="G468" s="31" t="n">
        <v>442898</v>
      </c>
      <c r="H468" s="36" t="n">
        <v>-0.01401273885350318</v>
      </c>
      <c r="I468" s="36" t="n">
        <v>-0.5904761904761905</v>
      </c>
      <c r="J468" s="31" t="n">
        <v>73880</v>
      </c>
      <c r="K468" s="31" t="n">
        <v>83451.66666666667</v>
      </c>
      <c r="L468" s="31" t="n">
        <v>87661.66666666667</v>
      </c>
      <c r="M468" s="36" t="n">
        <v>0.7653558698345334</v>
      </c>
      <c r="N468" s="36" t="n">
        <v>0.6484419075892868</v>
      </c>
      <c r="O468" s="36" t="n">
        <v>0.2647058823529411</v>
      </c>
      <c r="P468" s="36" t="n">
        <v>-0.2228915662650602</v>
      </c>
      <c r="Q468" s="36" t="n">
        <v>-0.1686358754027927</v>
      </c>
      <c r="R468" s="36" t="n">
        <v>0.04764482945316728</v>
      </c>
      <c r="S468" s="36" t="n">
        <v>-0.07251702582333097</v>
      </c>
      <c r="T468" s="36" t="n">
        <v>-0.1170599083597924</v>
      </c>
      <c r="U468" s="31" t="n">
        <v>189000</v>
      </c>
      <c r="V468" s="31" t="n">
        <v>60200</v>
      </c>
      <c r="W468" s="36" t="n">
        <v>-0.5904761904761905</v>
      </c>
      <c r="X468" s="36" t="n">
        <v>0.2857142857142858</v>
      </c>
      <c r="Y468" s="31" t="n">
        <v>95312200</v>
      </c>
      <c r="Z468" s="31" t="n">
        <v>7377164280000</v>
      </c>
      <c r="AA468" s="31" t="n">
        <v>34280305200</v>
      </c>
      <c r="AB468" s="31" t="n">
        <v>115899542025</v>
      </c>
      <c r="AC468" s="36" t="n">
        <v>0.004646813314559941</v>
      </c>
      <c r="AD468" s="29" t="inlineStr">
        <is>
          <t>yfinance_download</t>
        </is>
      </c>
      <c r="AE468" s="29" t="inlineStr">
        <is>
          <t>042700.KS</t>
        </is>
      </c>
    </row>
    <row r="469" ht="24" customHeight="1">
      <c r="A469" s="24" t="inlineStr">
        <is>
          <t>2025-05-12</t>
        </is>
      </c>
      <c r="B469" s="30" t="n">
        <v>79000</v>
      </c>
      <c r="C469" s="30" t="n">
        <v>84900</v>
      </c>
      <c r="D469" s="30" t="n">
        <v>78800</v>
      </c>
      <c r="E469" s="30" t="n">
        <v>83000</v>
      </c>
      <c r="F469" s="30" t="n">
        <v>82743.625</v>
      </c>
      <c r="G469" s="30" t="n">
        <v>1993316</v>
      </c>
      <c r="H469" s="35" t="n">
        <v>0.07235142118863047</v>
      </c>
      <c r="I469" s="35" t="n">
        <v>-0.5608465608465609</v>
      </c>
      <c r="J469" s="30" t="n">
        <v>74970</v>
      </c>
      <c r="K469" s="30" t="n">
        <v>83173.33333333333</v>
      </c>
      <c r="L469" s="30" t="n">
        <v>87568.33333333333</v>
      </c>
      <c r="M469" s="35" t="n">
        <v>0.7918402511001065</v>
      </c>
      <c r="N469" s="35" t="n">
        <v>0.6667305917635837</v>
      </c>
      <c r="O469" s="35" t="n">
        <v>0.3562091503267975</v>
      </c>
      <c r="P469" s="35" t="n">
        <v>-0.1675025075225677</v>
      </c>
      <c r="Q469" s="35" t="n">
        <v>-0.118895966029724</v>
      </c>
      <c r="R469" s="35" t="n">
        <v>0.107109510470855</v>
      </c>
      <c r="S469" s="35" t="n">
        <v>-0.002084001282462222</v>
      </c>
      <c r="T469" s="35" t="n">
        <v>-0.05216878247463885</v>
      </c>
      <c r="U469" s="30" t="n">
        <v>189000</v>
      </c>
      <c r="V469" s="30" t="n">
        <v>60200</v>
      </c>
      <c r="W469" s="35" t="n">
        <v>-0.5608465608465609</v>
      </c>
      <c r="X469" s="35" t="n">
        <v>0.3787375415282392</v>
      </c>
      <c r="Y469" s="30" t="n">
        <v>95312200</v>
      </c>
      <c r="Z469" s="30" t="n">
        <v>7910912600000</v>
      </c>
      <c r="AA469" s="30" t="n">
        <v>165445228000</v>
      </c>
      <c r="AB469" s="30" t="n">
        <v>121192391585</v>
      </c>
      <c r="AC469" s="35" t="n">
        <v>0.02091354517050283</v>
      </c>
      <c r="AD469" s="24" t="inlineStr">
        <is>
          <t>yfinance_download</t>
        </is>
      </c>
      <c r="AE469" s="24" t="inlineStr">
        <is>
          <t>042700.KS</t>
        </is>
      </c>
    </row>
    <row r="470" ht="24" customHeight="1">
      <c r="A470" s="29" t="inlineStr">
        <is>
          <t>2025-05-13</t>
        </is>
      </c>
      <c r="B470" s="31" t="n">
        <v>85800</v>
      </c>
      <c r="C470" s="31" t="n">
        <v>86000</v>
      </c>
      <c r="D470" s="31" t="n">
        <v>80400</v>
      </c>
      <c r="E470" s="31" t="n">
        <v>81000</v>
      </c>
      <c r="F470" s="31" t="n">
        <v>80749.8046875</v>
      </c>
      <c r="G470" s="31" t="n">
        <v>1429499</v>
      </c>
      <c r="H470" s="36" t="n">
        <v>-0.02409638554216864</v>
      </c>
      <c r="I470" s="36" t="n">
        <v>-0.5714285714285714</v>
      </c>
      <c r="J470" s="31" t="n">
        <v>75730</v>
      </c>
      <c r="K470" s="31" t="n">
        <v>82880</v>
      </c>
      <c r="L470" s="31" t="n">
        <v>87509.16666666667</v>
      </c>
      <c r="M470" s="36" t="n">
        <v>0.7724513501328825</v>
      </c>
      <c r="N470" s="36" t="n">
        <v>0.6680067046265599</v>
      </c>
      <c r="O470" s="36" t="n">
        <v>0.2310030395136777</v>
      </c>
      <c r="P470" s="36" t="n">
        <v>-0.178498985801217</v>
      </c>
      <c r="Q470" s="36" t="n">
        <v>-0.08059023836549373</v>
      </c>
      <c r="R470" s="36" t="n">
        <v>0.069589330516308</v>
      </c>
      <c r="S470" s="36" t="n">
        <v>-0.02268339768339767</v>
      </c>
      <c r="T470" s="36" t="n">
        <v>-0.0743826837188486</v>
      </c>
      <c r="U470" s="31" t="n">
        <v>189000</v>
      </c>
      <c r="V470" s="31" t="n">
        <v>60200</v>
      </c>
      <c r="W470" s="36" t="n">
        <v>-0.5714285714285714</v>
      </c>
      <c r="X470" s="36" t="n">
        <v>0.345514950166113</v>
      </c>
      <c r="Y470" s="31" t="n">
        <v>95312200</v>
      </c>
      <c r="Z470" s="31" t="n">
        <v>7720288200000</v>
      </c>
      <c r="AA470" s="31" t="n">
        <v>115789419000</v>
      </c>
      <c r="AB470" s="31" t="n">
        <v>121462535505</v>
      </c>
      <c r="AC470" s="36" t="n">
        <v>0.0149980695021204</v>
      </c>
      <c r="AD470" s="29" t="inlineStr">
        <is>
          <t>yfinance_download</t>
        </is>
      </c>
      <c r="AE470" s="29" t="inlineStr">
        <is>
          <t>042700.KS</t>
        </is>
      </c>
    </row>
    <row r="471" ht="24" customHeight="1">
      <c r="A471" s="24" t="inlineStr">
        <is>
          <t>2025-05-14</t>
        </is>
      </c>
      <c r="B471" s="30" t="n">
        <v>82600</v>
      </c>
      <c r="C471" s="30" t="n">
        <v>84800</v>
      </c>
      <c r="D471" s="30" t="n">
        <v>81600</v>
      </c>
      <c r="E471" s="30" t="n">
        <v>83800</v>
      </c>
      <c r="F471" s="30" t="n">
        <v>83541.15625</v>
      </c>
      <c r="G471" s="30" t="n">
        <v>1427546</v>
      </c>
      <c r="H471" s="35" t="n">
        <v>0.03456790123456788</v>
      </c>
      <c r="I471" s="35" t="n">
        <v>-0.5566137566137566</v>
      </c>
      <c r="J471" s="30" t="n">
        <v>76485</v>
      </c>
      <c r="K471" s="30" t="n">
        <v>82615</v>
      </c>
      <c r="L471" s="30" t="n">
        <v>87501.66666666667</v>
      </c>
      <c r="M471" s="35" t="n">
        <v>0.7678639119384315</v>
      </c>
      <c r="N471" s="35" t="n">
        <v>0.671750071151648</v>
      </c>
      <c r="O471" s="35" t="n">
        <v>0.2197962154294033</v>
      </c>
      <c r="P471" s="35" t="n">
        <v>-0.1594784353059178</v>
      </c>
      <c r="Q471" s="35" t="n">
        <v>-0.01062573789846522</v>
      </c>
      <c r="R471" s="35" t="n">
        <v>0.09563966790874034</v>
      </c>
      <c r="S471" s="35" t="n">
        <v>0.01434364219572726</v>
      </c>
      <c r="T471" s="35" t="n">
        <v>-0.04230395611512172</v>
      </c>
      <c r="U471" s="30" t="n">
        <v>189000</v>
      </c>
      <c r="V471" s="30" t="n">
        <v>60200</v>
      </c>
      <c r="W471" s="35" t="n">
        <v>-0.5566137566137566</v>
      </c>
      <c r="X471" s="35" t="n">
        <v>0.3920265780730896</v>
      </c>
      <c r="Y471" s="30" t="n">
        <v>95312200</v>
      </c>
      <c r="Z471" s="30" t="n">
        <v>7987162360000</v>
      </c>
      <c r="AA471" s="30" t="n">
        <v>119628354800</v>
      </c>
      <c r="AB471" s="30" t="n">
        <v>117561502900</v>
      </c>
      <c r="AC471" s="35" t="n">
        <v>0.01497757894582226</v>
      </c>
      <c r="AD471" s="24" t="inlineStr">
        <is>
          <t>yfinance_download</t>
        </is>
      </c>
      <c r="AE471" s="24" t="inlineStr">
        <is>
          <t>042700.KS</t>
        </is>
      </c>
    </row>
    <row r="472" ht="24" customHeight="1">
      <c r="A472" s="29" t="inlineStr">
        <is>
          <t>2025-05-15</t>
        </is>
      </c>
      <c r="B472" s="31" t="n">
        <v>85000</v>
      </c>
      <c r="C472" s="31" t="n">
        <v>85100</v>
      </c>
      <c r="D472" s="31" t="n">
        <v>81400</v>
      </c>
      <c r="E472" s="31" t="n">
        <v>81900</v>
      </c>
      <c r="F472" s="31" t="n">
        <v>81647.0234375</v>
      </c>
      <c r="G472" s="31" t="n">
        <v>913822</v>
      </c>
      <c r="H472" s="36" t="n">
        <v>-0.02267303102625295</v>
      </c>
      <c r="I472" s="36" t="n">
        <v>-0.5666666666666667</v>
      </c>
      <c r="J472" s="31" t="n">
        <v>77185</v>
      </c>
      <c r="K472" s="31" t="n">
        <v>82305</v>
      </c>
      <c r="L472" s="31" t="n">
        <v>87500</v>
      </c>
      <c r="M472" s="36" t="n">
        <v>0.7731679813256542</v>
      </c>
      <c r="N472" s="36" t="n">
        <v>0.672734771926037</v>
      </c>
      <c r="O472" s="36" t="n">
        <v>0.2061855670103092</v>
      </c>
      <c r="P472" s="36" t="n">
        <v>-0.1850746268656717</v>
      </c>
      <c r="Q472" s="36" t="n">
        <v>-0.002436053593178999</v>
      </c>
      <c r="R472" s="36" t="n">
        <v>0.06108699876919088</v>
      </c>
      <c r="S472" s="36" t="n">
        <v>-0.004920721705850228</v>
      </c>
      <c r="T472" s="36" t="n">
        <v>-0.06399999999999995</v>
      </c>
      <c r="U472" s="31" t="n">
        <v>189000</v>
      </c>
      <c r="V472" s="31" t="n">
        <v>60200</v>
      </c>
      <c r="W472" s="36" t="n">
        <v>-0.5666666666666667</v>
      </c>
      <c r="X472" s="36" t="n">
        <v>0.3604651162790697</v>
      </c>
      <c r="Y472" s="31" t="n">
        <v>95312200</v>
      </c>
      <c r="Z472" s="31" t="n">
        <v>7806069180000</v>
      </c>
      <c r="AA472" s="31" t="n">
        <v>74842021800</v>
      </c>
      <c r="AB472" s="31" t="n">
        <v>117471973040</v>
      </c>
      <c r="AC472" s="36" t="n">
        <v>0.009587670833324589</v>
      </c>
      <c r="AD472" s="29" t="inlineStr">
        <is>
          <t>yfinance_download</t>
        </is>
      </c>
      <c r="AE472" s="29" t="inlineStr">
        <is>
          <t>042700.KS</t>
        </is>
      </c>
    </row>
    <row r="473" ht="24" customHeight="1">
      <c r="A473" s="24" t="inlineStr">
        <is>
          <t>2025-05-16</t>
        </is>
      </c>
      <c r="B473" s="30" t="n">
        <v>82800</v>
      </c>
      <c r="C473" s="30" t="n">
        <v>94200</v>
      </c>
      <c r="D473" s="30" t="n">
        <v>82600</v>
      </c>
      <c r="E473" s="30" t="n">
        <v>91500</v>
      </c>
      <c r="F473" s="30" t="n">
        <v>91217.375</v>
      </c>
      <c r="G473" s="30" t="n">
        <v>3986502</v>
      </c>
      <c r="H473" s="35" t="n">
        <v>0.1172161172161172</v>
      </c>
      <c r="I473" s="35" t="n">
        <v>-0.5158730158730158</v>
      </c>
      <c r="J473" s="30" t="n">
        <v>78380</v>
      </c>
      <c r="K473" s="30" t="n">
        <v>82148.33333333333</v>
      </c>
      <c r="L473" s="30" t="n">
        <v>87586.66666666667</v>
      </c>
      <c r="M473" s="35" t="n">
        <v>0.8579340365025153</v>
      </c>
      <c r="N473" s="35" t="n">
        <v>0.7160480893311484</v>
      </c>
      <c r="O473" s="35" t="n">
        <v>0.3535502958579881</v>
      </c>
      <c r="P473" s="35" t="n">
        <v>-0.09316154608523286</v>
      </c>
      <c r="Q473" s="35" t="n">
        <v>0.128236744759556</v>
      </c>
      <c r="R473" s="35" t="n">
        <v>0.1673896402143404</v>
      </c>
      <c r="S473" s="35" t="n">
        <v>0.1138387875590903</v>
      </c>
      <c r="T473" s="35" t="n">
        <v>0.04467955548789759</v>
      </c>
      <c r="U473" s="30" t="n">
        <v>189000</v>
      </c>
      <c r="V473" s="30" t="n">
        <v>60200</v>
      </c>
      <c r="W473" s="35" t="n">
        <v>-0.5158730158730158</v>
      </c>
      <c r="X473" s="35" t="n">
        <v>0.5199335548172757</v>
      </c>
      <c r="Y473" s="30" t="n">
        <v>95312200</v>
      </c>
      <c r="Z473" s="30" t="n">
        <v>8721066300000</v>
      </c>
      <c r="AA473" s="30" t="n">
        <v>364764933000</v>
      </c>
      <c r="AB473" s="30" t="n">
        <v>133810713770</v>
      </c>
      <c r="AC473" s="35" t="n">
        <v>0.04182572640228638</v>
      </c>
      <c r="AD473" s="24" t="inlineStr">
        <is>
          <t>yfinance_download</t>
        </is>
      </c>
      <c r="AE473" s="24" t="inlineStr">
        <is>
          <t>042700.KS</t>
        </is>
      </c>
    </row>
    <row r="474" ht="24" customHeight="1">
      <c r="A474" s="29" t="inlineStr">
        <is>
          <t>2025-05-19</t>
        </is>
      </c>
      <c r="B474" s="31" t="n">
        <v>88700</v>
      </c>
      <c r="C474" s="31" t="n">
        <v>89200</v>
      </c>
      <c r="D474" s="31" t="n">
        <v>84400</v>
      </c>
      <c r="E474" s="31" t="n">
        <v>85700</v>
      </c>
      <c r="F474" s="31" t="n">
        <v>85435.2890625</v>
      </c>
      <c r="G474" s="31" t="n">
        <v>1988844</v>
      </c>
      <c r="H474" s="36" t="n">
        <v>-0.06338797814207653</v>
      </c>
      <c r="I474" s="36" t="n">
        <v>-0.5465608465608466</v>
      </c>
      <c r="J474" s="31" t="n">
        <v>79430</v>
      </c>
      <c r="K474" s="31" t="n">
        <v>81936.66666666667</v>
      </c>
      <c r="L474" s="31" t="n">
        <v>87620</v>
      </c>
      <c r="M474" s="36" t="n">
        <v>0.8795854708192767</v>
      </c>
      <c r="N474" s="36" t="n">
        <v>0.7259104222333214</v>
      </c>
      <c r="O474" s="36" t="n">
        <v>0.3245749613601236</v>
      </c>
      <c r="P474" s="36" t="n">
        <v>-0.1290650406504065</v>
      </c>
      <c r="Q474" s="36" t="n">
        <v>0.0489596083231334</v>
      </c>
      <c r="R474" s="36" t="n">
        <v>0.07893742918292834</v>
      </c>
      <c r="S474" s="36" t="n">
        <v>0.04592978316585983</v>
      </c>
      <c r="T474" s="36" t="n">
        <v>-0.02191280529559458</v>
      </c>
      <c r="U474" s="31" t="n">
        <v>189000</v>
      </c>
      <c r="V474" s="31" t="n">
        <v>60200</v>
      </c>
      <c r="W474" s="36" t="n">
        <v>-0.5465608465608466</v>
      </c>
      <c r="X474" s="36" t="n">
        <v>0.4235880398671097</v>
      </c>
      <c r="Y474" s="31" t="n">
        <v>95312200</v>
      </c>
      <c r="Z474" s="31" t="n">
        <v>8168255540000</v>
      </c>
      <c r="AA474" s="31" t="n">
        <v>170443930800</v>
      </c>
      <c r="AB474" s="31" t="n">
        <v>140167627760</v>
      </c>
      <c r="AC474" s="36" t="n">
        <v>0.02086662567855951</v>
      </c>
      <c r="AD474" s="29" t="inlineStr">
        <is>
          <t>yfinance_download</t>
        </is>
      </c>
      <c r="AE474" s="29" t="inlineStr">
        <is>
          <t>042700.KS</t>
        </is>
      </c>
    </row>
    <row r="475" ht="24" customHeight="1">
      <c r="A475" s="24" t="inlineStr">
        <is>
          <t>2025-05-20</t>
        </is>
      </c>
      <c r="B475" s="30" t="n">
        <v>87800</v>
      </c>
      <c r="C475" s="30" t="n">
        <v>88300</v>
      </c>
      <c r="D475" s="30" t="n">
        <v>84900</v>
      </c>
      <c r="E475" s="30" t="n">
        <v>85400</v>
      </c>
      <c r="F475" s="30" t="n">
        <v>85136.2109375</v>
      </c>
      <c r="G475" s="30" t="n">
        <v>923369</v>
      </c>
      <c r="H475" s="35" t="n">
        <v>-0.003500583430571802</v>
      </c>
      <c r="I475" s="35" t="n">
        <v>-0.5481481481481482</v>
      </c>
      <c r="J475" s="30" t="n">
        <v>80300</v>
      </c>
      <c r="K475" s="30" t="n">
        <v>81576.66666666667</v>
      </c>
      <c r="L475" s="30" t="n">
        <v>87660</v>
      </c>
      <c r="M475" s="35" t="n">
        <v>0.8717002343113013</v>
      </c>
      <c r="N475" s="35" t="n">
        <v>0.7019863143806566</v>
      </c>
      <c r="O475" s="35" t="n">
        <v>0.2558823529411764</v>
      </c>
      <c r="P475" s="35" t="n">
        <v>-0.2018691588785047</v>
      </c>
      <c r="Q475" s="35" t="n">
        <v>0.05955334987593042</v>
      </c>
      <c r="R475" s="35" t="n">
        <v>0.06351183063511834</v>
      </c>
      <c r="S475" s="35" t="n">
        <v>0.04686797695419442</v>
      </c>
      <c r="T475" s="35" t="n">
        <v>-0.02578142824549401</v>
      </c>
      <c r="U475" s="30" t="n">
        <v>189000</v>
      </c>
      <c r="V475" s="30" t="n">
        <v>60200</v>
      </c>
      <c r="W475" s="35" t="n">
        <v>-0.5481481481481482</v>
      </c>
      <c r="X475" s="35" t="n">
        <v>0.4186046511627908</v>
      </c>
      <c r="Y475" s="30" t="n">
        <v>95312200</v>
      </c>
      <c r="Z475" s="30" t="n">
        <v>8139661880000</v>
      </c>
      <c r="AA475" s="30" t="n">
        <v>78855712600</v>
      </c>
      <c r="AB475" s="30" t="n">
        <v>136838143190</v>
      </c>
      <c r="AC475" s="35" t="n">
        <v>0.009687836394501438</v>
      </c>
      <c r="AD475" s="24" t="inlineStr">
        <is>
          <t>yfinance_download</t>
        </is>
      </c>
      <c r="AE475" s="24" t="inlineStr">
        <is>
          <t>042700.KS</t>
        </is>
      </c>
    </row>
    <row r="476" ht="24" customHeight="1">
      <c r="A476" s="29" t="inlineStr">
        <is>
          <t>2025-05-21</t>
        </is>
      </c>
      <c r="B476" s="31" t="n">
        <v>86100</v>
      </c>
      <c r="C476" s="31" t="n">
        <v>86200</v>
      </c>
      <c r="D476" s="31" t="n">
        <v>83500</v>
      </c>
      <c r="E476" s="31" t="n">
        <v>84200</v>
      </c>
      <c r="F476" s="31" t="n">
        <v>83939.921875</v>
      </c>
      <c r="G476" s="31" t="n">
        <v>630075</v>
      </c>
      <c r="H476" s="36" t="n">
        <v>-0.01405152224824358</v>
      </c>
      <c r="I476" s="36" t="n">
        <v>-0.5544973544973545</v>
      </c>
      <c r="J476" s="31" t="n">
        <v>80850</v>
      </c>
      <c r="K476" s="31" t="n">
        <v>81181.66666666667</v>
      </c>
      <c r="L476" s="31" t="n">
        <v>87688.33333333333</v>
      </c>
      <c r="M476" s="36" t="n">
        <v>0.8428011003865153</v>
      </c>
      <c r="N476" s="36" t="n">
        <v>0.7019631067150621</v>
      </c>
      <c r="O476" s="36" t="n">
        <v>0.1502732240437159</v>
      </c>
      <c r="P476" s="36" t="n">
        <v>-0.2196478220574606</v>
      </c>
      <c r="Q476" s="36" t="n">
        <v>0.04207920792079212</v>
      </c>
      <c r="R476" s="36" t="n">
        <v>0.04143475572046995</v>
      </c>
      <c r="S476" s="36" t="n">
        <v>0.03717998727134608</v>
      </c>
      <c r="T476" s="36" t="n">
        <v>-0.03978104270807592</v>
      </c>
      <c r="U476" s="31" t="n">
        <v>189000</v>
      </c>
      <c r="V476" s="31" t="n">
        <v>60200</v>
      </c>
      <c r="W476" s="36" t="n">
        <v>-0.5544973544973545</v>
      </c>
      <c r="X476" s="36" t="n">
        <v>0.3986710963455149</v>
      </c>
      <c r="Y476" s="31" t="n">
        <v>95312200</v>
      </c>
      <c r="Z476" s="31" t="n">
        <v>8025287240000</v>
      </c>
      <c r="AA476" s="31" t="n">
        <v>53052315000</v>
      </c>
      <c r="AB476" s="31" t="n">
        <v>130745620820</v>
      </c>
      <c r="AC476" s="36" t="n">
        <v>0.006610643758091829</v>
      </c>
      <c r="AD476" s="29" t="inlineStr">
        <is>
          <t>yfinance_download</t>
        </is>
      </c>
      <c r="AE476" s="29" t="inlineStr">
        <is>
          <t>042700.KS</t>
        </is>
      </c>
    </row>
    <row r="477" ht="24" customHeight="1">
      <c r="A477" s="24" t="inlineStr">
        <is>
          <t>2025-05-22</t>
        </is>
      </c>
      <c r="B477" s="30" t="n">
        <v>82500</v>
      </c>
      <c r="C477" s="30" t="n">
        <v>83500</v>
      </c>
      <c r="D477" s="30" t="n">
        <v>81100</v>
      </c>
      <c r="E477" s="30" t="n">
        <v>81200</v>
      </c>
      <c r="F477" s="30" t="n">
        <v>80949.1875</v>
      </c>
      <c r="G477" s="30" t="n">
        <v>689630</v>
      </c>
      <c r="H477" s="35" t="n">
        <v>-0.03562945368171022</v>
      </c>
      <c r="I477" s="35" t="n">
        <v>-0.5703703703703704</v>
      </c>
      <c r="J477" s="30" t="n">
        <v>81155</v>
      </c>
      <c r="K477" s="30" t="n">
        <v>80770</v>
      </c>
      <c r="L477" s="30" t="n">
        <v>87684.16666666667</v>
      </c>
      <c r="M477" s="35" t="n">
        <v>0.8539781907477456</v>
      </c>
      <c r="N477" s="35" t="n">
        <v>0.7044303411297071</v>
      </c>
      <c r="O477" s="35" t="n">
        <v>0.08122503328894815</v>
      </c>
      <c r="P477" s="35" t="n">
        <v>-0.2332389046270066</v>
      </c>
      <c r="Q477" s="35" t="n">
        <v>-0.006119951040391647</v>
      </c>
      <c r="R477" s="35" t="n">
        <v>0.0005544944858604239</v>
      </c>
      <c r="S477" s="35" t="n">
        <v>0.005323758821344615</v>
      </c>
      <c r="T477" s="35" t="n">
        <v>-0.07394911662120685</v>
      </c>
      <c r="U477" s="30" t="n">
        <v>189000</v>
      </c>
      <c r="V477" s="30" t="n">
        <v>60200</v>
      </c>
      <c r="W477" s="35" t="n">
        <v>-0.5703703703703704</v>
      </c>
      <c r="X477" s="35" t="n">
        <v>0.3488372093023255</v>
      </c>
      <c r="Y477" s="30" t="n">
        <v>95312200</v>
      </c>
      <c r="Z477" s="30" t="n">
        <v>7739350640000</v>
      </c>
      <c r="AA477" s="30" t="n">
        <v>55997956000</v>
      </c>
      <c r="AB477" s="30" t="n">
        <v>127964837620</v>
      </c>
      <c r="AC477" s="35" t="n">
        <v>0.007235485069067758</v>
      </c>
      <c r="AD477" s="24" t="inlineStr">
        <is>
          <t>yfinance_download</t>
        </is>
      </c>
      <c r="AE477" s="24" t="inlineStr">
        <is>
          <t>042700.KS</t>
        </is>
      </c>
    </row>
    <row r="478" ht="24" customHeight="1">
      <c r="A478" s="29" t="inlineStr">
        <is>
          <t>2025-05-23</t>
        </is>
      </c>
      <c r="B478" s="31" t="n">
        <v>81900</v>
      </c>
      <c r="C478" s="31" t="n">
        <v>82600</v>
      </c>
      <c r="D478" s="31" t="n">
        <v>78200</v>
      </c>
      <c r="E478" s="31" t="n">
        <v>78400</v>
      </c>
      <c r="F478" s="31" t="n">
        <v>78157.8359375</v>
      </c>
      <c r="G478" s="31" t="n">
        <v>726195</v>
      </c>
      <c r="H478" s="36" t="n">
        <v>-0.03448275862068961</v>
      </c>
      <c r="I478" s="36" t="n">
        <v>-0.5851851851851853</v>
      </c>
      <c r="J478" s="31" t="n">
        <v>81330</v>
      </c>
      <c r="K478" s="31" t="n">
        <v>80395</v>
      </c>
      <c r="L478" s="31" t="n">
        <v>87665</v>
      </c>
      <c r="M478" s="36" t="n">
        <v>0.8652749600372845</v>
      </c>
      <c r="N478" s="36" t="n">
        <v>0.7015301012808292</v>
      </c>
      <c r="O478" s="36" t="n">
        <v>0.04672897196261672</v>
      </c>
      <c r="P478" s="36" t="n">
        <v>-0.2229930624380575</v>
      </c>
      <c r="Q478" s="36" t="n">
        <v>-0.02850061957868655</v>
      </c>
      <c r="R478" s="36" t="n">
        <v>-0.03602606664207553</v>
      </c>
      <c r="S478" s="36" t="n">
        <v>-0.02481497605572491</v>
      </c>
      <c r="T478" s="36" t="n">
        <v>-0.1056864198939144</v>
      </c>
      <c r="U478" s="31" t="n">
        <v>189000</v>
      </c>
      <c r="V478" s="31" t="n">
        <v>60200</v>
      </c>
      <c r="W478" s="36" t="n">
        <v>-0.5851851851851853</v>
      </c>
      <c r="X478" s="36" t="n">
        <v>0.3023255813953489</v>
      </c>
      <c r="Y478" s="31" t="n">
        <v>95312200</v>
      </c>
      <c r="Z478" s="31" t="n">
        <v>7472476480000</v>
      </c>
      <c r="AA478" s="31" t="n">
        <v>56933688000</v>
      </c>
      <c r="AB478" s="31" t="n">
        <v>125481094995</v>
      </c>
      <c r="AC478" s="36" t="n">
        <v>0.007619119063456724</v>
      </c>
      <c r="AD478" s="29" t="inlineStr">
        <is>
          <t>yfinance_download</t>
        </is>
      </c>
      <c r="AE478" s="29" t="inlineStr">
        <is>
          <t>042700.KS</t>
        </is>
      </c>
    </row>
    <row r="479" ht="24" customHeight="1">
      <c r="A479" s="24" t="inlineStr">
        <is>
          <t>2025-05-26</t>
        </is>
      </c>
      <c r="B479" s="30" t="n">
        <v>78600</v>
      </c>
      <c r="C479" s="30" t="n">
        <v>84400</v>
      </c>
      <c r="D479" s="30" t="n">
        <v>78600</v>
      </c>
      <c r="E479" s="30" t="n">
        <v>83800</v>
      </c>
      <c r="F479" s="30" t="n">
        <v>83541.15625</v>
      </c>
      <c r="G479" s="30" t="n">
        <v>927215</v>
      </c>
      <c r="H479" s="35" t="n">
        <v>0.06887755102040827</v>
      </c>
      <c r="I479" s="35" t="n">
        <v>-0.5566137566137566</v>
      </c>
      <c r="J479" s="30" t="n">
        <v>81240</v>
      </c>
      <c r="K479" s="30" t="n">
        <v>80121.66666666667</v>
      </c>
      <c r="L479" s="30" t="n">
        <v>87668.33333333333</v>
      </c>
      <c r="M479" s="35" t="n">
        <v>0.737877614910488</v>
      </c>
      <c r="N479" s="35" t="n">
        <v>0.7168664309731333</v>
      </c>
      <c r="O479" s="35" t="n">
        <v>-0.0210280373831776</v>
      </c>
      <c r="P479" s="35" t="n">
        <v>-0.1636726546906188</v>
      </c>
      <c r="Q479" s="35" t="n">
        <v>0.004796163069544335</v>
      </c>
      <c r="R479" s="35" t="n">
        <v>0.03151157065484989</v>
      </c>
      <c r="S479" s="35" t="n">
        <v>0.04590934620265008</v>
      </c>
      <c r="T479" s="35" t="n">
        <v>-0.0441246364137563</v>
      </c>
      <c r="U479" s="30" t="n">
        <v>189000</v>
      </c>
      <c r="V479" s="30" t="n">
        <v>60200</v>
      </c>
      <c r="W479" s="35" t="n">
        <v>-0.5566137566137566</v>
      </c>
      <c r="X479" s="35" t="n">
        <v>0.3920265780730896</v>
      </c>
      <c r="Y479" s="30" t="n">
        <v>95312200</v>
      </c>
      <c r="Z479" s="30" t="n">
        <v>7987162360000</v>
      </c>
      <c r="AA479" s="30" t="n">
        <v>77700617000</v>
      </c>
      <c r="AB479" s="30" t="n">
        <v>109963871485</v>
      </c>
      <c r="AC479" s="35" t="n">
        <v>0.009728187996919596</v>
      </c>
      <c r="AD479" s="24" t="inlineStr">
        <is>
          <t>yfinance_download</t>
        </is>
      </c>
      <c r="AE479" s="24" t="inlineStr">
        <is>
          <t>042700.KS</t>
        </is>
      </c>
    </row>
    <row r="480" ht="24" customHeight="1">
      <c r="A480" s="29" t="inlineStr">
        <is>
          <t>2025-05-27</t>
        </is>
      </c>
      <c r="B480" s="31" t="n">
        <v>82900</v>
      </c>
      <c r="C480" s="31" t="n">
        <v>83200</v>
      </c>
      <c r="D480" s="31" t="n">
        <v>81100</v>
      </c>
      <c r="E480" s="31" t="n">
        <v>82300</v>
      </c>
      <c r="F480" s="31" t="n">
        <v>82045.7890625</v>
      </c>
      <c r="G480" s="31" t="n">
        <v>491514</v>
      </c>
      <c r="H480" s="36" t="n">
        <v>-0.0178997613365155</v>
      </c>
      <c r="I480" s="36" t="n">
        <v>-0.5645502645502645</v>
      </c>
      <c r="J480" s="31" t="n">
        <v>81190</v>
      </c>
      <c r="K480" s="31" t="n">
        <v>79820</v>
      </c>
      <c r="L480" s="31" t="n">
        <v>87652.5</v>
      </c>
      <c r="M480" s="36" t="n">
        <v>0.7342327914155452</v>
      </c>
      <c r="N480" s="36" t="n">
        <v>0.7175536214631492</v>
      </c>
      <c r="O480" s="36" t="n">
        <v>-0.01200480192076836</v>
      </c>
      <c r="P480" s="36" t="n">
        <v>-0.1802788844621513</v>
      </c>
      <c r="Q480" s="36" t="n">
        <v>-0.0225653206650831</v>
      </c>
      <c r="R480" s="36" t="n">
        <v>0.01367163443773856</v>
      </c>
      <c r="S480" s="36" t="n">
        <v>0.03106990729140557</v>
      </c>
      <c r="T480" s="36" t="n">
        <v>-0.06106500099826018</v>
      </c>
      <c r="U480" s="31" t="n">
        <v>189000</v>
      </c>
      <c r="V480" s="31" t="n">
        <v>60200</v>
      </c>
      <c r="W480" s="36" t="n">
        <v>-0.5645502645502645</v>
      </c>
      <c r="X480" s="36" t="n">
        <v>0.367109634551495</v>
      </c>
      <c r="Y480" s="31" t="n">
        <v>95312200</v>
      </c>
      <c r="Z480" s="31" t="n">
        <v>7844194060000</v>
      </c>
      <c r="AA480" s="31" t="n">
        <v>40451602200</v>
      </c>
      <c r="AB480" s="31" t="n">
        <v>101805179900</v>
      </c>
      <c r="AC480" s="36" t="n">
        <v>0.005156884428226397</v>
      </c>
      <c r="AD480" s="29" t="inlineStr">
        <is>
          <t>yfinance_download</t>
        </is>
      </c>
      <c r="AE480" s="29" t="inlineStr">
        <is>
          <t>042700.KS</t>
        </is>
      </c>
    </row>
    <row r="481" ht="24" customHeight="1">
      <c r="A481" s="24" t="inlineStr">
        <is>
          <t>2025-05-28</t>
        </is>
      </c>
      <c r="B481" s="30" t="n">
        <v>84500</v>
      </c>
      <c r="C481" s="30" t="n">
        <v>85000</v>
      </c>
      <c r="D481" s="30" t="n">
        <v>83100</v>
      </c>
      <c r="E481" s="30" t="n">
        <v>84400</v>
      </c>
      <c r="F481" s="30" t="n">
        <v>84139.3046875</v>
      </c>
      <c r="G481" s="30" t="n">
        <v>753656</v>
      </c>
      <c r="H481" s="35" t="n">
        <v>0.02551640340218708</v>
      </c>
      <c r="I481" s="35" t="n">
        <v>-0.5534391534391534</v>
      </c>
      <c r="J481" s="30" t="n">
        <v>81285</v>
      </c>
      <c r="K481" s="30" t="n">
        <v>79560</v>
      </c>
      <c r="L481" s="30" t="n">
        <v>87683.33333333333</v>
      </c>
      <c r="M481" s="35" t="n">
        <v>0.7384628715760848</v>
      </c>
      <c r="N481" s="35" t="n">
        <v>0.7198044700408807</v>
      </c>
      <c r="O481" s="35" t="n">
        <v>0.02303030303030296</v>
      </c>
      <c r="P481" s="35" t="n">
        <v>-0.156</v>
      </c>
      <c r="Q481" s="35" t="n">
        <v>0.04584882280049563</v>
      </c>
      <c r="R481" s="35" t="n">
        <v>0.03832195361997903</v>
      </c>
      <c r="S481" s="35" t="n">
        <v>0.06083459024635496</v>
      </c>
      <c r="T481" s="35" t="n">
        <v>-0.03744535259456372</v>
      </c>
      <c r="U481" s="30" t="n">
        <v>189000</v>
      </c>
      <c r="V481" s="30" t="n">
        <v>60200</v>
      </c>
      <c r="W481" s="35" t="n">
        <v>-0.5534391534391534</v>
      </c>
      <c r="X481" s="35" t="n">
        <v>0.4019933554817277</v>
      </c>
      <c r="Y481" s="30" t="n">
        <v>95312200</v>
      </c>
      <c r="Z481" s="30" t="n">
        <v>8044349680000</v>
      </c>
      <c r="AA481" s="30" t="n">
        <v>63608566400</v>
      </c>
      <c r="AB481" s="30" t="n">
        <v>98375312220</v>
      </c>
      <c r="AC481" s="35" t="n">
        <v>0.007907235380150705</v>
      </c>
      <c r="AD481" s="24" t="inlineStr">
        <is>
          <t>yfinance_download</t>
        </is>
      </c>
      <c r="AE481" s="24" t="inlineStr">
        <is>
          <t>042700.KS</t>
        </is>
      </c>
    </row>
    <row r="482" ht="24" customHeight="1">
      <c r="A482" s="29" t="inlineStr">
        <is>
          <t>2025-05-29</t>
        </is>
      </c>
      <c r="B482" s="31" t="n">
        <v>86800</v>
      </c>
      <c r="C482" s="31" t="n">
        <v>86900</v>
      </c>
      <c r="D482" s="31" t="n">
        <v>82700</v>
      </c>
      <c r="E482" s="31" t="n">
        <v>83300</v>
      </c>
      <c r="F482" s="31" t="n">
        <v>83042.703125</v>
      </c>
      <c r="G482" s="31" t="n">
        <v>1044115</v>
      </c>
      <c r="H482" s="36" t="n">
        <v>-0.01303317535545023</v>
      </c>
      <c r="I482" s="36" t="n">
        <v>-0.5592592592592592</v>
      </c>
      <c r="J482" s="31" t="n">
        <v>81655</v>
      </c>
      <c r="K482" s="31" t="n">
        <v>79390</v>
      </c>
      <c r="L482" s="31" t="n">
        <v>87739.16666666667</v>
      </c>
      <c r="M482" s="36" t="n">
        <v>0.6752093328351857</v>
      </c>
      <c r="N482" s="36" t="n">
        <v>0.7081078087365127</v>
      </c>
      <c r="O482" s="36" t="n">
        <v>0.0974967061923584</v>
      </c>
      <c r="P482" s="36" t="n">
        <v>-0.1090909090909091</v>
      </c>
      <c r="Q482" s="36" t="n">
        <v>0.08746736292428192</v>
      </c>
      <c r="R482" s="36" t="n">
        <v>0.02014573510501494</v>
      </c>
      <c r="S482" s="36" t="n">
        <v>0.04925053533190571</v>
      </c>
      <c r="T482" s="36" t="n">
        <v>-0.05059504022338945</v>
      </c>
      <c r="U482" s="31" t="n">
        <v>189000</v>
      </c>
      <c r="V482" s="31" t="n">
        <v>60200</v>
      </c>
      <c r="W482" s="36" t="n">
        <v>-0.5592592592592592</v>
      </c>
      <c r="X482" s="36" t="n">
        <v>0.3837209302325582</v>
      </c>
      <c r="Y482" s="31" t="n">
        <v>95312200</v>
      </c>
      <c r="Z482" s="31" t="n">
        <v>7939506260000</v>
      </c>
      <c r="AA482" s="31" t="n">
        <v>86974779500</v>
      </c>
      <c r="AB482" s="31" t="n">
        <v>95911980655</v>
      </c>
      <c r="AC482" s="36" t="n">
        <v>0.01095468366064365</v>
      </c>
      <c r="AD482" s="29" t="inlineStr">
        <is>
          <t>yfinance_download</t>
        </is>
      </c>
      <c r="AE482" s="29" t="inlineStr">
        <is>
          <t>042700.KS</t>
        </is>
      </c>
    </row>
    <row r="483" ht="24" customHeight="1">
      <c r="A483" s="24" t="inlineStr">
        <is>
          <t>2025-05-30</t>
        </is>
      </c>
      <c r="B483" s="30" t="n">
        <v>82400</v>
      </c>
      <c r="C483" s="30" t="n">
        <v>82500</v>
      </c>
      <c r="D483" s="30" t="n">
        <v>80100</v>
      </c>
      <c r="E483" s="30" t="n">
        <v>80400</v>
      </c>
      <c r="F483" s="30" t="n">
        <v>80151.65625</v>
      </c>
      <c r="G483" s="30" t="n">
        <v>745194</v>
      </c>
      <c r="H483" s="35" t="n">
        <v>-0.03481392557022811</v>
      </c>
      <c r="I483" s="35" t="n">
        <v>-0.5746031746031746</v>
      </c>
      <c r="J483" s="30" t="n">
        <v>81815</v>
      </c>
      <c r="K483" s="30" t="n">
        <v>79226.66666666667</v>
      </c>
      <c r="L483" s="30" t="n">
        <v>87768.33333333333</v>
      </c>
      <c r="M483" s="35" t="n">
        <v>0.6883856062244976</v>
      </c>
      <c r="N483" s="35" t="n">
        <v>0.7080090392649476</v>
      </c>
      <c r="O483" s="35" t="n">
        <v>0.04145077720207246</v>
      </c>
      <c r="P483" s="35" t="n">
        <v>-0.1086474501108647</v>
      </c>
      <c r="Q483" s="35" t="n">
        <v>0.04551365409622887</v>
      </c>
      <c r="R483" s="35" t="n">
        <v>-0.017295117032329</v>
      </c>
      <c r="S483" s="35" t="n">
        <v>0.01480982834062594</v>
      </c>
      <c r="T483" s="35" t="n">
        <v>-0.08395207079242695</v>
      </c>
      <c r="U483" s="30" t="n">
        <v>189000</v>
      </c>
      <c r="V483" s="30" t="n">
        <v>60200</v>
      </c>
      <c r="W483" s="35" t="n">
        <v>-0.5746031746031746</v>
      </c>
      <c r="X483" s="35" t="n">
        <v>0.3355481727574752</v>
      </c>
      <c r="Y483" s="30" t="n">
        <v>95312200</v>
      </c>
      <c r="Z483" s="30" t="n">
        <v>7663100880000</v>
      </c>
      <c r="AA483" s="30" t="n">
        <v>59913597600</v>
      </c>
      <c r="AB483" s="30" t="n">
        <v>94241418475</v>
      </c>
      <c r="AC483" s="35" t="n">
        <v>0.007818453461361714</v>
      </c>
      <c r="AD483" s="24" t="inlineStr">
        <is>
          <t>yfinance_download</t>
        </is>
      </c>
      <c r="AE483" s="24" t="inlineStr">
        <is>
          <t>042700.KS</t>
        </is>
      </c>
    </row>
    <row r="484" ht="24" customHeight="1">
      <c r="A484" s="29" t="inlineStr">
        <is>
          <t>2025-06-02</t>
        </is>
      </c>
      <c r="B484" s="31" t="n">
        <v>80300</v>
      </c>
      <c r="C484" s="31" t="n">
        <v>81300</v>
      </c>
      <c r="D484" s="31" t="n">
        <v>79800</v>
      </c>
      <c r="E484" s="31" t="n">
        <v>80000</v>
      </c>
      <c r="F484" s="31" t="n">
        <v>79752.890625</v>
      </c>
      <c r="G484" s="31" t="n">
        <v>428944</v>
      </c>
      <c r="H484" s="36" t="n">
        <v>-0.00497512437810943</v>
      </c>
      <c r="I484" s="36" t="n">
        <v>-0.5767195767195767</v>
      </c>
      <c r="J484" s="31" t="n">
        <v>82010</v>
      </c>
      <c r="K484" s="31" t="n">
        <v>79043.33333333333</v>
      </c>
      <c r="L484" s="31" t="n">
        <v>87813.33333333333</v>
      </c>
      <c r="M484" s="36" t="n">
        <v>0.6861050937312179</v>
      </c>
      <c r="N484" s="36" t="n">
        <v>0.7077572320357548</v>
      </c>
      <c r="O484" s="36" t="n">
        <v>0.05124835742444156</v>
      </c>
      <c r="P484" s="36" t="n">
        <v>-0.1208791208791209</v>
      </c>
      <c r="Q484" s="36" t="n">
        <v>0.07238605898123329</v>
      </c>
      <c r="R484" s="36" t="n">
        <v>-0.02450920619436658</v>
      </c>
      <c r="S484" s="36" t="n">
        <v>0.01210306582887033</v>
      </c>
      <c r="T484" s="36" t="n">
        <v>-0.08897661706650462</v>
      </c>
      <c r="U484" s="31" t="n">
        <v>189000</v>
      </c>
      <c r="V484" s="31" t="n">
        <v>60200</v>
      </c>
      <c r="W484" s="36" t="n">
        <v>-0.5767195767195767</v>
      </c>
      <c r="X484" s="36" t="n">
        <v>0.3289036544850499</v>
      </c>
      <c r="Y484" s="31" t="n">
        <v>95312200</v>
      </c>
      <c r="Z484" s="31" t="n">
        <v>7624976000000</v>
      </c>
      <c r="AA484" s="31" t="n">
        <v>34315520000</v>
      </c>
      <c r="AB484" s="31" t="n">
        <v>93172900945</v>
      </c>
      <c r="AC484" s="36" t="n">
        <v>0.004500410230799415</v>
      </c>
      <c r="AD484" s="29" t="inlineStr">
        <is>
          <t>yfinance_download</t>
        </is>
      </c>
      <c r="AE484" s="29" t="inlineStr">
        <is>
          <t>042700.KS</t>
        </is>
      </c>
    </row>
    <row r="485" ht="24" customHeight="1">
      <c r="A485" s="24" t="inlineStr">
        <is>
          <t>2025-06-04</t>
        </is>
      </c>
      <c r="B485" s="30" t="n">
        <v>82000</v>
      </c>
      <c r="C485" s="30" t="n">
        <v>83800</v>
      </c>
      <c r="D485" s="30" t="n">
        <v>81800</v>
      </c>
      <c r="E485" s="30" t="n">
        <v>82800</v>
      </c>
      <c r="F485" s="30" t="n">
        <v>82544.2421875</v>
      </c>
      <c r="G485" s="30" t="n">
        <v>798872</v>
      </c>
      <c r="H485" s="35" t="n">
        <v>0.03499999999999992</v>
      </c>
      <c r="I485" s="35" t="n">
        <v>-0.5619047619047619</v>
      </c>
      <c r="J485" s="30" t="n">
        <v>82335</v>
      </c>
      <c r="K485" s="30" t="n">
        <v>78968.33333333333</v>
      </c>
      <c r="L485" s="30" t="n">
        <v>87900.83333333333</v>
      </c>
      <c r="M485" s="35" t="n">
        <v>0.6952077339641864</v>
      </c>
      <c r="N485" s="35" t="n">
        <v>0.7067166467361171</v>
      </c>
      <c r="O485" s="35" t="n">
        <v>0.08519003931847968</v>
      </c>
      <c r="P485" s="35" t="n">
        <v>-0.05154639175257736</v>
      </c>
      <c r="Q485" s="35" t="n">
        <v>0.1452282157676348</v>
      </c>
      <c r="R485" s="35" t="n">
        <v>0.005647658954272217</v>
      </c>
      <c r="S485" s="35" t="n">
        <v>0.04852155927481494</v>
      </c>
      <c r="T485" s="35" t="n">
        <v>-0.05802940813985447</v>
      </c>
      <c r="U485" s="30" t="n">
        <v>189000</v>
      </c>
      <c r="V485" s="30" t="n">
        <v>60200</v>
      </c>
      <c r="W485" s="35" t="n">
        <v>-0.5619047619047619</v>
      </c>
      <c r="X485" s="35" t="n">
        <v>0.3754152823920265</v>
      </c>
      <c r="Y485" s="30" t="n">
        <v>95312200</v>
      </c>
      <c r="Z485" s="30" t="n">
        <v>7891850160000</v>
      </c>
      <c r="AA485" s="30" t="n">
        <v>66146601600</v>
      </c>
      <c r="AB485" s="30" t="n">
        <v>94469855735</v>
      </c>
      <c r="AC485" s="35" t="n">
        <v>0.008381634250389772</v>
      </c>
      <c r="AD485" s="24" t="inlineStr">
        <is>
          <t>yfinance_download</t>
        </is>
      </c>
      <c r="AE485" s="24" t="inlineStr">
        <is>
          <t>042700.KS</t>
        </is>
      </c>
    </row>
    <row r="486" ht="24" customHeight="1">
      <c r="A486" s="29" t="inlineStr">
        <is>
          <t>2025-06-05</t>
        </is>
      </c>
      <c r="B486" s="31" t="n">
        <v>83000</v>
      </c>
      <c r="C486" s="31" t="n">
        <v>85000</v>
      </c>
      <c r="D486" s="31" t="n">
        <v>81300</v>
      </c>
      <c r="E486" s="31" t="n">
        <v>82700</v>
      </c>
      <c r="F486" s="31" t="n">
        <v>82444.5546875</v>
      </c>
      <c r="G486" s="31" t="n">
        <v>1122713</v>
      </c>
      <c r="H486" s="36" t="n">
        <v>-0.001207729468599039</v>
      </c>
      <c r="I486" s="36" t="n">
        <v>-0.5624338624338625</v>
      </c>
      <c r="J486" s="31" t="n">
        <v>82585</v>
      </c>
      <c r="K486" s="31" t="n">
        <v>78890</v>
      </c>
      <c r="L486" s="31" t="n">
        <v>87965.83333333333</v>
      </c>
      <c r="M486" s="36" t="n">
        <v>0.6936844030414835</v>
      </c>
      <c r="N486" s="36" t="n">
        <v>0.7067179224608655</v>
      </c>
      <c r="O486" s="36" t="n">
        <v>0.0643500643500643</v>
      </c>
      <c r="P486" s="36" t="n">
        <v>-0.05377574370709381</v>
      </c>
      <c r="Q486" s="36" t="n">
        <v>0.1041388518024031</v>
      </c>
      <c r="R486" s="36" t="n">
        <v>0.001392504692135477</v>
      </c>
      <c r="S486" s="36" t="n">
        <v>0.04829509443528957</v>
      </c>
      <c r="T486" s="36" t="n">
        <v>-0.0598622571263463</v>
      </c>
      <c r="U486" s="31" t="n">
        <v>189000</v>
      </c>
      <c r="V486" s="31" t="n">
        <v>60200</v>
      </c>
      <c r="W486" s="36" t="n">
        <v>-0.5624338624338625</v>
      </c>
      <c r="X486" s="36" t="n">
        <v>0.3737541528239203</v>
      </c>
      <c r="Y486" s="31" t="n">
        <v>95312200</v>
      </c>
      <c r="Z486" s="31" t="n">
        <v>7882318940000</v>
      </c>
      <c r="AA486" s="31" t="n">
        <v>92848365100</v>
      </c>
      <c r="AB486" s="31" t="n">
        <v>96453240130</v>
      </c>
      <c r="AC486" s="36" t="n">
        <v>0.01177932101032187</v>
      </c>
      <c r="AD486" s="29" t="inlineStr">
        <is>
          <t>yfinance_download</t>
        </is>
      </c>
      <c r="AE486" s="29" t="inlineStr">
        <is>
          <t>042700.KS</t>
        </is>
      </c>
    </row>
    <row r="487" ht="24" customHeight="1">
      <c r="A487" s="24" t="inlineStr">
        <is>
          <t>2025-06-09</t>
        </is>
      </c>
      <c r="B487" s="30" t="n">
        <v>84000</v>
      </c>
      <c r="C487" s="30" t="n">
        <v>84100</v>
      </c>
      <c r="D487" s="30" t="n">
        <v>82100</v>
      </c>
      <c r="E487" s="30" t="n">
        <v>83500</v>
      </c>
      <c r="F487" s="30" t="n">
        <v>83242.0859375</v>
      </c>
      <c r="G487" s="30" t="n">
        <v>689244</v>
      </c>
      <c r="H487" s="35" t="n">
        <v>0.009673518742442599</v>
      </c>
      <c r="I487" s="35" t="n">
        <v>-0.5582010582010581</v>
      </c>
      <c r="J487" s="30" t="n">
        <v>82835</v>
      </c>
      <c r="K487" s="30" t="n">
        <v>78825</v>
      </c>
      <c r="L487" s="30" t="n">
        <v>88044.16666666667</v>
      </c>
      <c r="M487" s="35" t="n">
        <v>0.6936130201630766</v>
      </c>
      <c r="N487" s="35" t="n">
        <v>0.7069936530502329</v>
      </c>
      <c r="O487" s="35" t="n">
        <v>0.06369426751592355</v>
      </c>
      <c r="P487" s="35" t="n">
        <v>-0.04462242562929064</v>
      </c>
      <c r="Q487" s="35" t="n">
        <v>0.1268556005398112</v>
      </c>
      <c r="R487" s="35" t="n">
        <v>0.008028007484758959</v>
      </c>
      <c r="S487" s="35" t="n">
        <v>0.0593085949888994</v>
      </c>
      <c r="T487" s="35" t="n">
        <v>-0.05161235364826366</v>
      </c>
      <c r="U487" s="30" t="n">
        <v>189000</v>
      </c>
      <c r="V487" s="30" t="n">
        <v>60200</v>
      </c>
      <c r="W487" s="35" t="n">
        <v>-0.5582010582010581</v>
      </c>
      <c r="X487" s="35" t="n">
        <v>0.3870431893687707</v>
      </c>
      <c r="Y487" s="30" t="n">
        <v>95312200</v>
      </c>
      <c r="Z487" s="30" t="n">
        <v>7958568700000</v>
      </c>
      <c r="AA487" s="30" t="n">
        <v>57551874000</v>
      </c>
      <c r="AB487" s="30" t="n">
        <v>93477269380</v>
      </c>
      <c r="AC487" s="35" t="n">
        <v>0.007231435220255119</v>
      </c>
      <c r="AD487" s="24" t="inlineStr">
        <is>
          <t>yfinance_download</t>
        </is>
      </c>
      <c r="AE487" s="24" t="inlineStr">
        <is>
          <t>042700.KS</t>
        </is>
      </c>
    </row>
    <row r="488" ht="24" customHeight="1">
      <c r="A488" s="29" t="inlineStr">
        <is>
          <t>2025-06-10</t>
        </is>
      </c>
      <c r="B488" s="31" t="n">
        <v>83900</v>
      </c>
      <c r="C488" s="31" t="n">
        <v>84200</v>
      </c>
      <c r="D488" s="31" t="n">
        <v>82200</v>
      </c>
      <c r="E488" s="31" t="n">
        <v>82900</v>
      </c>
      <c r="F488" s="31" t="n">
        <v>82643.9375</v>
      </c>
      <c r="G488" s="31" t="n">
        <v>801422</v>
      </c>
      <c r="H488" s="36" t="n">
        <v>-0.007185628742514938</v>
      </c>
      <c r="I488" s="36" t="n">
        <v>-0.5613756613756613</v>
      </c>
      <c r="J488" s="31" t="n">
        <v>83110</v>
      </c>
      <c r="K488" s="31" t="n">
        <v>78771.66666666667</v>
      </c>
      <c r="L488" s="31" t="n">
        <v>88115</v>
      </c>
      <c r="M488" s="36" t="n">
        <v>0.6916858465361896</v>
      </c>
      <c r="N488" s="36" t="n">
        <v>0.7064688577392757</v>
      </c>
      <c r="O488" s="36" t="n">
        <v>0.07105943152454786</v>
      </c>
      <c r="P488" s="36" t="n">
        <v>-0.03716608594657378</v>
      </c>
      <c r="Q488" s="36" t="n">
        <v>0.114247311827957</v>
      </c>
      <c r="R488" s="36" t="n">
        <v>-0.002526771748285417</v>
      </c>
      <c r="S488" s="36" t="n">
        <v>0.05240886105410136</v>
      </c>
      <c r="T488" s="36" t="n">
        <v>-0.05918402088180219</v>
      </c>
      <c r="U488" s="31" t="n">
        <v>189000</v>
      </c>
      <c r="V488" s="31" t="n">
        <v>60200</v>
      </c>
      <c r="W488" s="36" t="n">
        <v>-0.5613756613756613</v>
      </c>
      <c r="X488" s="36" t="n">
        <v>0.3770764119601329</v>
      </c>
      <c r="Y488" s="31" t="n">
        <v>95312200</v>
      </c>
      <c r="Z488" s="31" t="n">
        <v>7901381380000</v>
      </c>
      <c r="AA488" s="31" t="n">
        <v>66437883800</v>
      </c>
      <c r="AB488" s="31" t="n">
        <v>95085148310</v>
      </c>
      <c r="AC488" s="36" t="n">
        <v>0.008408388432960313</v>
      </c>
      <c r="AD488" s="29" t="inlineStr">
        <is>
          <t>yfinance_download</t>
        </is>
      </c>
      <c r="AE488" s="29" t="inlineStr">
        <is>
          <t>042700.KS</t>
        </is>
      </c>
    </row>
    <row r="489" ht="24" customHeight="1">
      <c r="A489" s="24" t="inlineStr">
        <is>
          <t>2025-06-11</t>
        </is>
      </c>
      <c r="B489" s="30" t="n">
        <v>83500</v>
      </c>
      <c r="C489" s="30" t="n">
        <v>86600</v>
      </c>
      <c r="D489" s="30" t="n">
        <v>83000</v>
      </c>
      <c r="E489" s="30" t="n">
        <v>85800</v>
      </c>
      <c r="F489" s="30" t="n">
        <v>85534.9765625</v>
      </c>
      <c r="G489" s="30" t="n">
        <v>1722126</v>
      </c>
      <c r="H489" s="35" t="n">
        <v>0.03498190591073591</v>
      </c>
      <c r="I489" s="35" t="n">
        <v>-0.5460317460317461</v>
      </c>
      <c r="J489" s="30" t="n">
        <v>83250</v>
      </c>
      <c r="K489" s="30" t="n">
        <v>78695</v>
      </c>
      <c r="L489" s="30" t="n">
        <v>88227.5</v>
      </c>
      <c r="M489" s="35" t="n">
        <v>0.6546605476852332</v>
      </c>
      <c r="N489" s="35" t="n">
        <v>0.7026363868050893</v>
      </c>
      <c r="O489" s="35" t="n">
        <v>0.03373493975903608</v>
      </c>
      <c r="P489" s="35" t="n">
        <v>-0.05088495575221241</v>
      </c>
      <c r="Q489" s="35" t="n">
        <v>0.1867219917012448</v>
      </c>
      <c r="R489" s="35" t="n">
        <v>0.03063063063063054</v>
      </c>
      <c r="S489" s="35" t="n">
        <v>0.09028527860728119</v>
      </c>
      <c r="T489" s="35" t="n">
        <v>-0.02751409707857533</v>
      </c>
      <c r="U489" s="30" t="n">
        <v>189000</v>
      </c>
      <c r="V489" s="30" t="n">
        <v>60200</v>
      </c>
      <c r="W489" s="35" t="n">
        <v>-0.5460317460317461</v>
      </c>
      <c r="X489" s="35" t="n">
        <v>0.4252491694352158</v>
      </c>
      <c r="Y489" s="30" t="n">
        <v>95312200</v>
      </c>
      <c r="Z489" s="30" t="n">
        <v>8177786760000</v>
      </c>
      <c r="AA489" s="30" t="n">
        <v>147758410800</v>
      </c>
      <c r="AB489" s="30" t="n">
        <v>94200807450</v>
      </c>
      <c r="AC489" s="35" t="n">
        <v>0.01806826408371646</v>
      </c>
      <c r="AD489" s="24" t="inlineStr">
        <is>
          <t>yfinance_download</t>
        </is>
      </c>
      <c r="AE489" s="24" t="inlineStr">
        <is>
          <t>042700.KS</t>
        </is>
      </c>
    </row>
    <row r="490" ht="24" customHeight="1">
      <c r="A490" s="29" t="inlineStr">
        <is>
          <t>2025-06-12</t>
        </is>
      </c>
      <c r="B490" s="31" t="n">
        <v>85300</v>
      </c>
      <c r="C490" s="31" t="n">
        <v>88900</v>
      </c>
      <c r="D490" s="31" t="n">
        <v>84300</v>
      </c>
      <c r="E490" s="31" t="n">
        <v>88000</v>
      </c>
      <c r="F490" s="31" t="n">
        <v>87728.1796875</v>
      </c>
      <c r="G490" s="31" t="n">
        <v>1700786</v>
      </c>
      <c r="H490" s="36" t="n">
        <v>0.02564102564102555</v>
      </c>
      <c r="I490" s="36" t="n">
        <v>-0.5343915343915344</v>
      </c>
      <c r="J490" s="31" t="n">
        <v>83600</v>
      </c>
      <c r="K490" s="31" t="n">
        <v>78645</v>
      </c>
      <c r="L490" s="31" t="n">
        <v>88376.66666666667</v>
      </c>
      <c r="M490" s="36" t="n">
        <v>0.6517156563296288</v>
      </c>
      <c r="N490" s="36" t="n">
        <v>0.7044709706158218</v>
      </c>
      <c r="O490" s="36" t="n">
        <v>0.08641975308641969</v>
      </c>
      <c r="P490" s="36" t="n">
        <v>-0.03296703296703296</v>
      </c>
      <c r="Q490" s="36" t="n">
        <v>0.2553495007132667</v>
      </c>
      <c r="R490" s="36" t="n">
        <v>0.05263157894736836</v>
      </c>
      <c r="S490" s="36" t="n">
        <v>0.1189522537987158</v>
      </c>
      <c r="T490" s="36" t="n">
        <v>-0.004262060121449918</v>
      </c>
      <c r="U490" s="31" t="n">
        <v>189000</v>
      </c>
      <c r="V490" s="31" t="n">
        <v>60200</v>
      </c>
      <c r="W490" s="36" t="n">
        <v>-0.5343915343915344</v>
      </c>
      <c r="X490" s="36" t="n">
        <v>0.4617940199335548</v>
      </c>
      <c r="Y490" s="31" t="n">
        <v>95312200</v>
      </c>
      <c r="Z490" s="31" t="n">
        <v>8387473600000</v>
      </c>
      <c r="AA490" s="31" t="n">
        <v>149669168000</v>
      </c>
      <c r="AB490" s="31" t="n">
        <v>95894794900</v>
      </c>
      <c r="AC490" s="36" t="n">
        <v>0.01784436829702808</v>
      </c>
      <c r="AD490" s="29" t="inlineStr">
        <is>
          <t>yfinance_download</t>
        </is>
      </c>
      <c r="AE490" s="29" t="inlineStr">
        <is>
          <t>042700.KS</t>
        </is>
      </c>
    </row>
    <row r="491" ht="24" customHeight="1">
      <c r="A491" s="24" t="inlineStr">
        <is>
          <t>2025-06-13</t>
        </is>
      </c>
      <c r="B491" s="30" t="n">
        <v>90600</v>
      </c>
      <c r="C491" s="30" t="n">
        <v>90800</v>
      </c>
      <c r="D491" s="30" t="n">
        <v>84800</v>
      </c>
      <c r="E491" s="30" t="n">
        <v>86800</v>
      </c>
      <c r="F491" s="30" t="n">
        <v>86531.890625</v>
      </c>
      <c r="G491" s="30" t="n">
        <v>1410001</v>
      </c>
      <c r="H491" s="35" t="n">
        <v>-0.01363636363636367</v>
      </c>
      <c r="I491" s="35" t="n">
        <v>-0.5407407407407407</v>
      </c>
      <c r="J491" s="30" t="n">
        <v>83750</v>
      </c>
      <c r="K491" s="30" t="n">
        <v>78628.33333333333</v>
      </c>
      <c r="L491" s="30" t="n">
        <v>88508.33333333333</v>
      </c>
      <c r="M491" s="35" t="n">
        <v>0.6450705554490841</v>
      </c>
      <c r="N491" s="35" t="n">
        <v>0.7012033983149498</v>
      </c>
      <c r="O491" s="35" t="n">
        <v>0.03579952267303099</v>
      </c>
      <c r="P491" s="35" t="n">
        <v>-0.0113895216400911</v>
      </c>
      <c r="Q491" s="35" t="n">
        <v>0.2225352112676056</v>
      </c>
      <c r="R491" s="35" t="n">
        <v>0.0364179104477611</v>
      </c>
      <c r="S491" s="35" t="n">
        <v>0.1039277614091614</v>
      </c>
      <c r="T491" s="35" t="n">
        <v>-0.019301384050466</v>
      </c>
      <c r="U491" s="30" t="n">
        <v>189000</v>
      </c>
      <c r="V491" s="30" t="n">
        <v>60200</v>
      </c>
      <c r="W491" s="35" t="n">
        <v>-0.5407407407407407</v>
      </c>
      <c r="X491" s="35" t="n">
        <v>0.441860465116279</v>
      </c>
      <c r="Y491" s="30" t="n">
        <v>95312200</v>
      </c>
      <c r="Z491" s="30" t="n">
        <v>8273098960000</v>
      </c>
      <c r="AA491" s="30" t="n">
        <v>122388086800</v>
      </c>
      <c r="AB491" s="30" t="n">
        <v>96032781500</v>
      </c>
      <c r="AC491" s="35" t="n">
        <v>0.01479349967790063</v>
      </c>
      <c r="AD491" s="24" t="inlineStr">
        <is>
          <t>yfinance_download</t>
        </is>
      </c>
      <c r="AE491" s="24" t="inlineStr">
        <is>
          <t>042700.KS</t>
        </is>
      </c>
    </row>
    <row r="492" ht="24" customHeight="1">
      <c r="A492" s="29" t="inlineStr">
        <is>
          <t>2025-06-16</t>
        </is>
      </c>
      <c r="B492" s="31" t="n">
        <v>85500</v>
      </c>
      <c r="C492" s="31" t="n">
        <v>87900</v>
      </c>
      <c r="D492" s="31" t="n">
        <v>84600</v>
      </c>
      <c r="E492" s="31" t="n">
        <v>87500</v>
      </c>
      <c r="F492" s="31" t="n">
        <v>87229.7265625</v>
      </c>
      <c r="G492" s="31" t="n">
        <v>656104</v>
      </c>
      <c r="H492" s="36" t="n">
        <v>0.008064516129032251</v>
      </c>
      <c r="I492" s="36" t="n">
        <v>-0.537037037037037</v>
      </c>
      <c r="J492" s="31" t="n">
        <v>84030</v>
      </c>
      <c r="K492" s="31" t="n">
        <v>78635</v>
      </c>
      <c r="L492" s="31" t="n">
        <v>88563.33333333333</v>
      </c>
      <c r="M492" s="36" t="n">
        <v>0.6383400531896036</v>
      </c>
      <c r="N492" s="36" t="n">
        <v>0.7011211170859997</v>
      </c>
      <c r="O492" s="36" t="n">
        <v>0.06837606837606836</v>
      </c>
      <c r="P492" s="36" t="n">
        <v>0.004592422502870175</v>
      </c>
      <c r="Q492" s="36" t="n">
        <v>0.08158220024721885</v>
      </c>
      <c r="R492" s="36" t="n">
        <v>0.04129477567535411</v>
      </c>
      <c r="S492" s="36" t="n">
        <v>0.1127360590068036</v>
      </c>
      <c r="T492" s="36" t="n">
        <v>-0.01200647370996266</v>
      </c>
      <c r="U492" s="31" t="n">
        <v>189000</v>
      </c>
      <c r="V492" s="31" t="n">
        <v>60200</v>
      </c>
      <c r="W492" s="36" t="n">
        <v>-0.537037037037037</v>
      </c>
      <c r="X492" s="36" t="n">
        <v>0.4534883720930232</v>
      </c>
      <c r="Y492" s="31" t="n">
        <v>95312200</v>
      </c>
      <c r="Z492" s="31" t="n">
        <v>8339817500000</v>
      </c>
      <c r="AA492" s="31" t="n">
        <v>57409100000</v>
      </c>
      <c r="AB492" s="31" t="n">
        <v>95161135410</v>
      </c>
      <c r="AC492" s="36" t="n">
        <v>0.006883735765201097</v>
      </c>
      <c r="AD492" s="29" t="inlineStr">
        <is>
          <t>yfinance_download</t>
        </is>
      </c>
      <c r="AE492" s="29" t="inlineStr">
        <is>
          <t>042700.KS</t>
        </is>
      </c>
    </row>
    <row r="493" ht="24" customHeight="1">
      <c r="A493" s="24" t="inlineStr">
        <is>
          <t>2025-06-17</t>
        </is>
      </c>
      <c r="B493" s="30" t="n">
        <v>88800</v>
      </c>
      <c r="C493" s="30" t="n">
        <v>91400</v>
      </c>
      <c r="D493" s="30" t="n">
        <v>86100</v>
      </c>
      <c r="E493" s="30" t="n">
        <v>87000</v>
      </c>
      <c r="F493" s="30" t="n">
        <v>86731.2734375</v>
      </c>
      <c r="G493" s="30" t="n">
        <v>1649989</v>
      </c>
      <c r="H493" s="35" t="n">
        <v>-0.005714285714285672</v>
      </c>
      <c r="I493" s="35" t="n">
        <v>-0.5396825396825398</v>
      </c>
      <c r="J493" s="30" t="n">
        <v>83805</v>
      </c>
      <c r="K493" s="30" t="n">
        <v>78611.66666666667</v>
      </c>
      <c r="L493" s="30" t="n">
        <v>88590</v>
      </c>
      <c r="M493" s="35" t="n">
        <v>0.4784272750326982</v>
      </c>
      <c r="N493" s="35" t="n">
        <v>0.7006487306680078</v>
      </c>
      <c r="O493" s="35" t="n">
        <v>-0.04918032786885251</v>
      </c>
      <c r="P493" s="35" t="n">
        <v>-0.01583710407239824</v>
      </c>
      <c r="Q493" s="35" t="n">
        <v>0.03818615751789967</v>
      </c>
      <c r="R493" s="35" t="n">
        <v>0.03812421693216406</v>
      </c>
      <c r="S493" s="35" t="n">
        <v>0.1067059596751965</v>
      </c>
      <c r="T493" s="35" t="n">
        <v>-0.01794784964442941</v>
      </c>
      <c r="U493" s="30" t="n">
        <v>189000</v>
      </c>
      <c r="V493" s="30" t="n">
        <v>60200</v>
      </c>
      <c r="W493" s="35" t="n">
        <v>-0.5396825396825398</v>
      </c>
      <c r="X493" s="35" t="n">
        <v>0.4451827242524917</v>
      </c>
      <c r="Y493" s="30" t="n">
        <v>95312200</v>
      </c>
      <c r="Z493" s="30" t="n">
        <v>8292161400000</v>
      </c>
      <c r="AA493" s="30" t="n">
        <v>143549043000</v>
      </c>
      <c r="AB493" s="30" t="n">
        <v>84100340910</v>
      </c>
      <c r="AC493" s="35" t="n">
        <v>0.01731141448838659</v>
      </c>
      <c r="AD493" s="24" t="inlineStr">
        <is>
          <t>yfinance_download</t>
        </is>
      </c>
      <c r="AE493" s="24" t="inlineStr">
        <is>
          <t>042700.KS</t>
        </is>
      </c>
    </row>
    <row r="494" ht="24" customHeight="1">
      <c r="A494" s="29" t="inlineStr">
        <is>
          <t>2025-06-18</t>
        </is>
      </c>
      <c r="B494" s="31" t="n">
        <v>86100</v>
      </c>
      <c r="C494" s="31" t="n">
        <v>87800</v>
      </c>
      <c r="D494" s="31" t="n">
        <v>86100</v>
      </c>
      <c r="E494" s="31" t="n">
        <v>87500</v>
      </c>
      <c r="F494" s="31" t="n">
        <v>87229.7265625</v>
      </c>
      <c r="G494" s="31" t="n">
        <v>498372</v>
      </c>
      <c r="H494" s="36" t="n">
        <v>0.005747126436781658</v>
      </c>
      <c r="I494" s="36" t="n">
        <v>-0.537037037037037</v>
      </c>
      <c r="J494" s="31" t="n">
        <v>83895</v>
      </c>
      <c r="K494" s="31" t="n">
        <v>78595</v>
      </c>
      <c r="L494" s="31" t="n">
        <v>88627.5</v>
      </c>
      <c r="M494" s="36" t="n">
        <v>0.4203554566132855</v>
      </c>
      <c r="N494" s="36" t="n">
        <v>0.7007253449732191</v>
      </c>
      <c r="O494" s="36" t="n">
        <v>0.02100350058343059</v>
      </c>
      <c r="P494" s="36" t="n">
        <v>-0.01129943502824859</v>
      </c>
      <c r="Q494" s="36" t="n">
        <v>0.05421686746987953</v>
      </c>
      <c r="R494" s="36" t="n">
        <v>0.04297037964121819</v>
      </c>
      <c r="S494" s="36" t="n">
        <v>0.1133023729244862</v>
      </c>
      <c r="T494" s="36" t="n">
        <v>-0.01272178499901278</v>
      </c>
      <c r="U494" s="31" t="n">
        <v>189000</v>
      </c>
      <c r="V494" s="31" t="n">
        <v>60200</v>
      </c>
      <c r="W494" s="36" t="n">
        <v>-0.537037037037037</v>
      </c>
      <c r="X494" s="36" t="n">
        <v>0.4534883720930232</v>
      </c>
      <c r="Y494" s="31" t="n">
        <v>95312200</v>
      </c>
      <c r="Z494" s="31" t="n">
        <v>8339817500000</v>
      </c>
      <c r="AA494" s="31" t="n">
        <v>43607550000</v>
      </c>
      <c r="AB494" s="31" t="n">
        <v>77758521870</v>
      </c>
      <c r="AC494" s="36" t="n">
        <v>0.005228837441586701</v>
      </c>
      <c r="AD494" s="29" t="inlineStr">
        <is>
          <t>yfinance_download</t>
        </is>
      </c>
      <c r="AE494" s="29" t="inlineStr">
        <is>
          <t>042700.KS</t>
        </is>
      </c>
    </row>
    <row r="495" ht="24" customHeight="1">
      <c r="A495" s="24" t="inlineStr">
        <is>
          <t>2025-06-19</t>
        </is>
      </c>
      <c r="B495" s="30" t="n">
        <v>88400</v>
      </c>
      <c r="C495" s="30" t="n">
        <v>99100</v>
      </c>
      <c r="D495" s="30" t="n">
        <v>88300</v>
      </c>
      <c r="E495" s="30" t="n">
        <v>92500</v>
      </c>
      <c r="F495" s="30" t="n">
        <v>92214.28125</v>
      </c>
      <c r="G495" s="30" t="n">
        <v>5141689</v>
      </c>
      <c r="H495" s="35" t="n">
        <v>0.05714285714285716</v>
      </c>
      <c r="I495" s="35" t="n">
        <v>-0.5105820105820106</v>
      </c>
      <c r="J495" s="30" t="n">
        <v>84250</v>
      </c>
      <c r="K495" s="30" t="n">
        <v>78630</v>
      </c>
      <c r="L495" s="30" t="n">
        <v>88700</v>
      </c>
      <c r="M495" s="35" t="n">
        <v>0.4639008863647734</v>
      </c>
      <c r="N495" s="35" t="n">
        <v>0.7089947023046973</v>
      </c>
      <c r="O495" s="35" t="n">
        <v>0.08313817330210771</v>
      </c>
      <c r="P495" s="35" t="n">
        <v>0.02323008849557517</v>
      </c>
      <c r="Q495" s="35" t="n">
        <v>0.10381861575179</v>
      </c>
      <c r="R495" s="35" t="n">
        <v>0.09792284866468837</v>
      </c>
      <c r="S495" s="35" t="n">
        <v>0.1763957776929925</v>
      </c>
      <c r="T495" s="35" t="n">
        <v>0.04284103720405863</v>
      </c>
      <c r="U495" s="30" t="n">
        <v>189000</v>
      </c>
      <c r="V495" s="30" t="n">
        <v>60200</v>
      </c>
      <c r="W495" s="35" t="n">
        <v>-0.5105820105820106</v>
      </c>
      <c r="X495" s="35" t="n">
        <v>0.5365448504983388</v>
      </c>
      <c r="Y495" s="30" t="n">
        <v>95312200</v>
      </c>
      <c r="Z495" s="30" t="n">
        <v>8816378500000</v>
      </c>
      <c r="AA495" s="30" t="n">
        <v>475606232500</v>
      </c>
      <c r="AB495" s="30" t="n">
        <v>97596047865</v>
      </c>
      <c r="AC495" s="35" t="n">
        <v>0.05394575930468502</v>
      </c>
      <c r="AD495" s="24" t="inlineStr">
        <is>
          <t>yfinance_download</t>
        </is>
      </c>
      <c r="AE495" s="24" t="inlineStr">
        <is>
          <t>042700.KS</t>
        </is>
      </c>
    </row>
    <row r="496" ht="24" customHeight="1">
      <c r="A496" s="29" t="inlineStr">
        <is>
          <t>2025-06-20</t>
        </is>
      </c>
      <c r="B496" s="31" t="n">
        <v>93800</v>
      </c>
      <c r="C496" s="31" t="n">
        <v>94500</v>
      </c>
      <c r="D496" s="31" t="n">
        <v>90600</v>
      </c>
      <c r="E496" s="31" t="n">
        <v>93000</v>
      </c>
      <c r="F496" s="31" t="n">
        <v>92712.7421875</v>
      </c>
      <c r="G496" s="31" t="n">
        <v>1220200</v>
      </c>
      <c r="H496" s="36" t="n">
        <v>0.00540540540540535</v>
      </c>
      <c r="I496" s="36" t="n">
        <v>-0.5079365079365079</v>
      </c>
      <c r="J496" s="31" t="n">
        <v>84690</v>
      </c>
      <c r="K496" s="31" t="n">
        <v>78675</v>
      </c>
      <c r="L496" s="31" t="n">
        <v>88752.5</v>
      </c>
      <c r="M496" s="36" t="n">
        <v>0.4587487738445364</v>
      </c>
      <c r="N496" s="36" t="n">
        <v>0.7090239662633722</v>
      </c>
      <c r="O496" s="36" t="n">
        <v>0.1045130641330165</v>
      </c>
      <c r="P496" s="36" t="n">
        <v>0.02990033222591371</v>
      </c>
      <c r="Q496" s="36" t="n">
        <v>0.0726643598615917</v>
      </c>
      <c r="R496" s="36" t="n">
        <v>0.0981225646475381</v>
      </c>
      <c r="S496" s="36" t="n">
        <v>0.1820781696854146</v>
      </c>
      <c r="T496" s="36" t="n">
        <v>0.04785780682234297</v>
      </c>
      <c r="U496" s="31" t="n">
        <v>189000</v>
      </c>
      <c r="V496" s="31" t="n">
        <v>60200</v>
      </c>
      <c r="W496" s="36" t="n">
        <v>-0.5079365079365079</v>
      </c>
      <c r="X496" s="36" t="n">
        <v>0.5448504983388704</v>
      </c>
      <c r="Y496" s="31" t="n">
        <v>95312200</v>
      </c>
      <c r="Z496" s="31" t="n">
        <v>8864034600000</v>
      </c>
      <c r="AA496" s="31" t="n">
        <v>113478600000</v>
      </c>
      <c r="AB496" s="31" t="n">
        <v>100617362115</v>
      </c>
      <c r="AC496" s="36" t="n">
        <v>0.01280213865591183</v>
      </c>
      <c r="AD496" s="29" t="inlineStr">
        <is>
          <t>yfinance_download</t>
        </is>
      </c>
      <c r="AE496" s="29" t="inlineStr">
        <is>
          <t>042700.KS</t>
        </is>
      </c>
    </row>
    <row r="497" ht="24" customHeight="1">
      <c r="A497" s="24" t="inlineStr">
        <is>
          <t>2025-06-23</t>
        </is>
      </c>
      <c r="B497" s="30" t="n">
        <v>90500</v>
      </c>
      <c r="C497" s="30" t="n">
        <v>94500</v>
      </c>
      <c r="D497" s="30" t="n">
        <v>88600</v>
      </c>
      <c r="E497" s="30" t="n">
        <v>90400</v>
      </c>
      <c r="F497" s="30" t="n">
        <v>90120.7734375</v>
      </c>
      <c r="G497" s="30" t="n">
        <v>1265794</v>
      </c>
      <c r="H497" s="35" t="n">
        <v>-0.02795698924731183</v>
      </c>
      <c r="I497" s="35" t="n">
        <v>-0.5216931216931218</v>
      </c>
      <c r="J497" s="30" t="n">
        <v>85150</v>
      </c>
      <c r="K497" s="30" t="n">
        <v>78731.66666666667</v>
      </c>
      <c r="L497" s="30" t="n">
        <v>88781.66666666667</v>
      </c>
      <c r="M497" s="35" t="n">
        <v>0.4503855289852456</v>
      </c>
      <c r="N497" s="35" t="n">
        <v>0.7072742290847105</v>
      </c>
      <c r="O497" s="35" t="n">
        <v>0.1133004926108374</v>
      </c>
      <c r="P497" s="35" t="n">
        <v>0.03908045977011487</v>
      </c>
      <c r="Q497" s="35" t="n">
        <v>0.04027617951668594</v>
      </c>
      <c r="R497" s="35" t="n">
        <v>0.06165590135055776</v>
      </c>
      <c r="S497" s="35" t="n">
        <v>0.1482038146446791</v>
      </c>
      <c r="T497" s="35" t="n">
        <v>0.01822823781186056</v>
      </c>
      <c r="U497" s="30" t="n">
        <v>189000</v>
      </c>
      <c r="V497" s="30" t="n">
        <v>60200</v>
      </c>
      <c r="W497" s="35" t="n">
        <v>-0.5216931216931218</v>
      </c>
      <c r="X497" s="35" t="n">
        <v>0.5016611295681064</v>
      </c>
      <c r="Y497" s="30" t="n">
        <v>95312200</v>
      </c>
      <c r="Z497" s="30" t="n">
        <v>8616222880000</v>
      </c>
      <c r="AA497" s="30" t="n">
        <v>114427777600</v>
      </c>
      <c r="AB497" s="30" t="n">
        <v>103538853195</v>
      </c>
      <c r="AC497" s="35" t="n">
        <v>0.01328050344027312</v>
      </c>
      <c r="AD497" s="24" t="inlineStr">
        <is>
          <t>yfinance_download</t>
        </is>
      </c>
      <c r="AE497" s="24" t="inlineStr">
        <is>
          <t>042700.KS</t>
        </is>
      </c>
    </row>
    <row r="498" ht="24" customHeight="1">
      <c r="A498" s="29" t="inlineStr">
        <is>
          <t>2025-06-24</t>
        </is>
      </c>
      <c r="B498" s="31" t="n">
        <v>92300</v>
      </c>
      <c r="C498" s="31" t="n">
        <v>94500</v>
      </c>
      <c r="D498" s="31" t="n">
        <v>91600</v>
      </c>
      <c r="E498" s="31" t="n">
        <v>92800</v>
      </c>
      <c r="F498" s="31" t="n">
        <v>92513.359375</v>
      </c>
      <c r="G498" s="31" t="n">
        <v>1183356</v>
      </c>
      <c r="H498" s="36" t="n">
        <v>0.02654867256637172</v>
      </c>
      <c r="I498" s="36" t="n">
        <v>-0.508994708994709</v>
      </c>
      <c r="J498" s="31" t="n">
        <v>85870</v>
      </c>
      <c r="K498" s="31" t="n">
        <v>78858.33333333333</v>
      </c>
      <c r="L498" s="31" t="n">
        <v>88847.5</v>
      </c>
      <c r="M498" s="36" t="n">
        <v>0.4296905493327132</v>
      </c>
      <c r="N498" s="36" t="n">
        <v>0.7075408695947306</v>
      </c>
      <c r="O498" s="36" t="n">
        <v>0.1836734693877551</v>
      </c>
      <c r="P498" s="36" t="n">
        <v>0.08920187793427226</v>
      </c>
      <c r="Q498" s="36" t="n">
        <v>0.09305064782096584</v>
      </c>
      <c r="R498" s="36" t="n">
        <v>0.08070338884360084</v>
      </c>
      <c r="S498" s="36" t="n">
        <v>0.1767938285955828</v>
      </c>
      <c r="T498" s="36" t="n">
        <v>0.04448633895157439</v>
      </c>
      <c r="U498" s="31" t="n">
        <v>189000</v>
      </c>
      <c r="V498" s="31" t="n">
        <v>60200</v>
      </c>
      <c r="W498" s="36" t="n">
        <v>-0.508994708994709</v>
      </c>
      <c r="X498" s="36" t="n">
        <v>0.5415282392026579</v>
      </c>
      <c r="Y498" s="31" t="n">
        <v>95312200</v>
      </c>
      <c r="Z498" s="31" t="n">
        <v>8844972160000</v>
      </c>
      <c r="AA498" s="31" t="n">
        <v>109815436800</v>
      </c>
      <c r="AB498" s="31" t="n">
        <v>106182940635</v>
      </c>
      <c r="AC498" s="36" t="n">
        <v>0.01241557743919456</v>
      </c>
      <c r="AD498" s="29" t="inlineStr">
        <is>
          <t>yfinance_download</t>
        </is>
      </c>
      <c r="AE498" s="29" t="inlineStr">
        <is>
          <t>042700.KS</t>
        </is>
      </c>
    </row>
    <row r="499" ht="24" customHeight="1">
      <c r="A499" s="24" t="inlineStr">
        <is>
          <t>2025-06-25</t>
        </is>
      </c>
      <c r="B499" s="30" t="n">
        <v>98100</v>
      </c>
      <c r="C499" s="30" t="n">
        <v>100500</v>
      </c>
      <c r="D499" s="30" t="n">
        <v>96200</v>
      </c>
      <c r="E499" s="30" t="n">
        <v>97500</v>
      </c>
      <c r="F499" s="30" t="n">
        <v>97198.8359375</v>
      </c>
      <c r="G499" s="30" t="n">
        <v>2227465</v>
      </c>
      <c r="H499" s="35" t="n">
        <v>0.0506465517241379</v>
      </c>
      <c r="I499" s="35" t="n">
        <v>-0.4841269841269841</v>
      </c>
      <c r="J499" s="30" t="n">
        <v>86555</v>
      </c>
      <c r="K499" s="30" t="n">
        <v>79066.66666666667</v>
      </c>
      <c r="L499" s="30" t="n">
        <v>88995</v>
      </c>
      <c r="M499" s="35" t="n">
        <v>0.3997155226373352</v>
      </c>
      <c r="N499" s="35" t="n">
        <v>0.7143286153555072</v>
      </c>
      <c r="O499" s="35" t="n">
        <v>0.1634844868735084</v>
      </c>
      <c r="P499" s="35" t="n">
        <v>0.1470588235294117</v>
      </c>
      <c r="Q499" s="35" t="n">
        <v>0.2218045112781954</v>
      </c>
      <c r="R499" s="35" t="n">
        <v>0.1264513892900467</v>
      </c>
      <c r="S499" s="35" t="n">
        <v>0.2331365935919054</v>
      </c>
      <c r="T499" s="35" t="n">
        <v>0.09556716669475818</v>
      </c>
      <c r="U499" s="30" t="n">
        <v>189000</v>
      </c>
      <c r="V499" s="30" t="n">
        <v>60200</v>
      </c>
      <c r="W499" s="35" t="n">
        <v>-0.4841269841269841</v>
      </c>
      <c r="X499" s="35" t="n">
        <v>0.6196013289036544</v>
      </c>
      <c r="Y499" s="30" t="n">
        <v>95312200</v>
      </c>
      <c r="Z499" s="30" t="n">
        <v>9292939500000</v>
      </c>
      <c r="AA499" s="30" t="n">
        <v>217177837500</v>
      </c>
      <c r="AB499" s="30" t="n">
        <v>113156801660</v>
      </c>
      <c r="AC499" s="35" t="n">
        <v>0.0233701981488204</v>
      </c>
      <c r="AD499" s="24" t="inlineStr">
        <is>
          <t>yfinance_download</t>
        </is>
      </c>
      <c r="AE499" s="24" t="inlineStr">
        <is>
          <t>042700.KS</t>
        </is>
      </c>
    </row>
    <row r="500" ht="24" customHeight="1">
      <c r="A500" s="29" t="inlineStr">
        <is>
          <t>2025-06-26</t>
        </is>
      </c>
      <c r="B500" s="31" t="n">
        <v>104900</v>
      </c>
      <c r="C500" s="31" t="n">
        <v>109000</v>
      </c>
      <c r="D500" s="31" t="n">
        <v>101400</v>
      </c>
      <c r="E500" s="31" t="n">
        <v>103700</v>
      </c>
      <c r="F500" s="31" t="n">
        <v>103379.6875</v>
      </c>
      <c r="G500" s="31" t="n">
        <v>4807495</v>
      </c>
      <c r="H500" s="36" t="n">
        <v>0.06358974358974367</v>
      </c>
      <c r="I500" s="36" t="n">
        <v>-0.4513227513227513</v>
      </c>
      <c r="J500" s="31" t="n">
        <v>87625</v>
      </c>
      <c r="K500" s="31" t="n">
        <v>79463.33333333333</v>
      </c>
      <c r="L500" s="31" t="n">
        <v>89136.66666666667</v>
      </c>
      <c r="M500" s="36" t="n">
        <v>0.4332205609399338</v>
      </c>
      <c r="N500" s="36" t="n">
        <v>0.7124739061646141</v>
      </c>
      <c r="O500" s="36" t="n">
        <v>0.2600243013365735</v>
      </c>
      <c r="P500" s="36" t="n">
        <v>0.2978723404255319</v>
      </c>
      <c r="Q500" s="36" t="n">
        <v>0.196078431372549</v>
      </c>
      <c r="R500" s="36" t="n">
        <v>0.1834522111269614</v>
      </c>
      <c r="S500" s="36" t="n">
        <v>0.3050044045471707</v>
      </c>
      <c r="T500" s="36" t="n">
        <v>0.1633820724729815</v>
      </c>
      <c r="U500" s="31" t="n">
        <v>189000</v>
      </c>
      <c r="V500" s="31" t="n">
        <v>60200</v>
      </c>
      <c r="W500" s="36" t="n">
        <v>-0.4513227513227513</v>
      </c>
      <c r="X500" s="36" t="n">
        <v>0.7225913621262459</v>
      </c>
      <c r="Y500" s="31" t="n">
        <v>95312200</v>
      </c>
      <c r="Z500" s="31" t="n">
        <v>9883875140000</v>
      </c>
      <c r="AA500" s="31" t="n">
        <v>498537231500</v>
      </c>
      <c r="AB500" s="31" t="n">
        <v>136061083125</v>
      </c>
      <c r="AC500" s="36" t="n">
        <v>0.05043945056351653</v>
      </c>
      <c r="AD500" s="29" t="inlineStr">
        <is>
          <t>yfinance_download</t>
        </is>
      </c>
      <c r="AE500" s="29" t="inlineStr">
        <is>
          <t>042700.KS</t>
        </is>
      </c>
    </row>
    <row r="501" ht="24" customHeight="1">
      <c r="A501" s="24" t="inlineStr">
        <is>
          <t>2025-06-27</t>
        </is>
      </c>
      <c r="B501" s="30" t="n">
        <v>105100</v>
      </c>
      <c r="C501" s="30" t="n">
        <v>106500</v>
      </c>
      <c r="D501" s="30" t="n">
        <v>101200</v>
      </c>
      <c r="E501" s="30" t="n">
        <v>102900</v>
      </c>
      <c r="F501" s="30" t="n">
        <v>102582.15625</v>
      </c>
      <c r="G501" s="30" t="n">
        <v>1217448</v>
      </c>
      <c r="H501" s="35" t="n">
        <v>-0.007714561234329786</v>
      </c>
      <c r="I501" s="35" t="n">
        <v>-0.4555555555555556</v>
      </c>
      <c r="J501" s="30" t="n">
        <v>88550</v>
      </c>
      <c r="K501" s="30" t="n">
        <v>79903.33333333333</v>
      </c>
      <c r="L501" s="30" t="n">
        <v>89288.33333333333</v>
      </c>
      <c r="M501" s="35" t="n">
        <v>0.4354935474037593</v>
      </c>
      <c r="N501" s="35" t="n">
        <v>0.7060212994265033</v>
      </c>
      <c r="O501" s="35" t="n">
        <v>0.2191943127962086</v>
      </c>
      <c r="P501" s="35" t="n">
        <v>0.3450980392156864</v>
      </c>
      <c r="Q501" s="35" t="n">
        <v>0.2148760330578512</v>
      </c>
      <c r="R501" s="35" t="n">
        <v>0.1620553359683794</v>
      </c>
      <c r="S501" s="35" t="n">
        <v>0.2878060990363356</v>
      </c>
      <c r="T501" s="35" t="n">
        <v>0.152446194911616</v>
      </c>
      <c r="U501" s="30" t="n">
        <v>189000</v>
      </c>
      <c r="V501" s="30" t="n">
        <v>60200</v>
      </c>
      <c r="W501" s="35" t="n">
        <v>-0.4555555555555556</v>
      </c>
      <c r="X501" s="35" t="n">
        <v>0.7093023255813953</v>
      </c>
      <c r="Y501" s="30" t="n">
        <v>95312200</v>
      </c>
      <c r="Z501" s="30" t="n">
        <v>9807625380000</v>
      </c>
      <c r="AA501" s="30" t="n">
        <v>125275399200</v>
      </c>
      <c r="AB501" s="30" t="n">
        <v>139144424765</v>
      </c>
      <c r="AC501" s="35" t="n">
        <v>0.01277326512240825</v>
      </c>
      <c r="AD501" s="24" t="inlineStr">
        <is>
          <t>yfinance_download</t>
        </is>
      </c>
      <c r="AE501" s="24" t="inlineStr">
        <is>
          <t>042700.KS</t>
        </is>
      </c>
    </row>
    <row r="502" ht="24" customHeight="1">
      <c r="A502" s="29" t="inlineStr">
        <is>
          <t>2025-06-30</t>
        </is>
      </c>
      <c r="B502" s="31" t="n">
        <v>102200</v>
      </c>
      <c r="C502" s="31" t="n">
        <v>104200</v>
      </c>
      <c r="D502" s="31" t="n">
        <v>98600</v>
      </c>
      <c r="E502" s="31" t="n">
        <v>102000</v>
      </c>
      <c r="F502" s="31" t="n">
        <v>101684.9375</v>
      </c>
      <c r="G502" s="31" t="n">
        <v>911057</v>
      </c>
      <c r="H502" s="36" t="n">
        <v>-0.008746355685131157</v>
      </c>
      <c r="I502" s="36" t="n">
        <v>-0.4603174603174603</v>
      </c>
      <c r="J502" s="31" t="n">
        <v>89485</v>
      </c>
      <c r="K502" s="31" t="n">
        <v>80466.66666666667</v>
      </c>
      <c r="L502" s="31" t="n">
        <v>89450.83333333333</v>
      </c>
      <c r="M502" s="36" t="n">
        <v>0.4327028111149391</v>
      </c>
      <c r="N502" s="36" t="n">
        <v>0.6654084580760943</v>
      </c>
      <c r="O502" s="36" t="n">
        <v>0.2244897959183674</v>
      </c>
      <c r="P502" s="36" t="n">
        <v>0.4956011730205279</v>
      </c>
      <c r="Q502" s="36" t="n">
        <v>0.2363636363636363</v>
      </c>
      <c r="R502" s="36" t="n">
        <v>0.139855841761189</v>
      </c>
      <c r="S502" s="36" t="n">
        <v>0.2676056338028168</v>
      </c>
      <c r="T502" s="36" t="n">
        <v>0.1402912214344938</v>
      </c>
      <c r="U502" s="31" t="n">
        <v>180300</v>
      </c>
      <c r="V502" s="31" t="n">
        <v>60200</v>
      </c>
      <c r="W502" s="36" t="n">
        <v>-0.4342762063227953</v>
      </c>
      <c r="X502" s="36" t="n">
        <v>0.6943521594684385</v>
      </c>
      <c r="Y502" s="31" t="n">
        <v>95312200</v>
      </c>
      <c r="Z502" s="31" t="n">
        <v>9721844400000</v>
      </c>
      <c r="AA502" s="31" t="n">
        <v>92927814000</v>
      </c>
      <c r="AB502" s="31" t="n">
        <v>139442076490</v>
      </c>
      <c r="AC502" s="36" t="n">
        <v>0.009558660905949081</v>
      </c>
      <c r="AD502" s="29" t="inlineStr">
        <is>
          <t>yfinance_download</t>
        </is>
      </c>
      <c r="AE502" s="29" t="inlineStr">
        <is>
          <t>042700.KS</t>
        </is>
      </c>
    </row>
    <row r="503" ht="24" customHeight="1">
      <c r="A503" s="24" t="inlineStr">
        <is>
          <t>2025-07-01</t>
        </is>
      </c>
      <c r="B503" s="30" t="n">
        <v>100800</v>
      </c>
      <c r="C503" s="30" t="n">
        <v>101800</v>
      </c>
      <c r="D503" s="30" t="n">
        <v>95900</v>
      </c>
      <c r="E503" s="30" t="n">
        <v>96700</v>
      </c>
      <c r="F503" s="30" t="n">
        <v>96401.3125</v>
      </c>
      <c r="G503" s="30" t="n">
        <v>1458462</v>
      </c>
      <c r="H503" s="35" t="n">
        <v>-0.05196078431372553</v>
      </c>
      <c r="I503" s="35" t="n">
        <v>-0.4883597883597883</v>
      </c>
      <c r="J503" s="30" t="n">
        <v>90300</v>
      </c>
      <c r="K503" s="30" t="n">
        <v>80916.66666666667</v>
      </c>
      <c r="L503" s="30" t="n">
        <v>89563.33333333333</v>
      </c>
      <c r="M503" s="35" t="n">
        <v>0.4599545434079791</v>
      </c>
      <c r="N503" s="35" t="n">
        <v>0.6757440276784802</v>
      </c>
      <c r="O503" s="35" t="n">
        <v>0.2027363184079602</v>
      </c>
      <c r="P503" s="35" t="n">
        <v>0.387374461979914</v>
      </c>
      <c r="Q503" s="35" t="n">
        <v>0.1622596153846154</v>
      </c>
      <c r="R503" s="35" t="n">
        <v>0.07087486157253609</v>
      </c>
      <c r="S503" s="35" t="n">
        <v>0.1950566426364573</v>
      </c>
      <c r="T503" s="35" t="n">
        <v>0.07968290595109617</v>
      </c>
      <c r="U503" s="30" t="n">
        <v>180300</v>
      </c>
      <c r="V503" s="30" t="n">
        <v>60200</v>
      </c>
      <c r="W503" s="35" t="n">
        <v>-0.4636716583471991</v>
      </c>
      <c r="X503" s="35" t="n">
        <v>0.606312292358804</v>
      </c>
      <c r="Y503" s="30" t="n">
        <v>95312200</v>
      </c>
      <c r="Z503" s="30" t="n">
        <v>9216689740000</v>
      </c>
      <c r="AA503" s="30" t="n">
        <v>141033275400</v>
      </c>
      <c r="AB503" s="30" t="n">
        <v>143498060380</v>
      </c>
      <c r="AC503" s="35" t="n">
        <v>0.01530194455694025</v>
      </c>
      <c r="AD503" s="24" t="inlineStr">
        <is>
          <t>yfinance_download</t>
        </is>
      </c>
      <c r="AE503" s="24" t="inlineStr">
        <is>
          <t>042700.KS</t>
        </is>
      </c>
    </row>
    <row r="504" ht="24" customHeight="1">
      <c r="A504" s="29" t="inlineStr">
        <is>
          <t>2025-07-02</t>
        </is>
      </c>
      <c r="B504" s="31" t="n">
        <v>95500</v>
      </c>
      <c r="C504" s="31" t="n">
        <v>95900</v>
      </c>
      <c r="D504" s="31" t="n">
        <v>92700</v>
      </c>
      <c r="E504" s="31" t="n">
        <v>93900</v>
      </c>
      <c r="F504" s="31" t="n">
        <v>93609.9609375</v>
      </c>
      <c r="G504" s="31" t="n">
        <v>843316</v>
      </c>
      <c r="H504" s="36" t="n">
        <v>-0.02895553257497419</v>
      </c>
      <c r="I504" s="36" t="n">
        <v>-0.5031746031746032</v>
      </c>
      <c r="J504" s="31" t="n">
        <v>90995</v>
      </c>
      <c r="K504" s="31" t="n">
        <v>81365</v>
      </c>
      <c r="L504" s="31" t="n">
        <v>89658.33333333333</v>
      </c>
      <c r="M504" s="36" t="n">
        <v>0.4776170833802593</v>
      </c>
      <c r="N504" s="36" t="n">
        <v>0.6732495865515581</v>
      </c>
      <c r="O504" s="36" t="n">
        <v>0.1737500000000001</v>
      </c>
      <c r="P504" s="36" t="n">
        <v>0.4014925373134328</v>
      </c>
      <c r="Q504" s="36" t="n">
        <v>0.1381818181818182</v>
      </c>
      <c r="R504" s="36" t="n">
        <v>0.03192483103467225</v>
      </c>
      <c r="S504" s="36" t="n">
        <v>0.1540588705217232</v>
      </c>
      <c r="T504" s="36" t="n">
        <v>0.04730922948229388</v>
      </c>
      <c r="U504" s="31" t="n">
        <v>180300</v>
      </c>
      <c r="V504" s="31" t="n">
        <v>60200</v>
      </c>
      <c r="W504" s="36" t="n">
        <v>-0.4792013311148087</v>
      </c>
      <c r="X504" s="36" t="n">
        <v>0.5598006644518272</v>
      </c>
      <c r="Y504" s="31" t="n">
        <v>95312200</v>
      </c>
      <c r="Z504" s="31" t="n">
        <v>8949815580000</v>
      </c>
      <c r="AA504" s="31" t="n">
        <v>79187372400</v>
      </c>
      <c r="AB504" s="31" t="n">
        <v>145741653000</v>
      </c>
      <c r="AC504" s="36" t="n">
        <v>0.008847933423003562</v>
      </c>
      <c r="AD504" s="29" t="inlineStr">
        <is>
          <t>yfinance_download</t>
        </is>
      </c>
      <c r="AE504" s="29" t="inlineStr">
        <is>
          <t>042700.KS</t>
        </is>
      </c>
    </row>
    <row r="505" ht="24" customHeight="1">
      <c r="A505" s="24" t="inlineStr">
        <is>
          <t>2025-07-03</t>
        </is>
      </c>
      <c r="B505" s="30" t="n">
        <v>96200</v>
      </c>
      <c r="C505" s="30" t="n">
        <v>96200</v>
      </c>
      <c r="D505" s="30" t="n">
        <v>94700</v>
      </c>
      <c r="E505" s="30" t="n">
        <v>95300</v>
      </c>
      <c r="F505" s="30" t="n">
        <v>95005.6328125</v>
      </c>
      <c r="G505" s="30" t="n">
        <v>626770</v>
      </c>
      <c r="H505" s="35" t="n">
        <v>0.01490947816826416</v>
      </c>
      <c r="I505" s="35" t="n">
        <v>-0.4957671957671957</v>
      </c>
      <c r="J505" s="30" t="n">
        <v>91620</v>
      </c>
      <c r="K505" s="30" t="n">
        <v>81833.33333333333</v>
      </c>
      <c r="L505" s="30" t="n">
        <v>89726.66666666667</v>
      </c>
      <c r="M505" s="35" t="n">
        <v>0.4680430042876587</v>
      </c>
      <c r="N505" s="35" t="n">
        <v>0.6734268079444895</v>
      </c>
      <c r="O505" s="35" t="n">
        <v>0.1509661835748792</v>
      </c>
      <c r="P505" s="35" t="n">
        <v>0.4181547619047619</v>
      </c>
      <c r="Q505" s="35" t="n">
        <v>0.09414466130884036</v>
      </c>
      <c r="R505" s="35" t="n">
        <v>0.04016590264134479</v>
      </c>
      <c r="S505" s="35" t="n">
        <v>0.1645621181262731</v>
      </c>
      <c r="T505" s="35" t="n">
        <v>0.06211457017609034</v>
      </c>
      <c r="U505" s="30" t="n">
        <v>180300</v>
      </c>
      <c r="V505" s="30" t="n">
        <v>60200</v>
      </c>
      <c r="W505" s="35" t="n">
        <v>-0.4714364947310039</v>
      </c>
      <c r="X505" s="35" t="n">
        <v>0.5830564784053156</v>
      </c>
      <c r="Y505" s="30" t="n">
        <v>95312200</v>
      </c>
      <c r="Z505" s="30" t="n">
        <v>9083252660000</v>
      </c>
      <c r="AA505" s="30" t="n">
        <v>59731181000</v>
      </c>
      <c r="AB505" s="30" t="n">
        <v>145420881970</v>
      </c>
      <c r="AC505" s="35" t="n">
        <v>0.006575968239113146</v>
      </c>
      <c r="AD505" s="24" t="inlineStr">
        <is>
          <t>yfinance_download</t>
        </is>
      </c>
      <c r="AE505" s="24" t="inlineStr">
        <is>
          <t>042700.KS</t>
        </is>
      </c>
    </row>
    <row r="506" ht="24" customHeight="1">
      <c r="A506" s="29" t="inlineStr">
        <is>
          <t>2025-07-04</t>
        </is>
      </c>
      <c r="B506" s="31" t="n">
        <v>95500</v>
      </c>
      <c r="C506" s="31" t="n">
        <v>96200</v>
      </c>
      <c r="D506" s="31" t="n">
        <v>94000</v>
      </c>
      <c r="E506" s="31" t="n">
        <v>94300</v>
      </c>
      <c r="F506" s="31" t="n">
        <v>94008.7265625</v>
      </c>
      <c r="G506" s="31" t="n">
        <v>472748</v>
      </c>
      <c r="H506" s="36" t="n">
        <v>-0.01049317943336836</v>
      </c>
      <c r="I506" s="36" t="n">
        <v>-0.501058201058201</v>
      </c>
      <c r="J506" s="31" t="n">
        <v>92200</v>
      </c>
      <c r="K506" s="31" t="n">
        <v>82313.33333333333</v>
      </c>
      <c r="L506" s="31" t="n">
        <v>89735</v>
      </c>
      <c r="M506" s="36" t="n">
        <v>0.4714726420261541</v>
      </c>
      <c r="N506" s="36" t="n">
        <v>0.671101436988486</v>
      </c>
      <c r="O506" s="36" t="n">
        <v>0.1402660217654172</v>
      </c>
      <c r="P506" s="36" t="n">
        <v>0.4396946564885496</v>
      </c>
      <c r="Q506" s="36" t="n">
        <v>0.01071811361200425</v>
      </c>
      <c r="R506" s="36" t="n">
        <v>0.02277657266811284</v>
      </c>
      <c r="S506" s="36" t="n">
        <v>0.1456224184012311</v>
      </c>
      <c r="T506" s="36" t="n">
        <v>0.05087201203543779</v>
      </c>
      <c r="U506" s="31" t="n">
        <v>180300</v>
      </c>
      <c r="V506" s="31" t="n">
        <v>60200</v>
      </c>
      <c r="W506" s="36" t="n">
        <v>-0.4769828064337216</v>
      </c>
      <c r="X506" s="36" t="n">
        <v>0.5664451827242525</v>
      </c>
      <c r="Y506" s="31" t="n">
        <v>95312200</v>
      </c>
      <c r="Z506" s="31" t="n">
        <v>8987940460000</v>
      </c>
      <c r="AA506" s="31" t="n">
        <v>44580136400</v>
      </c>
      <c r="AB506" s="31" t="n">
        <v>143007470535</v>
      </c>
      <c r="AC506" s="36" t="n">
        <v>0.004959994628179813</v>
      </c>
      <c r="AD506" s="29" t="inlineStr">
        <is>
          <t>yfinance_download</t>
        </is>
      </c>
      <c r="AE506" s="29" t="inlineStr">
        <is>
          <t>042700.KS</t>
        </is>
      </c>
    </row>
    <row r="507" ht="24" customHeight="1">
      <c r="A507" s="24" t="inlineStr">
        <is>
          <t>2025-07-07</t>
        </is>
      </c>
      <c r="B507" s="30" t="n">
        <v>93100</v>
      </c>
      <c r="C507" s="30" t="n">
        <v>95400</v>
      </c>
      <c r="D507" s="30" t="n">
        <v>92900</v>
      </c>
      <c r="E507" s="30" t="n">
        <v>94300</v>
      </c>
      <c r="F507" s="30" t="n">
        <v>94008.7265625</v>
      </c>
      <c r="G507" s="30" t="n">
        <v>330758</v>
      </c>
      <c r="H507" s="35" t="n">
        <v>0</v>
      </c>
      <c r="I507" s="35" t="n">
        <v>-0.501058201058201</v>
      </c>
      <c r="J507" s="30" t="n">
        <v>92740</v>
      </c>
      <c r="K507" s="30" t="n">
        <v>82881.66666666667</v>
      </c>
      <c r="L507" s="30" t="n">
        <v>89691.66666666667</v>
      </c>
      <c r="M507" s="35" t="n">
        <v>0.4719950468655046</v>
      </c>
      <c r="N507" s="35" t="n">
        <v>0.6458650229479117</v>
      </c>
      <c r="O507" s="35" t="n">
        <v>0.1293413173652695</v>
      </c>
      <c r="P507" s="35" t="n">
        <v>0.5664451827242525</v>
      </c>
      <c r="Q507" s="35" t="n">
        <v>-0.05226130653266337</v>
      </c>
      <c r="R507" s="35" t="n">
        <v>0.01682122061677815</v>
      </c>
      <c r="S507" s="35" t="n">
        <v>0.1377666954895533</v>
      </c>
      <c r="T507" s="35" t="n">
        <v>0.05137972684195846</v>
      </c>
      <c r="U507" s="30" t="n">
        <v>180300</v>
      </c>
      <c r="V507" s="30" t="n">
        <v>60200</v>
      </c>
      <c r="W507" s="35" t="n">
        <v>-0.4769828064337216</v>
      </c>
      <c r="X507" s="35" t="n">
        <v>0.5664451827242525</v>
      </c>
      <c r="Y507" s="30" t="n">
        <v>95312200</v>
      </c>
      <c r="Z507" s="30" t="n">
        <v>8987940460000</v>
      </c>
      <c r="AA507" s="30" t="n">
        <v>31190479400</v>
      </c>
      <c r="AB507" s="30" t="n">
        <v>141689400805</v>
      </c>
      <c r="AC507" s="35" t="n">
        <v>0.003470258791634229</v>
      </c>
      <c r="AD507" s="24" t="inlineStr">
        <is>
          <t>yfinance_download</t>
        </is>
      </c>
      <c r="AE507" s="24" t="inlineStr">
        <is>
          <t>042700.KS</t>
        </is>
      </c>
    </row>
    <row r="508" ht="24" customHeight="1">
      <c r="A508" s="29" t="inlineStr">
        <is>
          <t>2025-07-08</t>
        </is>
      </c>
      <c r="B508" s="31" t="n">
        <v>93600</v>
      </c>
      <c r="C508" s="31" t="n">
        <v>96900</v>
      </c>
      <c r="D508" s="31" t="n">
        <v>92900</v>
      </c>
      <c r="E508" s="31" t="n">
        <v>96000</v>
      </c>
      <c r="F508" s="31" t="n">
        <v>95703.46875</v>
      </c>
      <c r="G508" s="31" t="n">
        <v>576887</v>
      </c>
      <c r="H508" s="36" t="n">
        <v>0.01802757158006352</v>
      </c>
      <c r="I508" s="36" t="n">
        <v>-0.4920634920634921</v>
      </c>
      <c r="J508" s="31" t="n">
        <v>93395</v>
      </c>
      <c r="K508" s="31" t="n">
        <v>83461.66666666667</v>
      </c>
      <c r="L508" s="31" t="n">
        <v>89647.5</v>
      </c>
      <c r="M508" s="36" t="n">
        <v>0.4707712771812786</v>
      </c>
      <c r="N508" s="36" t="n">
        <v>0.64594939207827</v>
      </c>
      <c r="O508" s="36" t="n">
        <v>0.1580217129071171</v>
      </c>
      <c r="P508" s="36" t="n">
        <v>0.5686274509803921</v>
      </c>
      <c r="Q508" s="36" t="n">
        <v>-0.05231984205330698</v>
      </c>
      <c r="R508" s="36" t="n">
        <v>0.02789228545425337</v>
      </c>
      <c r="S508" s="36" t="n">
        <v>0.1502286478822612</v>
      </c>
      <c r="T508" s="36" t="n">
        <v>0.07086087174767841</v>
      </c>
      <c r="U508" s="31" t="n">
        <v>179800</v>
      </c>
      <c r="V508" s="31" t="n">
        <v>60200</v>
      </c>
      <c r="W508" s="36" t="n">
        <v>-0.4660734149054505</v>
      </c>
      <c r="X508" s="36" t="n">
        <v>0.5946843853820598</v>
      </c>
      <c r="Y508" s="31" t="n">
        <v>95312200</v>
      </c>
      <c r="Z508" s="31" t="n">
        <v>9149971200000</v>
      </c>
      <c r="AA508" s="31" t="n">
        <v>55381152000</v>
      </c>
      <c r="AB508" s="31" t="n">
        <v>141136564215</v>
      </c>
      <c r="AC508" s="36" t="n">
        <v>0.006052603968851837</v>
      </c>
      <c r="AD508" s="29" t="inlineStr">
        <is>
          <t>yfinance_download</t>
        </is>
      </c>
      <c r="AE508" s="29" t="inlineStr">
        <is>
          <t>042700.KS</t>
        </is>
      </c>
    </row>
    <row r="509" ht="24" customHeight="1">
      <c r="A509" s="24" t="inlineStr">
        <is>
          <t>2025-07-09</t>
        </is>
      </c>
      <c r="B509" s="30" t="n">
        <v>96200</v>
      </c>
      <c r="C509" s="30" t="n">
        <v>96200</v>
      </c>
      <c r="D509" s="30" t="n">
        <v>94400</v>
      </c>
      <c r="E509" s="30" t="n">
        <v>94600</v>
      </c>
      <c r="F509" s="30" t="n">
        <v>94307.796875</v>
      </c>
      <c r="G509" s="30" t="n">
        <v>368383</v>
      </c>
      <c r="H509" s="35" t="n">
        <v>-0.01458333333333328</v>
      </c>
      <c r="I509" s="35" t="n">
        <v>-0.4994708994708995</v>
      </c>
      <c r="J509" s="30" t="n">
        <v>93835</v>
      </c>
      <c r="K509" s="30" t="n">
        <v>84018.33333333333</v>
      </c>
      <c r="L509" s="30" t="n">
        <v>89470.83333333333</v>
      </c>
      <c r="M509" s="35" t="n">
        <v>0.4656294212691375</v>
      </c>
      <c r="N509" s="35" t="n">
        <v>0.6474416183941805</v>
      </c>
      <c r="O509" s="35" t="n">
        <v>0.1025641025641026</v>
      </c>
      <c r="P509" s="35" t="n">
        <v>0.5457516339869282</v>
      </c>
      <c r="Q509" s="35" t="n">
        <v>-0.1830742659758203</v>
      </c>
      <c r="R509" s="35" t="n">
        <v>0.008152608301806419</v>
      </c>
      <c r="S509" s="35" t="n">
        <v>0.1259447342841842</v>
      </c>
      <c r="T509" s="35" t="n">
        <v>0.05732780701345885</v>
      </c>
      <c r="U509" s="30" t="n">
        <v>179800</v>
      </c>
      <c r="V509" s="30" t="n">
        <v>60200</v>
      </c>
      <c r="W509" s="35" t="n">
        <v>-0.4738598442714127</v>
      </c>
      <c r="X509" s="35" t="n">
        <v>0.5714285714285714</v>
      </c>
      <c r="Y509" s="30" t="n">
        <v>95312200</v>
      </c>
      <c r="Z509" s="30" t="n">
        <v>9016534120000</v>
      </c>
      <c r="AA509" s="30" t="n">
        <v>34849031800</v>
      </c>
      <c r="AB509" s="30" t="n">
        <v>135491095265</v>
      </c>
      <c r="AC509" s="35" t="n">
        <v>0.003865014132503499</v>
      </c>
      <c r="AD509" s="24" t="inlineStr">
        <is>
          <t>yfinance_download</t>
        </is>
      </c>
      <c r="AE509" s="24" t="inlineStr">
        <is>
          <t>042700.KS</t>
        </is>
      </c>
    </row>
    <row r="510" ht="24" customHeight="1">
      <c r="A510" s="29" t="inlineStr">
        <is>
          <t>2025-07-10</t>
        </is>
      </c>
      <c r="B510" s="31" t="n">
        <v>97000</v>
      </c>
      <c r="C510" s="31" t="n">
        <v>97500</v>
      </c>
      <c r="D510" s="31" t="n">
        <v>94500</v>
      </c>
      <c r="E510" s="31" t="n">
        <v>97500</v>
      </c>
      <c r="F510" s="31" t="n">
        <v>97198.8359375</v>
      </c>
      <c r="G510" s="31" t="n">
        <v>752409</v>
      </c>
      <c r="H510" s="36" t="n">
        <v>0.03065539112050741</v>
      </c>
      <c r="I510" s="36" t="n">
        <v>-0.4841269841269841</v>
      </c>
      <c r="J510" s="31" t="n">
        <v>94310</v>
      </c>
      <c r="K510" s="31" t="n">
        <v>84546.66666666667</v>
      </c>
      <c r="L510" s="31" t="n">
        <v>89320.83333333333</v>
      </c>
      <c r="M510" s="36" t="n">
        <v>0.468863988589905</v>
      </c>
      <c r="N510" s="36" t="n">
        <v>0.6340308800308578</v>
      </c>
      <c r="O510" s="36" t="n">
        <v>0.1079545454545454</v>
      </c>
      <c r="P510" s="36" t="n">
        <v>0.4817629179331306</v>
      </c>
      <c r="Q510" s="36" t="n">
        <v>-0.1558441558441559</v>
      </c>
      <c r="R510" s="36" t="n">
        <v>0.03382462093097227</v>
      </c>
      <c r="S510" s="36" t="n">
        <v>0.1532092729853334</v>
      </c>
      <c r="T510" s="36" t="n">
        <v>0.09157064887810806</v>
      </c>
      <c r="U510" s="31" t="n">
        <v>179800</v>
      </c>
      <c r="V510" s="31" t="n">
        <v>60200</v>
      </c>
      <c r="W510" s="36" t="n">
        <v>-0.4577308120133482</v>
      </c>
      <c r="X510" s="36" t="n">
        <v>0.6196013289036544</v>
      </c>
      <c r="Y510" s="31" t="n">
        <v>95312200</v>
      </c>
      <c r="Z510" s="31" t="n">
        <v>9292939500000</v>
      </c>
      <c r="AA510" s="31" t="n">
        <v>73359877500</v>
      </c>
      <c r="AB510" s="31" t="n">
        <v>131675630740</v>
      </c>
      <c r="AC510" s="36" t="n">
        <v>0.007894152060281894</v>
      </c>
      <c r="AD510" s="29" t="inlineStr">
        <is>
          <t>yfinance_download</t>
        </is>
      </c>
      <c r="AE510" s="29" t="inlineStr">
        <is>
          <t>042700.KS</t>
        </is>
      </c>
    </row>
    <row r="511" ht="24" customHeight="1">
      <c r="A511" s="24" t="inlineStr">
        <is>
          <t>2025-07-11</t>
        </is>
      </c>
      <c r="B511" s="30" t="n">
        <v>96700</v>
      </c>
      <c r="C511" s="30" t="n">
        <v>98200</v>
      </c>
      <c r="D511" s="30" t="n">
        <v>95300</v>
      </c>
      <c r="E511" s="30" t="n">
        <v>95400</v>
      </c>
      <c r="F511" s="30" t="n">
        <v>95105.328125</v>
      </c>
      <c r="G511" s="30" t="n">
        <v>640699</v>
      </c>
      <c r="H511" s="35" t="n">
        <v>-0.02153846153846151</v>
      </c>
      <c r="I511" s="35" t="n">
        <v>-0.4952380952380953</v>
      </c>
      <c r="J511" s="30" t="n">
        <v>94740</v>
      </c>
      <c r="K511" s="30" t="n">
        <v>84991.66666666667</v>
      </c>
      <c r="L511" s="30" t="n">
        <v>89175</v>
      </c>
      <c r="M511" s="35" t="n">
        <v>0.4739638096981941</v>
      </c>
      <c r="N511" s="35" t="n">
        <v>0.632049313812885</v>
      </c>
      <c r="O511" s="35" t="n">
        <v>0.09907834101382496</v>
      </c>
      <c r="P511" s="35" t="n">
        <v>0.3886462882096069</v>
      </c>
      <c r="Q511" s="35" t="n">
        <v>-0.1550044286979628</v>
      </c>
      <c r="R511" s="35" t="n">
        <v>0.006966434452184922</v>
      </c>
      <c r="S511" s="35" t="n">
        <v>0.1224629865673104</v>
      </c>
      <c r="T511" s="35" t="n">
        <v>0.06980656013456676</v>
      </c>
      <c r="U511" s="30" t="n">
        <v>173700</v>
      </c>
      <c r="V511" s="30" t="n">
        <v>60200</v>
      </c>
      <c r="W511" s="35" t="n">
        <v>-0.4507772020725389</v>
      </c>
      <c r="X511" s="35" t="n">
        <v>0.584717607973422</v>
      </c>
      <c r="Y511" s="30" t="n">
        <v>95312200</v>
      </c>
      <c r="Z511" s="30" t="n">
        <v>9092783880000</v>
      </c>
      <c r="AA511" s="30" t="n">
        <v>61122684600</v>
      </c>
      <c r="AB511" s="30" t="n">
        <v>128612360630</v>
      </c>
      <c r="AC511" s="35" t="n">
        <v>0.006722109026966117</v>
      </c>
      <c r="AD511" s="24" t="inlineStr">
        <is>
          <t>yfinance_download</t>
        </is>
      </c>
      <c r="AE511" s="24" t="inlineStr">
        <is>
          <t>042700.KS</t>
        </is>
      </c>
    </row>
    <row r="512" ht="24" customHeight="1">
      <c r="A512" s="29" t="inlineStr">
        <is>
          <t>2025-07-14</t>
        </is>
      </c>
      <c r="B512" s="31" t="n">
        <v>93800</v>
      </c>
      <c r="C512" s="31" t="n">
        <v>94200</v>
      </c>
      <c r="D512" s="31" t="n">
        <v>89200</v>
      </c>
      <c r="E512" s="31" t="n">
        <v>89600</v>
      </c>
      <c r="F512" s="31" t="n">
        <v>89323.2421875</v>
      </c>
      <c r="G512" s="31" t="n">
        <v>1118574</v>
      </c>
      <c r="H512" s="36" t="n">
        <v>-0.06079664570230603</v>
      </c>
      <c r="I512" s="36" t="n">
        <v>-0.5259259259259259</v>
      </c>
      <c r="J512" s="31" t="n">
        <v>94845</v>
      </c>
      <c r="K512" s="31" t="n">
        <v>85353.33333333333</v>
      </c>
      <c r="L512" s="31" t="n">
        <v>89030.83333333333</v>
      </c>
      <c r="M512" s="36" t="n">
        <v>0.5282727666097921</v>
      </c>
      <c r="N512" s="36" t="n">
        <v>0.6458670651055071</v>
      </c>
      <c r="O512" s="36" t="n">
        <v>0.02400000000000002</v>
      </c>
      <c r="P512" s="36" t="n">
        <v>0.3195876288659794</v>
      </c>
      <c r="Q512" s="36" t="n">
        <v>-0.1618334892422825</v>
      </c>
      <c r="R512" s="36" t="n">
        <v>-0.05530075386156363</v>
      </c>
      <c r="S512" s="36" t="n">
        <v>0.04975396391470754</v>
      </c>
      <c r="T512" s="36" t="n">
        <v>0.00639291631176464</v>
      </c>
      <c r="U512" s="31" t="n">
        <v>172300</v>
      </c>
      <c r="V512" s="31" t="n">
        <v>60200</v>
      </c>
      <c r="W512" s="36" t="n">
        <v>-0.4799767846778874</v>
      </c>
      <c r="X512" s="36" t="n">
        <v>0.4883720930232558</v>
      </c>
      <c r="Y512" s="31" t="n">
        <v>95312200</v>
      </c>
      <c r="Z512" s="31" t="n">
        <v>8539973120000</v>
      </c>
      <c r="AA512" s="31" t="n">
        <v>100224230400</v>
      </c>
      <c r="AB512" s="31" t="n">
        <v>130753117150</v>
      </c>
      <c r="AC512" s="36" t="n">
        <v>0.01173589529986717</v>
      </c>
      <c r="AD512" s="29" t="inlineStr">
        <is>
          <t>yfinance_download</t>
        </is>
      </c>
      <c r="AE512" s="29" t="inlineStr">
        <is>
          <t>042700.KS</t>
        </is>
      </c>
    </row>
    <row r="513" ht="24" customHeight="1">
      <c r="A513" s="24" t="inlineStr">
        <is>
          <t>2025-07-15</t>
        </is>
      </c>
      <c r="B513" s="30" t="n">
        <v>89700</v>
      </c>
      <c r="C513" s="30" t="n">
        <v>91500</v>
      </c>
      <c r="D513" s="30" t="n">
        <v>88400</v>
      </c>
      <c r="E513" s="30" t="n">
        <v>91300</v>
      </c>
      <c r="F513" s="30" t="n">
        <v>91017.9921875</v>
      </c>
      <c r="G513" s="30" t="n">
        <v>511251</v>
      </c>
      <c r="H513" s="35" t="n">
        <v>0.01897321428571419</v>
      </c>
      <c r="I513" s="35" t="n">
        <v>-0.5169312169312169</v>
      </c>
      <c r="J513" s="30" t="n">
        <v>95060</v>
      </c>
      <c r="K513" s="30" t="n">
        <v>85748.33333333333</v>
      </c>
      <c r="L513" s="30" t="n">
        <v>88904.16666666667</v>
      </c>
      <c r="M513" s="35" t="n">
        <v>0.5309323180238379</v>
      </c>
      <c r="N513" s="35" t="n">
        <v>0.6461234114150628</v>
      </c>
      <c r="O513" s="35" t="n">
        <v>0.0494252873563219</v>
      </c>
      <c r="P513" s="35" t="n">
        <v>0.3505917159763314</v>
      </c>
      <c r="Q513" s="35" t="n">
        <v>-0.1427230046948357</v>
      </c>
      <c r="R513" s="35" t="n">
        <v>-0.03955396591626337</v>
      </c>
      <c r="S513" s="35" t="n">
        <v>0.06474372679741114</v>
      </c>
      <c r="T513" s="35" t="n">
        <v>0.02694849322772641</v>
      </c>
      <c r="U513" s="30" t="n">
        <v>170800</v>
      </c>
      <c r="V513" s="30" t="n">
        <v>60200</v>
      </c>
      <c r="W513" s="35" t="n">
        <v>-0.4654566744730679</v>
      </c>
      <c r="X513" s="35" t="n">
        <v>0.5166112956810631</v>
      </c>
      <c r="Y513" s="30" t="n">
        <v>95312200</v>
      </c>
      <c r="Z513" s="30" t="n">
        <v>8702003860000</v>
      </c>
      <c r="AA513" s="30" t="n">
        <v>46677216300</v>
      </c>
      <c r="AB513" s="30" t="n">
        <v>125909525815</v>
      </c>
      <c r="AC513" s="35" t="n">
        <v>0.005363961801322391</v>
      </c>
      <c r="AD513" s="24" t="inlineStr">
        <is>
          <t>yfinance_download</t>
        </is>
      </c>
      <c r="AE513" s="24" t="inlineStr">
        <is>
          <t>042700.KS</t>
        </is>
      </c>
    </row>
    <row r="514" ht="24" customHeight="1">
      <c r="A514" s="29" t="inlineStr">
        <is>
          <t>2025-07-16</t>
        </is>
      </c>
      <c r="B514" s="31" t="n">
        <v>92900</v>
      </c>
      <c r="C514" s="31" t="n">
        <v>93000</v>
      </c>
      <c r="D514" s="31" t="n">
        <v>90700</v>
      </c>
      <c r="E514" s="31" t="n">
        <v>91100</v>
      </c>
      <c r="F514" s="31" t="n">
        <v>90818.609375</v>
      </c>
      <c r="G514" s="31" t="n">
        <v>412238</v>
      </c>
      <c r="H514" s="36" t="n">
        <v>-0.002190580503833472</v>
      </c>
      <c r="I514" s="36" t="n">
        <v>-0.517989417989418</v>
      </c>
      <c r="J514" s="31" t="n">
        <v>95240</v>
      </c>
      <c r="K514" s="31" t="n">
        <v>86188.33333333333</v>
      </c>
      <c r="L514" s="31" t="n">
        <v>88785</v>
      </c>
      <c r="M514" s="36" t="n">
        <v>0.5311242869953493</v>
      </c>
      <c r="N514" s="36" t="n">
        <v>0.6383536112141104</v>
      </c>
      <c r="O514" s="36" t="n">
        <v>0.04114285714285715</v>
      </c>
      <c r="P514" s="36" t="n">
        <v>0.4080370942812983</v>
      </c>
      <c r="Q514" s="36" t="n">
        <v>-0.135673624288425</v>
      </c>
      <c r="R514" s="36" t="n">
        <v>-0.04346913061738766</v>
      </c>
      <c r="S514" s="36" t="n">
        <v>0.05698760466420438</v>
      </c>
      <c r="T514" s="36" t="n">
        <v>0.02607422424959172</v>
      </c>
      <c r="U514" s="31" t="n">
        <v>168600</v>
      </c>
      <c r="V514" s="31" t="n">
        <v>60200</v>
      </c>
      <c r="W514" s="36" t="n">
        <v>-0.4596678529062871</v>
      </c>
      <c r="X514" s="36" t="n">
        <v>0.5132890365448506</v>
      </c>
      <c r="Y514" s="31" t="n">
        <v>95312200</v>
      </c>
      <c r="Z514" s="31" t="n">
        <v>8682941420000</v>
      </c>
      <c r="AA514" s="31" t="n">
        <v>37554881800</v>
      </c>
      <c r="AB514" s="31" t="n">
        <v>125606892405</v>
      </c>
      <c r="AC514" s="36" t="n">
        <v>0.004325133613535309</v>
      </c>
      <c r="AD514" s="29" t="inlineStr">
        <is>
          <t>yfinance_download</t>
        </is>
      </c>
      <c r="AE514" s="29" t="inlineStr">
        <is>
          <t>042700.KS</t>
        </is>
      </c>
    </row>
    <row r="515" ht="24" customHeight="1">
      <c r="A515" s="24" t="inlineStr">
        <is>
          <t>2025-07-17</t>
        </is>
      </c>
      <c r="B515" s="30" t="n">
        <v>90600</v>
      </c>
      <c r="C515" s="30" t="n">
        <v>90900</v>
      </c>
      <c r="D515" s="30" t="n">
        <v>87000</v>
      </c>
      <c r="E515" s="30" t="n">
        <v>88300</v>
      </c>
      <c r="F515" s="30" t="n">
        <v>88027.2578125</v>
      </c>
      <c r="G515" s="30" t="n">
        <v>700356</v>
      </c>
      <c r="H515" s="35" t="n">
        <v>-0.03073545554335899</v>
      </c>
      <c r="I515" s="35" t="n">
        <v>-0.5328042328042328</v>
      </c>
      <c r="J515" s="30" t="n">
        <v>95030</v>
      </c>
      <c r="K515" s="30" t="n">
        <v>86526.66666666667</v>
      </c>
      <c r="L515" s="30" t="n">
        <v>88633.33333333333</v>
      </c>
      <c r="M515" s="35" t="n">
        <v>0.5021280897866831</v>
      </c>
      <c r="N515" s="35" t="n">
        <v>0.6359852406716773</v>
      </c>
      <c r="O515" s="35" t="n">
        <v>-0.04540540540540539</v>
      </c>
      <c r="P515" s="35" t="n">
        <v>0.2985294117647059</v>
      </c>
      <c r="Q515" s="35" t="n">
        <v>-0.1708920187793427</v>
      </c>
      <c r="R515" s="35" t="n">
        <v>-0.07081974113437861</v>
      </c>
      <c r="S515" s="35" t="n">
        <v>0.0204946451960859</v>
      </c>
      <c r="T515" s="35" t="n">
        <v>-0.003760812335464436</v>
      </c>
      <c r="U515" s="30" t="n">
        <v>168100</v>
      </c>
      <c r="V515" s="30" t="n">
        <v>60200</v>
      </c>
      <c r="W515" s="35" t="n">
        <v>-0.4747174301011303</v>
      </c>
      <c r="X515" s="35" t="n">
        <v>0.4667774086378738</v>
      </c>
      <c r="Y515" s="30" t="n">
        <v>95312200</v>
      </c>
      <c r="Z515" s="30" t="n">
        <v>8416067260000</v>
      </c>
      <c r="AA515" s="30" t="n">
        <v>61841434800</v>
      </c>
      <c r="AB515" s="30" t="n">
        <v>104918652520</v>
      </c>
      <c r="AC515" s="35" t="n">
        <v>0.007348020505244869</v>
      </c>
      <c r="AD515" s="24" t="inlineStr">
        <is>
          <t>yfinance_download</t>
        </is>
      </c>
      <c r="AE515" s="24" t="inlineStr">
        <is>
          <t>042700.KS</t>
        </is>
      </c>
    </row>
    <row r="516" ht="24" customHeight="1">
      <c r="A516" s="29" t="inlineStr">
        <is>
          <t>2025-07-18</t>
        </is>
      </c>
      <c r="B516" s="31" t="n">
        <v>88900</v>
      </c>
      <c r="C516" s="31" t="n">
        <v>89400</v>
      </c>
      <c r="D516" s="31" t="n">
        <v>87500</v>
      </c>
      <c r="E516" s="31" t="n">
        <v>87800</v>
      </c>
      <c r="F516" s="31" t="n">
        <v>87528.796875</v>
      </c>
      <c r="G516" s="31" t="n">
        <v>329941</v>
      </c>
      <c r="H516" s="36" t="n">
        <v>-0.005662514156285381</v>
      </c>
      <c r="I516" s="36" t="n">
        <v>-0.5354497354497354</v>
      </c>
      <c r="J516" s="31" t="n">
        <v>94770</v>
      </c>
      <c r="K516" s="31" t="n">
        <v>86770</v>
      </c>
      <c r="L516" s="31" t="n">
        <v>88427.5</v>
      </c>
      <c r="M516" s="36" t="n">
        <v>0.5015448300873946</v>
      </c>
      <c r="N516" s="36" t="n">
        <v>0.6186736978415032</v>
      </c>
      <c r="O516" s="36" t="n">
        <v>-0.05591397849462365</v>
      </c>
      <c r="P516" s="36" t="n">
        <v>0.1994535519125684</v>
      </c>
      <c r="Q516" s="36" t="n">
        <v>-0.2195555555555555</v>
      </c>
      <c r="R516" s="36" t="n">
        <v>-0.07354648095388838</v>
      </c>
      <c r="S516" s="36" t="n">
        <v>0.01187046214129306</v>
      </c>
      <c r="T516" s="36" t="n">
        <v>-0.007096208758587519</v>
      </c>
      <c r="U516" s="31" t="n">
        <v>168100</v>
      </c>
      <c r="V516" s="31" t="n">
        <v>60200</v>
      </c>
      <c r="W516" s="36" t="n">
        <v>-0.4776918500892327</v>
      </c>
      <c r="X516" s="36" t="n">
        <v>0.4584717607973421</v>
      </c>
      <c r="Y516" s="31" t="n">
        <v>95312200</v>
      </c>
      <c r="Z516" s="31" t="n">
        <v>8368411160000</v>
      </c>
      <c r="AA516" s="31" t="n">
        <v>28968819800</v>
      </c>
      <c r="AB516" s="31" t="n">
        <v>100693163510</v>
      </c>
      <c r="AC516" s="36" t="n">
        <v>0.003461686961375354</v>
      </c>
      <c r="AD516" s="29" t="inlineStr">
        <is>
          <t>yfinance_download</t>
        </is>
      </c>
      <c r="AE516" s="29" t="inlineStr">
        <is>
          <t>042700.KS</t>
        </is>
      </c>
    </row>
    <row r="517" ht="24" customHeight="1">
      <c r="A517" s="24" t="inlineStr">
        <is>
          <t>2025-07-21</t>
        </is>
      </c>
      <c r="B517" s="30" t="n">
        <v>88100</v>
      </c>
      <c r="C517" s="30" t="n">
        <v>89000</v>
      </c>
      <c r="D517" s="30" t="n">
        <v>87800</v>
      </c>
      <c r="E517" s="30" t="n">
        <v>88700</v>
      </c>
      <c r="F517" s="30" t="n">
        <v>88426.0234375</v>
      </c>
      <c r="G517" s="30" t="n">
        <v>232481</v>
      </c>
      <c r="H517" s="35" t="n">
        <v>0.01025056947608194</v>
      </c>
      <c r="I517" s="35" t="n">
        <v>-0.5306878306878307</v>
      </c>
      <c r="J517" s="30" t="n">
        <v>94685</v>
      </c>
      <c r="K517" s="30" t="n">
        <v>86996.66666666667</v>
      </c>
      <c r="L517" s="30" t="n">
        <v>88265.83333333333</v>
      </c>
      <c r="M517" s="35" t="n">
        <v>0.4940019627162838</v>
      </c>
      <c r="N517" s="35" t="n">
        <v>0.6171025073559256</v>
      </c>
      <c r="O517" s="35" t="n">
        <v>-0.01880530973451322</v>
      </c>
      <c r="P517" s="35" t="n">
        <v>0.181091877496671</v>
      </c>
      <c r="Q517" s="35" t="n">
        <v>-0.179463459759482</v>
      </c>
      <c r="R517" s="35" t="n">
        <v>-0.06320958969213708</v>
      </c>
      <c r="S517" s="35" t="n">
        <v>0.01957929422583238</v>
      </c>
      <c r="T517" s="35" t="n">
        <v>0.004918853085848607</v>
      </c>
      <c r="U517" s="30" t="n">
        <v>168100</v>
      </c>
      <c r="V517" s="30" t="n">
        <v>60200</v>
      </c>
      <c r="W517" s="35" t="n">
        <v>-0.4723378941106484</v>
      </c>
      <c r="X517" s="35" t="n">
        <v>0.4734219269102991</v>
      </c>
      <c r="Y517" s="30" t="n">
        <v>95312200</v>
      </c>
      <c r="Z517" s="30" t="n">
        <v>8454192140000</v>
      </c>
      <c r="AA517" s="30" t="n">
        <v>20621064700</v>
      </c>
      <c r="AB517" s="30" t="n">
        <v>96002827865</v>
      </c>
      <c r="AC517" s="35" t="n">
        <v>0.002439152595365546</v>
      </c>
      <c r="AD517" s="24" t="inlineStr">
        <is>
          <t>yfinance_download</t>
        </is>
      </c>
      <c r="AE517" s="24" t="inlineStr">
        <is>
          <t>042700.KS</t>
        </is>
      </c>
    </row>
    <row r="518" ht="24" customHeight="1">
      <c r="A518" s="29" t="inlineStr">
        <is>
          <t>2025-07-22</t>
        </is>
      </c>
      <c r="B518" s="31" t="n">
        <v>89000</v>
      </c>
      <c r="C518" s="31" t="n">
        <v>89000</v>
      </c>
      <c r="D518" s="31" t="n">
        <v>86200</v>
      </c>
      <c r="E518" s="31" t="n">
        <v>86600</v>
      </c>
      <c r="F518" s="31" t="n">
        <v>86332.5078125</v>
      </c>
      <c r="G518" s="31" t="n">
        <v>375455</v>
      </c>
      <c r="H518" s="36" t="n">
        <v>-0.02367531003382184</v>
      </c>
      <c r="I518" s="36" t="n">
        <v>-0.5417989417989417</v>
      </c>
      <c r="J518" s="31" t="n">
        <v>94375</v>
      </c>
      <c r="K518" s="31" t="n">
        <v>87191.66666666667</v>
      </c>
      <c r="L518" s="31" t="n">
        <v>88040.83333333333</v>
      </c>
      <c r="M518" s="36" t="n">
        <v>0.4896936870790168</v>
      </c>
      <c r="N518" s="36" t="n">
        <v>0.6194967096722837</v>
      </c>
      <c r="O518" s="36" t="n">
        <v>-0.06681034482758619</v>
      </c>
      <c r="P518" s="36" t="n">
        <v>0.1562082777036049</v>
      </c>
      <c r="Q518" s="36" t="n">
        <v>-0.2376760563380281</v>
      </c>
      <c r="R518" s="36" t="n">
        <v>-0.08238410596026491</v>
      </c>
      <c r="S518" s="36" t="n">
        <v>-0.006785816687374657</v>
      </c>
      <c r="T518" s="36" t="n">
        <v>-0.01636551221497595</v>
      </c>
      <c r="U518" s="31" t="n">
        <v>168100</v>
      </c>
      <c r="V518" s="31" t="n">
        <v>60200</v>
      </c>
      <c r="W518" s="36" t="n">
        <v>-0.4848304580606781</v>
      </c>
      <c r="X518" s="36" t="n">
        <v>0.4385382059800664</v>
      </c>
      <c r="Y518" s="31" t="n">
        <v>95312200</v>
      </c>
      <c r="Z518" s="31" t="n">
        <v>8254036520000</v>
      </c>
      <c r="AA518" s="31" t="n">
        <v>32514403000</v>
      </c>
      <c r="AB518" s="31" t="n">
        <v>92137776175</v>
      </c>
      <c r="AC518" s="36" t="n">
        <v>0.003939212398832469</v>
      </c>
      <c r="AD518" s="29" t="inlineStr">
        <is>
          <t>yfinance_download</t>
        </is>
      </c>
      <c r="AE518" s="29" t="inlineStr">
        <is>
          <t>042700.KS</t>
        </is>
      </c>
    </row>
    <row r="519" ht="24" customHeight="1">
      <c r="A519" s="24" t="inlineStr">
        <is>
          <t>2025-07-23</t>
        </is>
      </c>
      <c r="B519" s="30" t="n">
        <v>86200</v>
      </c>
      <c r="C519" s="30" t="n">
        <v>87200</v>
      </c>
      <c r="D519" s="30" t="n">
        <v>84800</v>
      </c>
      <c r="E519" s="30" t="n">
        <v>86100</v>
      </c>
      <c r="F519" s="30" t="n">
        <v>85834.0546875</v>
      </c>
      <c r="G519" s="30" t="n">
        <v>323488</v>
      </c>
      <c r="H519" s="35" t="n">
        <v>-0.005773672055427226</v>
      </c>
      <c r="I519" s="35" t="n">
        <v>-0.5444444444444445</v>
      </c>
      <c r="J519" s="30" t="n">
        <v>93805</v>
      </c>
      <c r="K519" s="30" t="n">
        <v>87200</v>
      </c>
      <c r="L519" s="30" t="n">
        <v>87707.5</v>
      </c>
      <c r="M519" s="35" t="n">
        <v>0.4467887634072317</v>
      </c>
      <c r="N519" s="35" t="n">
        <v>0.5469722069968961</v>
      </c>
      <c r="O519" s="35" t="n">
        <v>-0.1169230769230769</v>
      </c>
      <c r="P519" s="35" t="n">
        <v>0.005841121495327117</v>
      </c>
      <c r="Q519" s="35" t="n">
        <v>-0.317208564631245</v>
      </c>
      <c r="R519" s="35" t="n">
        <v>-0.08213847875912794</v>
      </c>
      <c r="S519" s="35" t="n">
        <v>-0.01261467889908252</v>
      </c>
      <c r="T519" s="35" t="n">
        <v>-0.01832796511130752</v>
      </c>
      <c r="U519" s="30" t="n">
        <v>168100</v>
      </c>
      <c r="V519" s="30" t="n">
        <v>60200</v>
      </c>
      <c r="W519" s="35" t="n">
        <v>-0.4878048780487805</v>
      </c>
      <c r="X519" s="35" t="n">
        <v>0.430232558139535</v>
      </c>
      <c r="Y519" s="30" t="n">
        <v>95312200</v>
      </c>
      <c r="Z519" s="30" t="n">
        <v>8206380420000</v>
      </c>
      <c r="AA519" s="30" t="n">
        <v>27852316800</v>
      </c>
      <c r="AB519" s="30" t="n">
        <v>82671500140</v>
      </c>
      <c r="AC519" s="35" t="n">
        <v>0.00339398314171743</v>
      </c>
      <c r="AD519" s="24" t="inlineStr">
        <is>
          <t>yfinance_download</t>
        </is>
      </c>
      <c r="AE519" s="24" t="inlineStr">
        <is>
          <t>042700.KS</t>
        </is>
      </c>
    </row>
    <row r="520" ht="24" customHeight="1">
      <c r="A520" s="29" t="inlineStr">
        <is>
          <t>2025-07-24</t>
        </is>
      </c>
      <c r="B520" s="31" t="n">
        <v>87600</v>
      </c>
      <c r="C520" s="31" t="n">
        <v>88500</v>
      </c>
      <c r="D520" s="31" t="n">
        <v>84500</v>
      </c>
      <c r="E520" s="31" t="n">
        <v>84600</v>
      </c>
      <c r="F520" s="31" t="n">
        <v>84338.6875</v>
      </c>
      <c r="G520" s="31" t="n">
        <v>600205</v>
      </c>
      <c r="H520" s="36" t="n">
        <v>-0.01742160278745641</v>
      </c>
      <c r="I520" s="36" t="n">
        <v>-0.5523809523809524</v>
      </c>
      <c r="J520" s="31" t="n">
        <v>92850</v>
      </c>
      <c r="K520" s="31" t="n">
        <v>87221.66666666667</v>
      </c>
      <c r="L520" s="31" t="n">
        <v>87396.66666666667</v>
      </c>
      <c r="M520" s="36" t="n">
        <v>0.3649012323636069</v>
      </c>
      <c r="N520" s="36" t="n">
        <v>0.5452803789334719</v>
      </c>
      <c r="O520" s="36" t="n">
        <v>-0.1841851494696239</v>
      </c>
      <c r="P520" s="36" t="n">
        <v>0.01560624249699871</v>
      </c>
      <c r="Q520" s="36" t="n">
        <v>-0.305988515176374</v>
      </c>
      <c r="R520" s="36" t="n">
        <v>-0.08885298869143776</v>
      </c>
      <c r="S520" s="36" t="n">
        <v>-0.03005751628991271</v>
      </c>
      <c r="T520" s="36" t="n">
        <v>-0.03199969487776044</v>
      </c>
      <c r="U520" s="31" t="n">
        <v>168100</v>
      </c>
      <c r="V520" s="31" t="n">
        <v>60200</v>
      </c>
      <c r="W520" s="36" t="n">
        <v>-0.4967281380130875</v>
      </c>
      <c r="X520" s="36" t="n">
        <v>0.4053156146179402</v>
      </c>
      <c r="Y520" s="31" t="n">
        <v>95312200</v>
      </c>
      <c r="Z520" s="31" t="n">
        <v>8063412120000</v>
      </c>
      <c r="AA520" s="31" t="n">
        <v>50777343000</v>
      </c>
      <c r="AB520" s="31" t="n">
        <v>60283505715</v>
      </c>
      <c r="AC520" s="36" t="n">
        <v>0.006297252607745913</v>
      </c>
      <c r="AD520" s="29" t="inlineStr">
        <is>
          <t>yfinance_download</t>
        </is>
      </c>
      <c r="AE520" s="29" t="inlineStr">
        <is>
          <t>042700.KS</t>
        </is>
      </c>
    </row>
    <row r="521" ht="24" customHeight="1">
      <c r="A521" s="24" t="inlineStr">
        <is>
          <t>2025-07-25</t>
        </is>
      </c>
      <c r="B521" s="30" t="n">
        <v>84600</v>
      </c>
      <c r="C521" s="30" t="n">
        <v>87600</v>
      </c>
      <c r="D521" s="30" t="n">
        <v>84500</v>
      </c>
      <c r="E521" s="30" t="n">
        <v>85700</v>
      </c>
      <c r="F521" s="30" t="n">
        <v>85435.2890625</v>
      </c>
      <c r="G521" s="30" t="n">
        <v>377273</v>
      </c>
      <c r="H521" s="35" t="n">
        <v>0.01300236406619382</v>
      </c>
      <c r="I521" s="35" t="n">
        <v>-0.5465608465608466</v>
      </c>
      <c r="J521" s="30" t="n">
        <v>91990</v>
      </c>
      <c r="K521" s="30" t="n">
        <v>87275</v>
      </c>
      <c r="L521" s="30" t="n">
        <v>87105.83333333333</v>
      </c>
      <c r="M521" s="35" t="n">
        <v>0.3738262918743897</v>
      </c>
      <c r="N521" s="35" t="n">
        <v>0.5454008443874976</v>
      </c>
      <c r="O521" s="35" t="n">
        <v>-0.1671525753158406</v>
      </c>
      <c r="P521" s="35" t="n">
        <v>0.03878787878787882</v>
      </c>
      <c r="Q521" s="35" t="n">
        <v>-0.2893864013266998</v>
      </c>
      <c r="R521" s="35" t="n">
        <v>-0.06837699749972825</v>
      </c>
      <c r="S521" s="35" t="n">
        <v>-0.01804640504153543</v>
      </c>
      <c r="T521" s="35" t="n">
        <v>-0.01613937068891291</v>
      </c>
      <c r="U521" s="30" t="n">
        <v>168100</v>
      </c>
      <c r="V521" s="30" t="n">
        <v>60200</v>
      </c>
      <c r="W521" s="35" t="n">
        <v>-0.4901844140392624</v>
      </c>
      <c r="X521" s="35" t="n">
        <v>0.4235880398671097</v>
      </c>
      <c r="Y521" s="30" t="n">
        <v>95312200</v>
      </c>
      <c r="Z521" s="30" t="n">
        <v>8168255540000</v>
      </c>
      <c r="AA521" s="30" t="n">
        <v>32332296100</v>
      </c>
      <c r="AB521" s="30" t="n">
        <v>55636350560</v>
      </c>
      <c r="AC521" s="35" t="n">
        <v>0.00395828655722982</v>
      </c>
      <c r="AD521" s="24" t="inlineStr">
        <is>
          <t>yfinance_download</t>
        </is>
      </c>
      <c r="AE521" s="24" t="inlineStr">
        <is>
          <t>042700.KS</t>
        </is>
      </c>
    </row>
    <row r="522" ht="24" customHeight="1">
      <c r="A522" s="29" t="inlineStr">
        <is>
          <t>2025-07-28</t>
        </is>
      </c>
      <c r="B522" s="31" t="n">
        <v>86300</v>
      </c>
      <c r="C522" s="31" t="n">
        <v>87100</v>
      </c>
      <c r="D522" s="31" t="n">
        <v>84100</v>
      </c>
      <c r="E522" s="31" t="n">
        <v>85200</v>
      </c>
      <c r="F522" s="31" t="n">
        <v>84936.828125</v>
      </c>
      <c r="G522" s="31" t="n">
        <v>352416</v>
      </c>
      <c r="H522" s="36" t="n">
        <v>-0.005834305717619559</v>
      </c>
      <c r="I522" s="36" t="n">
        <v>-0.5492063492063493</v>
      </c>
      <c r="J522" s="31" t="n">
        <v>91150</v>
      </c>
      <c r="K522" s="31" t="n">
        <v>87430</v>
      </c>
      <c r="L522" s="31" t="n">
        <v>86872.5</v>
      </c>
      <c r="M522" s="36" t="n">
        <v>0.3739784080199854</v>
      </c>
      <c r="N522" s="36" t="n">
        <v>0.5187633839168865</v>
      </c>
      <c r="O522" s="36" t="n">
        <v>-0.1647058823529411</v>
      </c>
      <c r="P522" s="36" t="n">
        <v>0.1225296442687747</v>
      </c>
      <c r="Q522" s="36" t="n">
        <v>-0.2473498233215548</v>
      </c>
      <c r="R522" s="36" t="n">
        <v>-0.06527701590784418</v>
      </c>
      <c r="S522" s="36" t="n">
        <v>-0.02550611918105916</v>
      </c>
      <c r="T522" s="36" t="n">
        <v>-0.01925235258568592</v>
      </c>
      <c r="U522" s="31" t="n">
        <v>168100</v>
      </c>
      <c r="V522" s="31" t="n">
        <v>60200</v>
      </c>
      <c r="W522" s="36" t="n">
        <v>-0.4931588340273647</v>
      </c>
      <c r="X522" s="36" t="n">
        <v>0.415282392026578</v>
      </c>
      <c r="Y522" s="31" t="n">
        <v>95312200</v>
      </c>
      <c r="Z522" s="31" t="n">
        <v>8120599440000</v>
      </c>
      <c r="AA522" s="31" t="n">
        <v>30025843200</v>
      </c>
      <c r="AB522" s="31" t="n">
        <v>52491252020</v>
      </c>
      <c r="AC522" s="36" t="n">
        <v>0.003697490982266698</v>
      </c>
      <c r="AD522" s="29" t="inlineStr">
        <is>
          <t>yfinance_download</t>
        </is>
      </c>
      <c r="AE522" s="29" t="inlineStr">
        <is>
          <t>042700.KS</t>
        </is>
      </c>
    </row>
    <row r="523" ht="24" customHeight="1">
      <c r="A523" s="24" t="inlineStr">
        <is>
          <t>2025-07-29</t>
        </is>
      </c>
      <c r="B523" s="30" t="n">
        <v>85200</v>
      </c>
      <c r="C523" s="30" t="n">
        <v>85200</v>
      </c>
      <c r="D523" s="30" t="n">
        <v>82700</v>
      </c>
      <c r="E523" s="30" t="n">
        <v>84400</v>
      </c>
      <c r="F523" s="30" t="n">
        <v>84139.3046875</v>
      </c>
      <c r="G523" s="30" t="n">
        <v>372546</v>
      </c>
      <c r="H523" s="35" t="n">
        <v>-0.009389671361502372</v>
      </c>
      <c r="I523" s="35" t="n">
        <v>-0.5534391534391534</v>
      </c>
      <c r="J523" s="30" t="n">
        <v>90535</v>
      </c>
      <c r="K523" s="30" t="n">
        <v>87550</v>
      </c>
      <c r="L523" s="30" t="n">
        <v>86692.5</v>
      </c>
      <c r="M523" s="35" t="n">
        <v>0.3373888595728446</v>
      </c>
      <c r="N523" s="35" t="n">
        <v>0.5184037400312831</v>
      </c>
      <c r="O523" s="35" t="n">
        <v>-0.1271975180972078</v>
      </c>
      <c r="P523" s="35" t="n">
        <v>0.09326424870466332</v>
      </c>
      <c r="Q523" s="35" t="n">
        <v>-0.2037735849056603</v>
      </c>
      <c r="R523" s="35" t="n">
        <v>-0.06776384823548909</v>
      </c>
      <c r="S523" s="35" t="n">
        <v>-0.03597944031981726</v>
      </c>
      <c r="T523" s="35" t="n">
        <v>-0.02644404071863193</v>
      </c>
      <c r="U523" s="30" t="n">
        <v>168100</v>
      </c>
      <c r="V523" s="30" t="n">
        <v>60200</v>
      </c>
      <c r="W523" s="35" t="n">
        <v>-0.4979179060083284</v>
      </c>
      <c r="X523" s="35" t="n">
        <v>0.4019933554817277</v>
      </c>
      <c r="Y523" s="30" t="n">
        <v>95312200</v>
      </c>
      <c r="Z523" s="30" t="n">
        <v>8044349680000</v>
      </c>
      <c r="AA523" s="30" t="n">
        <v>31442882400</v>
      </c>
      <c r="AB523" s="30" t="n">
        <v>47011732370</v>
      </c>
      <c r="AC523" s="35" t="n">
        <v>0.003908691647029446</v>
      </c>
      <c r="AD523" s="24" t="inlineStr">
        <is>
          <t>yfinance_download</t>
        </is>
      </c>
      <c r="AE523" s="24" t="inlineStr">
        <is>
          <t>042700.KS</t>
        </is>
      </c>
    </row>
    <row r="524" ht="24" customHeight="1">
      <c r="A524" s="29" t="inlineStr">
        <is>
          <t>2025-07-30</t>
        </is>
      </c>
      <c r="B524" s="31" t="n">
        <v>84500</v>
      </c>
      <c r="C524" s="31" t="n">
        <v>88000</v>
      </c>
      <c r="D524" s="31" t="n">
        <v>84100</v>
      </c>
      <c r="E524" s="31" t="n">
        <v>85900</v>
      </c>
      <c r="F524" s="31" t="n">
        <v>85634.671875</v>
      </c>
      <c r="G524" s="31" t="n">
        <v>723168</v>
      </c>
      <c r="H524" s="36" t="n">
        <v>0.01777251184834117</v>
      </c>
      <c r="I524" s="36" t="n">
        <v>-0.5455026455026455</v>
      </c>
      <c r="J524" s="31" t="n">
        <v>90135</v>
      </c>
      <c r="K524" s="31" t="n">
        <v>87713.33333333333</v>
      </c>
      <c r="L524" s="31" t="n">
        <v>86524.16666666667</v>
      </c>
      <c r="M524" s="36" t="n">
        <v>0.3370247153921167</v>
      </c>
      <c r="N524" s="36" t="n">
        <v>0.5182701371903614</v>
      </c>
      <c r="O524" s="36" t="n">
        <v>-0.08519701810436631</v>
      </c>
      <c r="P524" s="36" t="n">
        <v>0.1287779237844942</v>
      </c>
      <c r="Q524" s="36" t="n">
        <v>-0.1903864278982093</v>
      </c>
      <c r="R524" s="36" t="n">
        <v>-0.04698507793864759</v>
      </c>
      <c r="S524" s="36" t="n">
        <v>-0.02067340579159382</v>
      </c>
      <c r="T524" s="36" t="n">
        <v>-0.007213784202872109</v>
      </c>
      <c r="U524" s="31" t="n">
        <v>168100</v>
      </c>
      <c r="V524" s="31" t="n">
        <v>60200</v>
      </c>
      <c r="W524" s="36" t="n">
        <v>-0.4889946460440214</v>
      </c>
      <c r="X524" s="36" t="n">
        <v>0.4269102990033222</v>
      </c>
      <c r="Y524" s="31" t="n">
        <v>95312200</v>
      </c>
      <c r="Z524" s="31" t="n">
        <v>8187317980000</v>
      </c>
      <c r="AA524" s="31" t="n">
        <v>62120131200</v>
      </c>
      <c r="AB524" s="31" t="n">
        <v>46158370310</v>
      </c>
      <c r="AC524" s="36" t="n">
        <v>0.007587360274970045</v>
      </c>
      <c r="AD524" s="29" t="inlineStr">
        <is>
          <t>yfinance_download</t>
        </is>
      </c>
      <c r="AE524" s="29" t="inlineStr">
        <is>
          <t>042700.KS</t>
        </is>
      </c>
    </row>
    <row r="525" ht="24" customHeight="1">
      <c r="A525" s="24" t="inlineStr">
        <is>
          <t>2025-07-31</t>
        </is>
      </c>
      <c r="B525" s="30" t="n">
        <v>88800</v>
      </c>
      <c r="C525" s="30" t="n">
        <v>93000</v>
      </c>
      <c r="D525" s="30" t="n">
        <v>86700</v>
      </c>
      <c r="E525" s="30" t="n">
        <v>91900</v>
      </c>
      <c r="F525" s="30" t="n">
        <v>91616.1328125</v>
      </c>
      <c r="G525" s="30" t="n">
        <v>2082871</v>
      </c>
      <c r="H525" s="35" t="n">
        <v>0.06984866123399303</v>
      </c>
      <c r="I525" s="35" t="n">
        <v>-0.5137566137566137</v>
      </c>
      <c r="J525" s="30" t="n">
        <v>89965</v>
      </c>
      <c r="K525" s="30" t="n">
        <v>87973.33333333333</v>
      </c>
      <c r="L525" s="30" t="n">
        <v>86381.66666666667</v>
      </c>
      <c r="M525" s="35" t="n">
        <v>0.4236767702272377</v>
      </c>
      <c r="N525" s="35" t="n">
        <v>0.5363165876051792</v>
      </c>
      <c r="O525" s="35" t="n">
        <v>-0.03567681007345225</v>
      </c>
      <c r="P525" s="35" t="n">
        <v>0.2044560943643512</v>
      </c>
      <c r="Q525" s="35" t="n">
        <v>-0.1568807339449542</v>
      </c>
      <c r="R525" s="35" t="n">
        <v>0.02150836436391934</v>
      </c>
      <c r="S525" s="35" t="n">
        <v>0.04463473779933325</v>
      </c>
      <c r="T525" s="35" t="n">
        <v>0.06388315421868063</v>
      </c>
      <c r="U525" s="30" t="n">
        <v>159400</v>
      </c>
      <c r="V525" s="30" t="n">
        <v>60200</v>
      </c>
      <c r="W525" s="35" t="n">
        <v>-0.4234629861982434</v>
      </c>
      <c r="X525" s="35" t="n">
        <v>0.5265780730897009</v>
      </c>
      <c r="Y525" s="30" t="n">
        <v>95312200</v>
      </c>
      <c r="Z525" s="30" t="n">
        <v>8759191180000</v>
      </c>
      <c r="AA525" s="30" t="n">
        <v>191415844900</v>
      </c>
      <c r="AB525" s="30" t="n">
        <v>52742603505</v>
      </c>
      <c r="AC525" s="35" t="n">
        <v>0.02185314157054396</v>
      </c>
      <c r="AD525" s="24" t="inlineStr">
        <is>
          <t>yfinance_download</t>
        </is>
      </c>
      <c r="AE525" s="24" t="inlineStr">
        <is>
          <t>042700.KS</t>
        </is>
      </c>
    </row>
    <row r="526" ht="24" customHeight="1">
      <c r="A526" s="29" t="inlineStr">
        <is>
          <t>2025-08-01</t>
        </is>
      </c>
      <c r="B526" s="31" t="n">
        <v>89700</v>
      </c>
      <c r="C526" s="31" t="n">
        <v>90400</v>
      </c>
      <c r="D526" s="31" t="n">
        <v>86500</v>
      </c>
      <c r="E526" s="31" t="n">
        <v>86800</v>
      </c>
      <c r="F526" s="31" t="n">
        <v>86531.890625</v>
      </c>
      <c r="G526" s="31" t="n">
        <v>671230</v>
      </c>
      <c r="H526" s="36" t="n">
        <v>-0.05549510337323182</v>
      </c>
      <c r="I526" s="36" t="n">
        <v>-0.5407407407407407</v>
      </c>
      <c r="J526" s="31" t="n">
        <v>89590</v>
      </c>
      <c r="K526" s="31" t="n">
        <v>88125</v>
      </c>
      <c r="L526" s="31" t="n">
        <v>86202.5</v>
      </c>
      <c r="M526" s="36" t="n">
        <v>0.4645219686294876</v>
      </c>
      <c r="N526" s="36" t="n">
        <v>0.5488799216180216</v>
      </c>
      <c r="O526" s="36" t="n">
        <v>-0.07953340402969244</v>
      </c>
      <c r="P526" s="36" t="n">
        <v>0.117117117117117</v>
      </c>
      <c r="Q526" s="36" t="n">
        <v>-0.198522622345337</v>
      </c>
      <c r="R526" s="36" t="n">
        <v>-0.03114186851211076</v>
      </c>
      <c r="S526" s="36" t="n">
        <v>-0.01503546099290776</v>
      </c>
      <c r="T526" s="36" t="n">
        <v>0.006931353499028514</v>
      </c>
      <c r="U526" s="31" t="n">
        <v>153500</v>
      </c>
      <c r="V526" s="31" t="n">
        <v>60200</v>
      </c>
      <c r="W526" s="36" t="n">
        <v>-0.4345276872964169</v>
      </c>
      <c r="X526" s="36" t="n">
        <v>0.441860465116279</v>
      </c>
      <c r="Y526" s="31" t="n">
        <v>95312200</v>
      </c>
      <c r="Z526" s="31" t="n">
        <v>8273098960000</v>
      </c>
      <c r="AA526" s="31" t="n">
        <v>58262764000</v>
      </c>
      <c r="AB526" s="31" t="n">
        <v>53426734885</v>
      </c>
      <c r="AC526" s="36" t="n">
        <v>0.00704243528110777</v>
      </c>
      <c r="AD526" s="29" t="inlineStr">
        <is>
          <t>yfinance_download</t>
        </is>
      </c>
      <c r="AE526" s="29" t="inlineStr">
        <is>
          <t>042700.KS</t>
        </is>
      </c>
    </row>
    <row r="527" ht="24" customHeight="1">
      <c r="A527" s="24" t="inlineStr">
        <is>
          <t>2025-08-04</t>
        </is>
      </c>
      <c r="B527" s="30" t="n">
        <v>87800</v>
      </c>
      <c r="C527" s="30" t="n">
        <v>88300</v>
      </c>
      <c r="D527" s="30" t="n">
        <v>86800</v>
      </c>
      <c r="E527" s="30" t="n">
        <v>86800</v>
      </c>
      <c r="F527" s="30" t="n">
        <v>86531.890625</v>
      </c>
      <c r="G527" s="30" t="n">
        <v>312269</v>
      </c>
      <c r="H527" s="35" t="n">
        <v>0</v>
      </c>
      <c r="I527" s="35" t="n">
        <v>-0.5407407407407407</v>
      </c>
      <c r="J527" s="30" t="n">
        <v>89215</v>
      </c>
      <c r="K527" s="30" t="n">
        <v>88263.33333333333</v>
      </c>
      <c r="L527" s="30" t="n">
        <v>86042.5</v>
      </c>
      <c r="M527" s="35" t="n">
        <v>0.4645219686294876</v>
      </c>
      <c r="N527" s="35" t="n">
        <v>0.5486548103326504</v>
      </c>
      <c r="O527" s="35" t="n">
        <v>-0.07953340402969244</v>
      </c>
      <c r="P527" s="35" t="n">
        <v>0.1057324840764331</v>
      </c>
      <c r="Q527" s="35" t="n">
        <v>-0.1811320754716981</v>
      </c>
      <c r="R527" s="35" t="n">
        <v>-0.02706943899568459</v>
      </c>
      <c r="S527" s="35" t="n">
        <v>-0.01657917595075342</v>
      </c>
      <c r="T527" s="35" t="n">
        <v>0.008803788825289871</v>
      </c>
      <c r="U527" s="30" t="n">
        <v>151000</v>
      </c>
      <c r="V527" s="30" t="n">
        <v>60200</v>
      </c>
      <c r="W527" s="35" t="n">
        <v>-0.4251655629139073</v>
      </c>
      <c r="X527" s="35" t="n">
        <v>0.441860465116279</v>
      </c>
      <c r="Y527" s="30" t="n">
        <v>95312200</v>
      </c>
      <c r="Z527" s="30" t="n">
        <v>8273098960000</v>
      </c>
      <c r="AA527" s="30" t="n">
        <v>27104949200</v>
      </c>
      <c r="AB527" s="30" t="n">
        <v>53222458375</v>
      </c>
      <c r="AC527" s="35" t="n">
        <v>0.003276275230243348</v>
      </c>
      <c r="AD527" s="24" t="inlineStr">
        <is>
          <t>yfinance_download</t>
        </is>
      </c>
      <c r="AE527" s="24" t="inlineStr">
        <is>
          <t>042700.KS</t>
        </is>
      </c>
    </row>
    <row r="528" ht="24" customHeight="1">
      <c r="A528" s="29" t="inlineStr">
        <is>
          <t>2025-08-05</t>
        </is>
      </c>
      <c r="B528" s="31" t="n">
        <v>88500</v>
      </c>
      <c r="C528" s="31" t="n">
        <v>89600</v>
      </c>
      <c r="D528" s="31" t="n">
        <v>87100</v>
      </c>
      <c r="E528" s="31" t="n">
        <v>87900</v>
      </c>
      <c r="F528" s="31" t="n">
        <v>87628.4921875</v>
      </c>
      <c r="G528" s="31" t="n">
        <v>407655</v>
      </c>
      <c r="H528" s="36" t="n">
        <v>0.01267281105990792</v>
      </c>
      <c r="I528" s="36" t="n">
        <v>-0.5349206349206349</v>
      </c>
      <c r="J528" s="31" t="n">
        <v>88810</v>
      </c>
      <c r="K528" s="31" t="n">
        <v>88438.33333333333</v>
      </c>
      <c r="L528" s="31" t="n">
        <v>85945</v>
      </c>
      <c r="M528" s="36" t="n">
        <v>0.4615752303696337</v>
      </c>
      <c r="N528" s="36" t="n">
        <v>0.5480009783298718</v>
      </c>
      <c r="O528" s="36" t="n">
        <v>-0.08437499999999998</v>
      </c>
      <c r="P528" s="36" t="n">
        <v>0.1356589147286822</v>
      </c>
      <c r="Q528" s="36" t="n">
        <v>-0.1174698795180723</v>
      </c>
      <c r="R528" s="36" t="n">
        <v>-0.01024659385204374</v>
      </c>
      <c r="S528" s="36" t="n">
        <v>-0.006087104008442701</v>
      </c>
      <c r="T528" s="36" t="n">
        <v>0.02274710570713823</v>
      </c>
      <c r="U528" s="31" t="n">
        <v>145500</v>
      </c>
      <c r="V528" s="31" t="n">
        <v>60200</v>
      </c>
      <c r="W528" s="36" t="n">
        <v>-0.3958762886597939</v>
      </c>
      <c r="X528" s="36" t="n">
        <v>0.4601328903654485</v>
      </c>
      <c r="Y528" s="31" t="n">
        <v>95312200</v>
      </c>
      <c r="Z528" s="31" t="n">
        <v>8377942380000</v>
      </c>
      <c r="AA528" s="31" t="n">
        <v>35832874500</v>
      </c>
      <c r="AB528" s="31" t="n">
        <v>52245044500</v>
      </c>
      <c r="AC528" s="36" t="n">
        <v>0.004277049527762448</v>
      </c>
      <c r="AD528" s="29" t="inlineStr">
        <is>
          <t>yfinance_download</t>
        </is>
      </c>
      <c r="AE528" s="29" t="inlineStr">
        <is>
          <t>042700.KS</t>
        </is>
      </c>
    </row>
    <row r="529" ht="24" customHeight="1">
      <c r="A529" s="24" t="inlineStr">
        <is>
          <t>2025-08-06</t>
        </is>
      </c>
      <c r="B529" s="30" t="n">
        <v>86900</v>
      </c>
      <c r="C529" s="30" t="n">
        <v>89200</v>
      </c>
      <c r="D529" s="30" t="n">
        <v>86100</v>
      </c>
      <c r="E529" s="30" t="n">
        <v>88400</v>
      </c>
      <c r="F529" s="30" t="n">
        <v>88126.9453125</v>
      </c>
      <c r="G529" s="30" t="n">
        <v>383634</v>
      </c>
      <c r="H529" s="35" t="n">
        <v>0.005688282138794021</v>
      </c>
      <c r="I529" s="35" t="n">
        <v>-0.5322751322751322</v>
      </c>
      <c r="J529" s="30" t="n">
        <v>88500</v>
      </c>
      <c r="K529" s="30" t="n">
        <v>88528.33333333333</v>
      </c>
      <c r="L529" s="30" t="n">
        <v>85850.83333333333</v>
      </c>
      <c r="M529" s="35" t="n">
        <v>0.4610167104119767</v>
      </c>
      <c r="N529" s="35" t="n">
        <v>0.5284929033889152</v>
      </c>
      <c r="O529" s="35" t="n">
        <v>-0.06553911205073992</v>
      </c>
      <c r="P529" s="35" t="n">
        <v>0.06506024096385543</v>
      </c>
      <c r="Q529" s="35" t="n">
        <v>-0.1133400200601805</v>
      </c>
      <c r="R529" s="35" t="n">
        <v>-0.001129943502824804</v>
      </c>
      <c r="S529" s="35" t="n">
        <v>-0.001449630061938656</v>
      </c>
      <c r="T529" s="35" t="n">
        <v>0.02969297521864478</v>
      </c>
      <c r="U529" s="30" t="n">
        <v>145500</v>
      </c>
      <c r="V529" s="30" t="n">
        <v>60200</v>
      </c>
      <c r="W529" s="35" t="n">
        <v>-0.3924398625429554</v>
      </c>
      <c r="X529" s="35" t="n">
        <v>0.4684385382059801</v>
      </c>
      <c r="Y529" s="30" t="n">
        <v>95312200</v>
      </c>
      <c r="Z529" s="30" t="n">
        <v>8425598480000</v>
      </c>
      <c r="AA529" s="30" t="n">
        <v>33913245600</v>
      </c>
      <c r="AB529" s="30" t="n">
        <v>52198255190</v>
      </c>
      <c r="AC529" s="35" t="n">
        <v>0.004025025127947944</v>
      </c>
      <c r="AD529" s="24" t="inlineStr">
        <is>
          <t>yfinance_download</t>
        </is>
      </c>
      <c r="AE529" s="24" t="inlineStr">
        <is>
          <t>042700.KS</t>
        </is>
      </c>
    </row>
    <row r="530" ht="24" customHeight="1">
      <c r="A530" s="29" t="inlineStr">
        <is>
          <t>2025-08-07</t>
        </is>
      </c>
      <c r="B530" s="31" t="n">
        <v>88200</v>
      </c>
      <c r="C530" s="31" t="n">
        <v>88200</v>
      </c>
      <c r="D530" s="31" t="n">
        <v>86500</v>
      </c>
      <c r="E530" s="31" t="n">
        <v>87500</v>
      </c>
      <c r="F530" s="31" t="n">
        <v>87229.7265625</v>
      </c>
      <c r="G530" s="31" t="n">
        <v>346646</v>
      </c>
      <c r="H530" s="36" t="n">
        <v>-0.01018099547511309</v>
      </c>
      <c r="I530" s="36" t="n">
        <v>-0.537037037037037</v>
      </c>
      <c r="J530" s="31" t="n">
        <v>88000</v>
      </c>
      <c r="K530" s="31" t="n">
        <v>88636.66666666667</v>
      </c>
      <c r="L530" s="31" t="n">
        <v>85758.33333333333</v>
      </c>
      <c r="M530" s="36" t="n">
        <v>0.4439712306122893</v>
      </c>
      <c r="N530" s="36" t="n">
        <v>0.5263696954285322</v>
      </c>
      <c r="O530" s="36" t="n">
        <v>-0.1025641025641025</v>
      </c>
      <c r="P530" s="36" t="n">
        <v>0.08024691358024683</v>
      </c>
      <c r="Q530" s="36" t="n">
        <v>-0.1125760649087221</v>
      </c>
      <c r="R530" s="36" t="n">
        <v>-0.005681818181818232</v>
      </c>
      <c r="S530" s="36" t="n">
        <v>-0.01282388778158028</v>
      </c>
      <c r="T530" s="36" t="n">
        <v>0.02030900787095535</v>
      </c>
      <c r="U530" s="31" t="n">
        <v>143400</v>
      </c>
      <c r="V530" s="31" t="n">
        <v>60200</v>
      </c>
      <c r="W530" s="36" t="n">
        <v>-0.3898186889818689</v>
      </c>
      <c r="X530" s="36" t="n">
        <v>0.4534883720930232</v>
      </c>
      <c r="Y530" s="31" t="n">
        <v>95312200</v>
      </c>
      <c r="Z530" s="31" t="n">
        <v>8339817500000</v>
      </c>
      <c r="AA530" s="31" t="n">
        <v>30331525000</v>
      </c>
      <c r="AB530" s="31" t="n">
        <v>50046837565</v>
      </c>
      <c r="AC530" s="36" t="n">
        <v>0.003636953086803158</v>
      </c>
      <c r="AD530" s="29" t="inlineStr">
        <is>
          <t>yfinance_download</t>
        </is>
      </c>
      <c r="AE530" s="29" t="inlineStr">
        <is>
          <t>042700.KS</t>
        </is>
      </c>
    </row>
    <row r="531" ht="24" customHeight="1">
      <c r="A531" s="24" t="inlineStr">
        <is>
          <t>2025-08-08</t>
        </is>
      </c>
      <c r="B531" s="30" t="n">
        <v>87800</v>
      </c>
      <c r="C531" s="30" t="n">
        <v>88800</v>
      </c>
      <c r="D531" s="30" t="n">
        <v>86700</v>
      </c>
      <c r="E531" s="30" t="n">
        <v>87000</v>
      </c>
      <c r="F531" s="30" t="n">
        <v>86731.2734375</v>
      </c>
      <c r="G531" s="30" t="n">
        <v>432032</v>
      </c>
      <c r="H531" s="35" t="n">
        <v>-0.005714285714285672</v>
      </c>
      <c r="I531" s="35" t="n">
        <v>-0.5396825396825398</v>
      </c>
      <c r="J531" s="30" t="n">
        <v>87580</v>
      </c>
      <c r="K531" s="30" t="n">
        <v>88690</v>
      </c>
      <c r="L531" s="30" t="n">
        <v>85652.5</v>
      </c>
      <c r="M531" s="35" t="n">
        <v>0.4396971827303717</v>
      </c>
      <c r="N531" s="35" t="n">
        <v>0.5221216684901522</v>
      </c>
      <c r="O531" s="35" t="n">
        <v>-0.08805031446540879</v>
      </c>
      <c r="P531" s="35" t="n">
        <v>0.03818615751789967</v>
      </c>
      <c r="Q531" s="35" t="n">
        <v>-0.127382146439318</v>
      </c>
      <c r="R531" s="35" t="n">
        <v>-0.006622516556291425</v>
      </c>
      <c r="S531" s="35" t="n">
        <v>-0.01905513586650132</v>
      </c>
      <c r="T531" s="35" t="n">
        <v>0.01573217360847612</v>
      </c>
      <c r="U531" s="30" t="n">
        <v>137500</v>
      </c>
      <c r="V531" s="30" t="n">
        <v>60200</v>
      </c>
      <c r="W531" s="35" t="n">
        <v>-0.3672727272727273</v>
      </c>
      <c r="X531" s="35" t="n">
        <v>0.4451827242524917</v>
      </c>
      <c r="Y531" s="30" t="n">
        <v>95312200</v>
      </c>
      <c r="Z531" s="30" t="n">
        <v>8292161400000</v>
      </c>
      <c r="AA531" s="30" t="n">
        <v>37586784000</v>
      </c>
      <c r="AB531" s="30" t="n">
        <v>48870042535</v>
      </c>
      <c r="AC531" s="35" t="n">
        <v>0.004532809021300526</v>
      </c>
      <c r="AD531" s="24" t="inlineStr">
        <is>
          <t>yfinance_download</t>
        </is>
      </c>
      <c r="AE531" s="24" t="inlineStr">
        <is>
          <t>042700.KS</t>
        </is>
      </c>
    </row>
    <row r="532" ht="24" customHeight="1">
      <c r="A532" s="29" t="inlineStr">
        <is>
          <t>2025-08-11</t>
        </is>
      </c>
      <c r="B532" s="31" t="n">
        <v>87200</v>
      </c>
      <c r="C532" s="31" t="n">
        <v>91500</v>
      </c>
      <c r="D532" s="31" t="n">
        <v>86900</v>
      </c>
      <c r="E532" s="31" t="n">
        <v>90600</v>
      </c>
      <c r="F532" s="31" t="n">
        <v>90320.1484375</v>
      </c>
      <c r="G532" s="31" t="n">
        <v>922276</v>
      </c>
      <c r="H532" s="36" t="n">
        <v>0.04137931034482767</v>
      </c>
      <c r="I532" s="36" t="n">
        <v>-0.5206349206349206</v>
      </c>
      <c r="J532" s="31" t="n">
        <v>87630</v>
      </c>
      <c r="K532" s="31" t="n">
        <v>88835</v>
      </c>
      <c r="L532" s="31" t="n">
        <v>85570</v>
      </c>
      <c r="M532" s="36" t="n">
        <v>0.4142095391263579</v>
      </c>
      <c r="N532" s="36" t="n">
        <v>0.5261262643952092</v>
      </c>
      <c r="O532" s="36" t="n">
        <v>0.01116071428571419</v>
      </c>
      <c r="P532" s="36" t="n">
        <v>0.1062271062271063</v>
      </c>
      <c r="Q532" s="36" t="n">
        <v>-0.09850746268656718</v>
      </c>
      <c r="R532" s="36" t="n">
        <v>0.03389250256761378</v>
      </c>
      <c r="S532" s="36" t="n">
        <v>0.01986829515393707</v>
      </c>
      <c r="T532" s="36" t="n">
        <v>0.05878228351057624</v>
      </c>
      <c r="U532" s="31" t="n">
        <v>137500</v>
      </c>
      <c r="V532" s="31" t="n">
        <v>60200</v>
      </c>
      <c r="W532" s="36" t="n">
        <v>-0.3410909090909091</v>
      </c>
      <c r="X532" s="36" t="n">
        <v>0.5049833887043189</v>
      </c>
      <c r="Y532" s="31" t="n">
        <v>95312200</v>
      </c>
      <c r="Z532" s="31" t="n">
        <v>8635285320000</v>
      </c>
      <c r="AA532" s="31" t="n">
        <v>83558205600</v>
      </c>
      <c r="AB532" s="31" t="n">
        <v>48036741295</v>
      </c>
      <c r="AC532" s="36" t="n">
        <v>0.009676368817423163</v>
      </c>
      <c r="AD532" s="29" t="inlineStr">
        <is>
          <t>yfinance_download</t>
        </is>
      </c>
      <c r="AE532" s="29" t="inlineStr">
        <is>
          <t>042700.KS</t>
        </is>
      </c>
    </row>
    <row r="533" ht="24" customHeight="1">
      <c r="A533" s="24" t="inlineStr">
        <is>
          <t>2025-08-12</t>
        </is>
      </c>
      <c r="B533" s="30" t="n">
        <v>90400</v>
      </c>
      <c r="C533" s="30" t="n">
        <v>91700</v>
      </c>
      <c r="D533" s="30" t="n">
        <v>89200</v>
      </c>
      <c r="E533" s="30" t="n">
        <v>89500</v>
      </c>
      <c r="F533" s="30" t="n">
        <v>89223.546875</v>
      </c>
      <c r="G533" s="30" t="n">
        <v>482070</v>
      </c>
      <c r="H533" s="35" t="n">
        <v>-0.01214128035320083</v>
      </c>
      <c r="I533" s="35" t="n">
        <v>-0.5264550264550265</v>
      </c>
      <c r="J533" s="30" t="n">
        <v>87540</v>
      </c>
      <c r="K533" s="30" t="n">
        <v>88801.66666666667</v>
      </c>
      <c r="L533" s="30" t="n">
        <v>85475</v>
      </c>
      <c r="M533" s="35" t="n">
        <v>0.4108904038788426</v>
      </c>
      <c r="N533" s="35" t="n">
        <v>0.4690525694020709</v>
      </c>
      <c r="O533" s="35" t="n">
        <v>-0.0197152245345017</v>
      </c>
      <c r="P533" s="35" t="n">
        <v>-0.02185792349726778</v>
      </c>
      <c r="Q533" s="35" t="n">
        <v>-0.1129831516352825</v>
      </c>
      <c r="R533" s="35" t="n">
        <v>0.02238976467900389</v>
      </c>
      <c r="S533" s="35" t="n">
        <v>0.007863966517144938</v>
      </c>
      <c r="T533" s="35" t="n">
        <v>0.04708979233694066</v>
      </c>
      <c r="U533" s="30" t="n">
        <v>137400</v>
      </c>
      <c r="V533" s="30" t="n">
        <v>60200</v>
      </c>
      <c r="W533" s="35" t="n">
        <v>-0.3486171761280932</v>
      </c>
      <c r="X533" s="35" t="n">
        <v>0.4867109634551494</v>
      </c>
      <c r="Y533" s="30" t="n">
        <v>95312200</v>
      </c>
      <c r="Z533" s="30" t="n">
        <v>8530441900000</v>
      </c>
      <c r="AA533" s="30" t="n">
        <v>43145265000</v>
      </c>
      <c r="AB533" s="30" t="n">
        <v>47860143730</v>
      </c>
      <c r="AC533" s="35" t="n">
        <v>0.005057799526188672</v>
      </c>
      <c r="AD533" s="24" t="inlineStr">
        <is>
          <t>yfinance_download</t>
        </is>
      </c>
      <c r="AE533" s="24" t="inlineStr">
        <is>
          <t>042700.KS</t>
        </is>
      </c>
    </row>
    <row r="534" ht="24" customHeight="1">
      <c r="A534" s="29" t="inlineStr">
        <is>
          <t>2025-08-13</t>
        </is>
      </c>
      <c r="B534" s="31" t="n">
        <v>91300</v>
      </c>
      <c r="C534" s="31" t="n">
        <v>93500</v>
      </c>
      <c r="D534" s="31" t="n">
        <v>90500</v>
      </c>
      <c r="E534" s="31" t="n">
        <v>91500</v>
      </c>
      <c r="F534" s="31" t="n">
        <v>91217.375</v>
      </c>
      <c r="G534" s="31" t="n">
        <v>825195</v>
      </c>
      <c r="H534" s="36" t="n">
        <v>0.02234636871508378</v>
      </c>
      <c r="I534" s="36" t="n">
        <v>-0.5158730158730158</v>
      </c>
      <c r="J534" s="31" t="n">
        <v>87560</v>
      </c>
      <c r="K534" s="31" t="n">
        <v>88898.33333333333</v>
      </c>
      <c r="L534" s="31" t="n">
        <v>85417.5</v>
      </c>
      <c r="M534" s="36" t="n">
        <v>0.4188480792083087</v>
      </c>
      <c r="N534" s="36" t="n">
        <v>0.4521227470428297</v>
      </c>
      <c r="O534" s="36" t="n">
        <v>0.004390779363337094</v>
      </c>
      <c r="P534" s="36" t="n">
        <v>0.06767794632438751</v>
      </c>
      <c r="Q534" s="36" t="n">
        <v>-0.07012195121951215</v>
      </c>
      <c r="R534" s="36" t="n">
        <v>0.0449977158519872</v>
      </c>
      <c r="S534" s="36" t="n">
        <v>0.02926564052569414</v>
      </c>
      <c r="T534" s="36" t="n">
        <v>0.07120906137501093</v>
      </c>
      <c r="U534" s="31" t="n">
        <v>131200</v>
      </c>
      <c r="V534" s="31" t="n">
        <v>60200</v>
      </c>
      <c r="W534" s="36" t="n">
        <v>-0.3025914634146342</v>
      </c>
      <c r="X534" s="36" t="n">
        <v>0.5199335548172757</v>
      </c>
      <c r="Y534" s="31" t="n">
        <v>95312200</v>
      </c>
      <c r="Z534" s="31" t="n">
        <v>8721066300000</v>
      </c>
      <c r="AA534" s="31" t="n">
        <v>75505342500</v>
      </c>
      <c r="AB534" s="31" t="n">
        <v>49757666765</v>
      </c>
      <c r="AC534" s="36" t="n">
        <v>0.008657810857371879</v>
      </c>
      <c r="AD534" s="29" t="inlineStr">
        <is>
          <t>yfinance_download</t>
        </is>
      </c>
      <c r="AE534" s="29" t="inlineStr">
        <is>
          <t>042700.KS</t>
        </is>
      </c>
    </row>
    <row r="535" ht="24" customHeight="1">
      <c r="A535" s="24" t="inlineStr">
        <is>
          <t>2025-08-14</t>
        </is>
      </c>
      <c r="B535" s="30" t="n">
        <v>91100</v>
      </c>
      <c r="C535" s="30" t="n">
        <v>93000</v>
      </c>
      <c r="D535" s="30" t="n">
        <v>89800</v>
      </c>
      <c r="E535" s="30" t="n">
        <v>93000</v>
      </c>
      <c r="F535" s="30" t="n">
        <v>92712.7421875</v>
      </c>
      <c r="G535" s="30" t="n">
        <v>450162</v>
      </c>
      <c r="H535" s="35" t="n">
        <v>0.01639344262295084</v>
      </c>
      <c r="I535" s="35" t="n">
        <v>-0.5079365079365079</v>
      </c>
      <c r="J535" s="30" t="n">
        <v>87795</v>
      </c>
      <c r="K535" s="30" t="n">
        <v>89025</v>
      </c>
      <c r="L535" s="30" t="n">
        <v>85300.83333333333</v>
      </c>
      <c r="M535" s="35" t="n">
        <v>0.4053544702686543</v>
      </c>
      <c r="N535" s="35" t="n">
        <v>0.4530226009647619</v>
      </c>
      <c r="O535" s="35" t="n">
        <v>0.05322763306908262</v>
      </c>
      <c r="P535" s="35" t="n">
        <v>0.08899297423887598</v>
      </c>
      <c r="Q535" s="35" t="n">
        <v>-0.1308411214953271</v>
      </c>
      <c r="R535" s="35" t="n">
        <v>0.05928583632325313</v>
      </c>
      <c r="S535" s="35" t="n">
        <v>0.04465037910699232</v>
      </c>
      <c r="T535" s="35" t="n">
        <v>0.09025898535575072</v>
      </c>
      <c r="U535" s="30" t="n">
        <v>131200</v>
      </c>
      <c r="V535" s="30" t="n">
        <v>60200</v>
      </c>
      <c r="W535" s="35" t="n">
        <v>-0.2911585365853658</v>
      </c>
      <c r="X535" s="35" t="n">
        <v>0.5448504983388704</v>
      </c>
      <c r="Y535" s="30" t="n">
        <v>95312200</v>
      </c>
      <c r="Z535" s="30" t="n">
        <v>8864034600000</v>
      </c>
      <c r="AA535" s="30" t="n">
        <v>41865066000</v>
      </c>
      <c r="AB535" s="30" t="n">
        <v>48758848325</v>
      </c>
      <c r="AC535" s="35" t="n">
        <v>0.004723026013458928</v>
      </c>
      <c r="AD535" s="24" t="inlineStr">
        <is>
          <t>yfinance_download</t>
        </is>
      </c>
      <c r="AE535" s="24" t="inlineStr">
        <is>
          <t>042700.KS</t>
        </is>
      </c>
    </row>
    <row r="536" ht="24" customHeight="1">
      <c r="A536" s="29" t="inlineStr">
        <is>
          <t>2025-08-18</t>
        </is>
      </c>
      <c r="B536" s="31" t="n">
        <v>91500</v>
      </c>
      <c r="C536" s="31" t="n">
        <v>91500</v>
      </c>
      <c r="D536" s="31" t="n">
        <v>88500</v>
      </c>
      <c r="E536" s="31" t="n">
        <v>88800</v>
      </c>
      <c r="F536" s="31" t="n">
        <v>88525.7109375</v>
      </c>
      <c r="G536" s="31" t="n">
        <v>595561</v>
      </c>
      <c r="H536" s="36" t="n">
        <v>-0.04516129032258065</v>
      </c>
      <c r="I536" s="36" t="n">
        <v>-0.5301587301587302</v>
      </c>
      <c r="J536" s="31" t="n">
        <v>87845</v>
      </c>
      <c r="K536" s="31" t="n">
        <v>89101.66666666667</v>
      </c>
      <c r="L536" s="31" t="n">
        <v>85141.66666666667</v>
      </c>
      <c r="M536" s="36" t="n">
        <v>0.439255106095944</v>
      </c>
      <c r="N536" s="36" t="n">
        <v>0.462073622339263</v>
      </c>
      <c r="O536" s="36" t="n">
        <v>0.01138952164009122</v>
      </c>
      <c r="P536" s="36" t="n">
        <v>0.05463182897862229</v>
      </c>
      <c r="Q536" s="36" t="n">
        <v>-0.1770157553290084</v>
      </c>
      <c r="R536" s="36" t="n">
        <v>0.01087142125334406</v>
      </c>
      <c r="S536" s="36" t="n">
        <v>-0.00338564561081911</v>
      </c>
      <c r="T536" s="36" t="n">
        <v>0.04296760301458358</v>
      </c>
      <c r="U536" s="31" t="n">
        <v>127700</v>
      </c>
      <c r="V536" s="31" t="n">
        <v>60200</v>
      </c>
      <c r="W536" s="36" t="n">
        <v>-0.3046202036021927</v>
      </c>
      <c r="X536" s="36" t="n">
        <v>0.4750830564784052</v>
      </c>
      <c r="Y536" s="31" t="n">
        <v>95312200</v>
      </c>
      <c r="Z536" s="31" t="n">
        <v>8463723360000</v>
      </c>
      <c r="AA536" s="31" t="n">
        <v>52885816800</v>
      </c>
      <c r="AB536" s="31" t="n">
        <v>49954698175</v>
      </c>
      <c r="AC536" s="36" t="n">
        <v>0.00624852851995862</v>
      </c>
      <c r="AD536" s="29" t="inlineStr">
        <is>
          <t>yfinance_download</t>
        </is>
      </c>
      <c r="AE536" s="29" t="inlineStr">
        <is>
          <t>042700.KS</t>
        </is>
      </c>
    </row>
    <row r="537" ht="24" customHeight="1">
      <c r="A537" s="24" t="inlineStr">
        <is>
          <t>2025-08-19</t>
        </is>
      </c>
      <c r="B537" s="30" t="n">
        <v>89000</v>
      </c>
      <c r="C537" s="30" t="n">
        <v>93400</v>
      </c>
      <c r="D537" s="30" t="n">
        <v>87700</v>
      </c>
      <c r="E537" s="30" t="n">
        <v>89900</v>
      </c>
      <c r="F537" s="30" t="n">
        <v>89622.3125</v>
      </c>
      <c r="G537" s="30" t="n">
        <v>760515</v>
      </c>
      <c r="H537" s="35" t="n">
        <v>0.01238738738738743</v>
      </c>
      <c r="I537" s="35" t="n">
        <v>-0.5243386243386243</v>
      </c>
      <c r="J537" s="30" t="n">
        <v>87905</v>
      </c>
      <c r="K537" s="30" t="n">
        <v>89246.66666666667</v>
      </c>
      <c r="L537" s="30" t="n">
        <v>85008.33333333333</v>
      </c>
      <c r="M537" s="35" t="n">
        <v>0.4399215628318773</v>
      </c>
      <c r="N537" s="35" t="n">
        <v>0.456122359033579</v>
      </c>
      <c r="O537" s="35" t="n">
        <v>0.01352874859075537</v>
      </c>
      <c r="P537" s="35" t="n">
        <v>0.1071428571428572</v>
      </c>
      <c r="Q537" s="35" t="n">
        <v>-0.1510859301227573</v>
      </c>
      <c r="R537" s="35" t="n">
        <v>0.02269495478072914</v>
      </c>
      <c r="S537" s="35" t="n">
        <v>0.007320534847239824</v>
      </c>
      <c r="T537" s="35" t="n">
        <v>0.05754337810018639</v>
      </c>
      <c r="U537" s="30" t="n">
        <v>127700</v>
      </c>
      <c r="V537" s="30" t="n">
        <v>60200</v>
      </c>
      <c r="W537" s="35" t="n">
        <v>-0.2960062646828504</v>
      </c>
      <c r="X537" s="35" t="n">
        <v>0.4933554817275747</v>
      </c>
      <c r="Y537" s="30" t="n">
        <v>95312200</v>
      </c>
      <c r="Z537" s="30" t="n">
        <v>8568566780000</v>
      </c>
      <c r="AA537" s="30" t="n">
        <v>68370298500</v>
      </c>
      <c r="AB537" s="30" t="n">
        <v>52342159865</v>
      </c>
      <c r="AC537" s="35" t="n">
        <v>0.007979198885347311</v>
      </c>
      <c r="AD537" s="24" t="inlineStr">
        <is>
          <t>yfinance_download</t>
        </is>
      </c>
      <c r="AE537" s="24" t="inlineStr">
        <is>
          <t>042700.KS</t>
        </is>
      </c>
    </row>
    <row r="538" ht="24" customHeight="1">
      <c r="A538" s="29" t="inlineStr">
        <is>
          <t>2025-08-20</t>
        </is>
      </c>
      <c r="B538" s="31" t="n">
        <v>87700</v>
      </c>
      <c r="C538" s="31" t="n">
        <v>88900</v>
      </c>
      <c r="D538" s="31" t="n">
        <v>86000</v>
      </c>
      <c r="E538" s="31" t="n">
        <v>87100</v>
      </c>
      <c r="F538" s="31" t="n">
        <v>86830.9609375</v>
      </c>
      <c r="G538" s="31" t="n">
        <v>500004</v>
      </c>
      <c r="H538" s="36" t="n">
        <v>-0.03114571746384875</v>
      </c>
      <c r="I538" s="36" t="n">
        <v>-0.5391534391534392</v>
      </c>
      <c r="J538" s="31" t="n">
        <v>87930</v>
      </c>
      <c r="K538" s="31" t="n">
        <v>89391.66666666667</v>
      </c>
      <c r="L538" s="31" t="n">
        <v>84893.33333333333</v>
      </c>
      <c r="M538" s="36" t="n">
        <v>0.4462407863264768</v>
      </c>
      <c r="N538" s="36" t="n">
        <v>0.4550291259885782</v>
      </c>
      <c r="O538" s="36" t="n">
        <v>0.005773672055427337</v>
      </c>
      <c r="P538" s="36" t="n">
        <v>0.1109693877551021</v>
      </c>
      <c r="Q538" s="36" t="n">
        <v>-0.1367690782953419</v>
      </c>
      <c r="R538" s="36" t="n">
        <v>-0.009439326737177289</v>
      </c>
      <c r="S538" s="36" t="n">
        <v>-0.02563624498927941</v>
      </c>
      <c r="T538" s="36" t="n">
        <v>0.02599340348672841</v>
      </c>
      <c r="U538" s="31" t="n">
        <v>127700</v>
      </c>
      <c r="V538" s="31" t="n">
        <v>60200</v>
      </c>
      <c r="W538" s="36" t="n">
        <v>-0.3179326546593578</v>
      </c>
      <c r="X538" s="36" t="n">
        <v>0.4468438538205981</v>
      </c>
      <c r="Y538" s="31" t="n">
        <v>95312200</v>
      </c>
      <c r="Z538" s="31" t="n">
        <v>8301692620000</v>
      </c>
      <c r="AA538" s="31" t="n">
        <v>43550348400</v>
      </c>
      <c r="AB538" s="31" t="n">
        <v>52893957135</v>
      </c>
      <c r="AC538" s="36" t="n">
        <v>0.005245960118431849</v>
      </c>
      <c r="AD538" s="29" t="inlineStr">
        <is>
          <t>yfinance_download</t>
        </is>
      </c>
      <c r="AE538" s="29" t="inlineStr">
        <is>
          <t>042700.KS</t>
        </is>
      </c>
    </row>
    <row r="539" ht="24" customHeight="1">
      <c r="A539" s="24" t="inlineStr">
        <is>
          <t>2025-08-21</t>
        </is>
      </c>
      <c r="B539" s="30" t="n">
        <v>87300</v>
      </c>
      <c r="C539" s="30" t="n">
        <v>88100</v>
      </c>
      <c r="D539" s="30" t="n">
        <v>86400</v>
      </c>
      <c r="E539" s="30" t="n">
        <v>86900</v>
      </c>
      <c r="F539" s="30" t="n">
        <v>86631.578125</v>
      </c>
      <c r="G539" s="30" t="n">
        <v>324318</v>
      </c>
      <c r="H539" s="35" t="n">
        <v>-0.002296211251435087</v>
      </c>
      <c r="I539" s="35" t="n">
        <v>-0.5402116402116401</v>
      </c>
      <c r="J539" s="30" t="n">
        <v>87970</v>
      </c>
      <c r="K539" s="30" t="n">
        <v>89443.33333333333</v>
      </c>
      <c r="L539" s="30" t="n">
        <v>84782.5</v>
      </c>
      <c r="M539" s="35" t="n">
        <v>0.4457460998696088</v>
      </c>
      <c r="N539" s="35" t="n">
        <v>0.433314824482244</v>
      </c>
      <c r="O539" s="35" t="n">
        <v>0.009291521486643362</v>
      </c>
      <c r="P539" s="35" t="n">
        <v>0.03699284009546533</v>
      </c>
      <c r="Q539" s="35" t="n">
        <v>-0.1327345309381237</v>
      </c>
      <c r="R539" s="35" t="n">
        <v>-0.0121632374673184</v>
      </c>
      <c r="S539" s="35" t="n">
        <v>-0.02843513584019675</v>
      </c>
      <c r="T539" s="35" t="n">
        <v>0.02497567304573467</v>
      </c>
      <c r="U539" s="30" t="n">
        <v>127700</v>
      </c>
      <c r="V539" s="30" t="n">
        <v>60200</v>
      </c>
      <c r="W539" s="35" t="n">
        <v>-0.3194988253719655</v>
      </c>
      <c r="X539" s="35" t="n">
        <v>0.4435215946843853</v>
      </c>
      <c r="Y539" s="30" t="n">
        <v>95312200</v>
      </c>
      <c r="Z539" s="30" t="n">
        <v>8282630180000</v>
      </c>
      <c r="AA539" s="30" t="n">
        <v>28183234200</v>
      </c>
      <c r="AB539" s="30" t="n">
        <v>52910503005</v>
      </c>
      <c r="AC539" s="35" t="n">
        <v>0.003402691365848233</v>
      </c>
      <c r="AD539" s="24" t="inlineStr">
        <is>
          <t>yfinance_download</t>
        </is>
      </c>
      <c r="AE539" s="24" t="inlineStr">
        <is>
          <t>042700.KS</t>
        </is>
      </c>
    </row>
    <row r="540" ht="24" customHeight="1">
      <c r="A540" s="29" t="inlineStr">
        <is>
          <t>2025-08-22</t>
        </is>
      </c>
      <c r="B540" s="31" t="n">
        <v>87000</v>
      </c>
      <c r="C540" s="31" t="n">
        <v>87700</v>
      </c>
      <c r="D540" s="31" t="n">
        <v>86600</v>
      </c>
      <c r="E540" s="31" t="n">
        <v>86800</v>
      </c>
      <c r="F540" s="31" t="n">
        <v>86531.890625</v>
      </c>
      <c r="G540" s="31" t="n">
        <v>342632</v>
      </c>
      <c r="H540" s="36" t="n">
        <v>-0.00115074798619097</v>
      </c>
      <c r="I540" s="36" t="n">
        <v>-0.5407407407407407</v>
      </c>
      <c r="J540" s="31" t="n">
        <v>88080</v>
      </c>
      <c r="K540" s="31" t="n">
        <v>89518.33333333333</v>
      </c>
      <c r="L540" s="31" t="n">
        <v>84669.16666666667</v>
      </c>
      <c r="M540" s="36" t="n">
        <v>0.4406193730882275</v>
      </c>
      <c r="N540" s="36" t="n">
        <v>0.4315553970938082</v>
      </c>
      <c r="O540" s="36" t="n">
        <v>0.02600472813238763</v>
      </c>
      <c r="P540" s="36" t="n">
        <v>0.05467800729040095</v>
      </c>
      <c r="Q540" s="36" t="n">
        <v>-0.1354581673306773</v>
      </c>
      <c r="R540" s="36" t="n">
        <v>-0.0145322434150772</v>
      </c>
      <c r="S540" s="36" t="n">
        <v>-0.03036621921021765</v>
      </c>
      <c r="T540" s="36" t="n">
        <v>0.02516657972697645</v>
      </c>
      <c r="U540" s="31" t="n">
        <v>127700</v>
      </c>
      <c r="V540" s="31" t="n">
        <v>60200</v>
      </c>
      <c r="W540" s="36" t="n">
        <v>-0.3202819107282694</v>
      </c>
      <c r="X540" s="36" t="n">
        <v>0.441860465116279</v>
      </c>
      <c r="Y540" s="31" t="n">
        <v>95312200</v>
      </c>
      <c r="Z540" s="31" t="n">
        <v>8273098960000</v>
      </c>
      <c r="AA540" s="31" t="n">
        <v>29740457600</v>
      </c>
      <c r="AB540" s="31" t="n">
        <v>51858658735</v>
      </c>
      <c r="AC540" s="36" t="n">
        <v>0.003594838855886235</v>
      </c>
      <c r="AD540" s="29" t="inlineStr">
        <is>
          <t>yfinance_download</t>
        </is>
      </c>
      <c r="AE540" s="29" t="inlineStr">
        <is>
          <t>042700.KS</t>
        </is>
      </c>
    </row>
    <row r="541" ht="24" customHeight="1">
      <c r="A541" s="24" t="inlineStr">
        <is>
          <t>2025-08-25</t>
        </is>
      </c>
      <c r="B541" s="30" t="n">
        <v>87800</v>
      </c>
      <c r="C541" s="30" t="n">
        <v>89700</v>
      </c>
      <c r="D541" s="30" t="n">
        <v>87400</v>
      </c>
      <c r="E541" s="30" t="n">
        <v>89000</v>
      </c>
      <c r="F541" s="30" t="n">
        <v>88725.09375</v>
      </c>
      <c r="G541" s="30" t="n">
        <v>384990</v>
      </c>
      <c r="H541" s="35" t="n">
        <v>0.02534562211981561</v>
      </c>
      <c r="I541" s="35" t="n">
        <v>-0.5291005291005291</v>
      </c>
      <c r="J541" s="30" t="n">
        <v>88245</v>
      </c>
      <c r="K541" s="30" t="n">
        <v>89595</v>
      </c>
      <c r="L541" s="30" t="n">
        <v>84577.5</v>
      </c>
      <c r="M541" s="35" t="n">
        <v>0.4469702723609379</v>
      </c>
      <c r="N541" s="35" t="n">
        <v>0.4315145202298435</v>
      </c>
      <c r="O541" s="35" t="n">
        <v>0.03850641773628949</v>
      </c>
      <c r="P541" s="35" t="n">
        <v>0.05450236966824651</v>
      </c>
      <c r="Q541" s="35" t="n">
        <v>-0.11</v>
      </c>
      <c r="R541" s="35" t="n">
        <v>0.008555725536857572</v>
      </c>
      <c r="S541" s="35" t="n">
        <v>-0.006640995591271848</v>
      </c>
      <c r="T541" s="35" t="n">
        <v>0.05228932044574508</v>
      </c>
      <c r="U541" s="30" t="n">
        <v>127700</v>
      </c>
      <c r="V541" s="30" t="n">
        <v>60200</v>
      </c>
      <c r="W541" s="35" t="n">
        <v>-0.303054032889585</v>
      </c>
      <c r="X541" s="35" t="n">
        <v>0.478405315614618</v>
      </c>
      <c r="Y541" s="30" t="n">
        <v>95312200</v>
      </c>
      <c r="Z541" s="30" t="n">
        <v>8482785800000</v>
      </c>
      <c r="AA541" s="30" t="n">
        <v>34264110000</v>
      </c>
      <c r="AB541" s="30" t="n">
        <v>51955249430</v>
      </c>
      <c r="AC541" s="35" t="n">
        <v>0.004039252057973691</v>
      </c>
      <c r="AD541" s="24" t="inlineStr">
        <is>
          <t>yfinance_download</t>
        </is>
      </c>
      <c r="AE541" s="24" t="inlineStr">
        <is>
          <t>042700.KS</t>
        </is>
      </c>
    </row>
    <row r="542" ht="24" customHeight="1">
      <c r="A542" s="29" t="inlineStr">
        <is>
          <t>2025-08-26</t>
        </is>
      </c>
      <c r="B542" s="31" t="n">
        <v>88500</v>
      </c>
      <c r="C542" s="31" t="n">
        <v>90700</v>
      </c>
      <c r="D542" s="31" t="n">
        <v>88300</v>
      </c>
      <c r="E542" s="31" t="n">
        <v>89200</v>
      </c>
      <c r="F542" s="31" t="n">
        <v>88924.4765625</v>
      </c>
      <c r="G542" s="31" t="n">
        <v>406043</v>
      </c>
      <c r="H542" s="36" t="n">
        <v>0.002247191011236049</v>
      </c>
      <c r="I542" s="36" t="n">
        <v>-0.5280423280423281</v>
      </c>
      <c r="J542" s="31" t="n">
        <v>88445</v>
      </c>
      <c r="K542" s="31" t="n">
        <v>89693.33333333333</v>
      </c>
      <c r="L542" s="31" t="n">
        <v>84541.66666666667</v>
      </c>
      <c r="M542" s="36" t="n">
        <v>0.4459470877020276</v>
      </c>
      <c r="N542" s="36" t="n">
        <v>0.4304897814838671</v>
      </c>
      <c r="O542" s="36" t="n">
        <v>0.04694835680751175</v>
      </c>
      <c r="P542" s="36" t="n">
        <v>0.07082833133253308</v>
      </c>
      <c r="Q542" s="36" t="n">
        <v>-0.04598930481283425</v>
      </c>
      <c r="R542" s="36" t="n">
        <v>0.008536378540335843</v>
      </c>
      <c r="S542" s="36" t="n">
        <v>-0.005500222982012692</v>
      </c>
      <c r="T542" s="36" t="n">
        <v>0.0551010349926071</v>
      </c>
      <c r="U542" s="31" t="n">
        <v>127700</v>
      </c>
      <c r="V542" s="31" t="n">
        <v>60200</v>
      </c>
      <c r="W542" s="36" t="n">
        <v>-0.3014878621769773</v>
      </c>
      <c r="X542" s="36" t="n">
        <v>0.4817275747508305</v>
      </c>
      <c r="Y542" s="31" t="n">
        <v>95312200</v>
      </c>
      <c r="Z542" s="31" t="n">
        <v>8501848240000</v>
      </c>
      <c r="AA542" s="31" t="n">
        <v>36219035600</v>
      </c>
      <c r="AB542" s="31" t="n">
        <v>52264909050</v>
      </c>
      <c r="AC542" s="36" t="n">
        <v>0.004260136687643344</v>
      </c>
      <c r="AD542" s="29" t="inlineStr">
        <is>
          <t>yfinance_download</t>
        </is>
      </c>
      <c r="AE542" s="29" t="inlineStr">
        <is>
          <t>042700.KS</t>
        </is>
      </c>
    </row>
    <row r="543" ht="24" customHeight="1">
      <c r="A543" s="24" t="inlineStr">
        <is>
          <t>2025-08-27</t>
        </is>
      </c>
      <c r="B543" s="30" t="n">
        <v>89800</v>
      </c>
      <c r="C543" s="30" t="n">
        <v>89900</v>
      </c>
      <c r="D543" s="30" t="n">
        <v>87900</v>
      </c>
      <c r="E543" s="30" t="n">
        <v>89100</v>
      </c>
      <c r="F543" s="30" t="n">
        <v>88824.78125</v>
      </c>
      <c r="G543" s="30" t="n">
        <v>250996</v>
      </c>
      <c r="H543" s="35" t="n">
        <v>-0.001121076233183804</v>
      </c>
      <c r="I543" s="35" t="n">
        <v>-0.5285714285714286</v>
      </c>
      <c r="J543" s="30" t="n">
        <v>88680</v>
      </c>
      <c r="K543" s="30" t="n">
        <v>89838.33333333333</v>
      </c>
      <c r="L543" s="30" t="n">
        <v>84532.5</v>
      </c>
      <c r="M543" s="35" t="n">
        <v>0.4439426555984372</v>
      </c>
      <c r="N543" s="35" t="n">
        <v>0.4238361887543126</v>
      </c>
      <c r="O543" s="35" t="n">
        <v>0.0556872037914693</v>
      </c>
      <c r="P543" s="35" t="n">
        <v>0.1082089552238805</v>
      </c>
      <c r="Q543" s="35" t="n">
        <v>-0.01219512195121952</v>
      </c>
      <c r="R543" s="35" t="n">
        <v>0.004736129905277497</v>
      </c>
      <c r="S543" s="35" t="n">
        <v>-0.008218466504647193</v>
      </c>
      <c r="T543" s="35" t="n">
        <v>0.05403247271759382</v>
      </c>
      <c r="U543" s="30" t="n">
        <v>127700</v>
      </c>
      <c r="V543" s="30" t="n">
        <v>60200</v>
      </c>
      <c r="W543" s="35" t="n">
        <v>-0.3022709475332811</v>
      </c>
      <c r="X543" s="35" t="n">
        <v>0.4800664451827243</v>
      </c>
      <c r="Y543" s="30" t="n">
        <v>95312200</v>
      </c>
      <c r="Z543" s="30" t="n">
        <v>8492317020000</v>
      </c>
      <c r="AA543" s="30" t="n">
        <v>22363743600</v>
      </c>
      <c r="AB543" s="30" t="n">
        <v>51810952110</v>
      </c>
      <c r="AC543" s="35" t="n">
        <v>0.002633408944500284</v>
      </c>
      <c r="AD543" s="24" t="inlineStr">
        <is>
          <t>yfinance_download</t>
        </is>
      </c>
      <c r="AE543" s="24" t="inlineStr">
        <is>
          <t>042700.KS</t>
        </is>
      </c>
    </row>
    <row r="544" ht="24" customHeight="1">
      <c r="A544" s="29" t="inlineStr">
        <is>
          <t>2025-08-28</t>
        </is>
      </c>
      <c r="B544" s="31" t="n">
        <v>88500</v>
      </c>
      <c r="C544" s="31" t="n">
        <v>89600</v>
      </c>
      <c r="D544" s="31" t="n">
        <v>86600</v>
      </c>
      <c r="E544" s="31" t="n">
        <v>88400</v>
      </c>
      <c r="F544" s="31" t="n">
        <v>88126.9453125</v>
      </c>
      <c r="G544" s="31" t="n">
        <v>281825</v>
      </c>
      <c r="H544" s="36" t="n">
        <v>-0.007856341189674487</v>
      </c>
      <c r="I544" s="36" t="n">
        <v>-0.5322751322751322</v>
      </c>
      <c r="J544" s="31" t="n">
        <v>88805</v>
      </c>
      <c r="K544" s="31" t="n">
        <v>89978.33333333333</v>
      </c>
      <c r="L544" s="31" t="n">
        <v>84510.83333333333</v>
      </c>
      <c r="M544" s="36" t="n">
        <v>0.4420127188967989</v>
      </c>
      <c r="N544" s="36" t="n">
        <v>0.4240816064198238</v>
      </c>
      <c r="O544" s="36" t="n">
        <v>0.02910360884749719</v>
      </c>
      <c r="P544" s="36" t="n">
        <v>0.105</v>
      </c>
      <c r="Q544" s="36" t="n">
        <v>-0.02857142857142858</v>
      </c>
      <c r="R544" s="36" t="n">
        <v>-0.004560554022859042</v>
      </c>
      <c r="S544" s="36" t="n">
        <v>-0.01754125993294675</v>
      </c>
      <c r="T544" s="36" t="n">
        <v>0.04601974105883877</v>
      </c>
      <c r="U544" s="31" t="n">
        <v>127700</v>
      </c>
      <c r="V544" s="31" t="n">
        <v>60200</v>
      </c>
      <c r="W544" s="36" t="n">
        <v>-0.307752545027408</v>
      </c>
      <c r="X544" s="36" t="n">
        <v>0.4684385382059801</v>
      </c>
      <c r="Y544" s="31" t="n">
        <v>95312200</v>
      </c>
      <c r="Z544" s="31" t="n">
        <v>8425598480000</v>
      </c>
      <c r="AA544" s="31" t="n">
        <v>24913330000</v>
      </c>
      <c r="AB544" s="31" t="n">
        <v>49950612050</v>
      </c>
      <c r="AC544" s="36" t="n">
        <v>0.002956861765859984</v>
      </c>
      <c r="AD544" s="29" t="inlineStr">
        <is>
          <t>yfinance_download</t>
        </is>
      </c>
      <c r="AE544" s="29" t="inlineStr">
        <is>
          <t>042700.KS</t>
        </is>
      </c>
    </row>
    <row r="545" ht="24" customHeight="1">
      <c r="A545" s="24" t="inlineStr">
        <is>
          <t>2025-08-29</t>
        </is>
      </c>
      <c r="B545" s="30" t="n">
        <v>88400</v>
      </c>
      <c r="C545" s="30" t="n">
        <v>89600</v>
      </c>
      <c r="D545" s="30" t="n">
        <v>86800</v>
      </c>
      <c r="E545" s="30" t="n">
        <v>87000</v>
      </c>
      <c r="F545" s="30" t="n">
        <v>86731.2734375</v>
      </c>
      <c r="G545" s="30" t="n">
        <v>445502</v>
      </c>
      <c r="H545" s="35" t="n">
        <v>-0.01583710407239824</v>
      </c>
      <c r="I545" s="35" t="n">
        <v>-0.5396825396825398</v>
      </c>
      <c r="J545" s="30" t="n">
        <v>88560</v>
      </c>
      <c r="K545" s="30" t="n">
        <v>90048.33333333333</v>
      </c>
      <c r="L545" s="30" t="n">
        <v>84508.33333333333</v>
      </c>
      <c r="M545" s="35" t="n">
        <v>0.3649940057993336</v>
      </c>
      <c r="N545" s="35" t="n">
        <v>0.419970708535907</v>
      </c>
      <c r="O545" s="35" t="n">
        <v>-0.05331882480957562</v>
      </c>
      <c r="P545" s="35" t="n">
        <v>0.05072463768115942</v>
      </c>
      <c r="Q545" s="35" t="n">
        <v>-0.003436426116838476</v>
      </c>
      <c r="R545" s="35" t="n">
        <v>-0.01761517615176156</v>
      </c>
      <c r="S545" s="35" t="n">
        <v>-0.0338521904902922</v>
      </c>
      <c r="T545" s="35" t="n">
        <v>0.02948427176807034</v>
      </c>
      <c r="U545" s="30" t="n">
        <v>127700</v>
      </c>
      <c r="V545" s="30" t="n">
        <v>60200</v>
      </c>
      <c r="W545" s="35" t="n">
        <v>-0.3187157400156617</v>
      </c>
      <c r="X545" s="35" t="n">
        <v>0.4451827242524917</v>
      </c>
      <c r="Y545" s="30" t="n">
        <v>95312200</v>
      </c>
      <c r="Z545" s="30" t="n">
        <v>8292161400000</v>
      </c>
      <c r="AA545" s="30" t="n">
        <v>38758674000</v>
      </c>
      <c r="AB545" s="30" t="n">
        <v>42317753505</v>
      </c>
      <c r="AC545" s="35" t="n">
        <v>0.0046741340562908</v>
      </c>
      <c r="AD545" s="24" t="inlineStr">
        <is>
          <t>yfinance_download</t>
        </is>
      </c>
      <c r="AE545" s="24" t="inlineStr">
        <is>
          <t>042700.KS</t>
        </is>
      </c>
    </row>
    <row r="546" ht="24" customHeight="1">
      <c r="A546" s="29" t="inlineStr">
        <is>
          <t>2025-09-01</t>
        </is>
      </c>
      <c r="B546" s="31" t="n">
        <v>85000</v>
      </c>
      <c r="C546" s="31" t="n">
        <v>85200</v>
      </c>
      <c r="D546" s="31" t="n">
        <v>81400</v>
      </c>
      <c r="E546" s="31" t="n">
        <v>81500</v>
      </c>
      <c r="F546" s="31" t="n">
        <v>81248.2578125</v>
      </c>
      <c r="G546" s="31" t="n">
        <v>789335</v>
      </c>
      <c r="H546" s="36" t="n">
        <v>-0.06321839080459768</v>
      </c>
      <c r="I546" s="36" t="n">
        <v>-0.5687830687830688</v>
      </c>
      <c r="J546" s="31" t="n">
        <v>88295</v>
      </c>
      <c r="K546" s="31" t="n">
        <v>90028.33333333333</v>
      </c>
      <c r="L546" s="31" t="n">
        <v>84459.16666666667</v>
      </c>
      <c r="M546" s="36" t="n">
        <v>0.38056933681366</v>
      </c>
      <c r="N546" s="36" t="n">
        <v>0.4402091701637741</v>
      </c>
      <c r="O546" s="36" t="n">
        <v>-0.06105990783410142</v>
      </c>
      <c r="P546" s="36" t="n">
        <v>-0.0145102781136639</v>
      </c>
      <c r="Q546" s="36" t="n">
        <v>-0.06750572082379858</v>
      </c>
      <c r="R546" s="36" t="n">
        <v>-0.07695792513732369</v>
      </c>
      <c r="S546" s="36" t="n">
        <v>-0.09472943702908343</v>
      </c>
      <c r="T546" s="36" t="n">
        <v>-0.03503665479373663</v>
      </c>
      <c r="U546" s="31" t="n">
        <v>127700</v>
      </c>
      <c r="V546" s="31" t="n">
        <v>60200</v>
      </c>
      <c r="W546" s="36" t="n">
        <v>-0.3617854346123728</v>
      </c>
      <c r="X546" s="36" t="n">
        <v>0.3538205980066444</v>
      </c>
      <c r="Y546" s="31" t="n">
        <v>95312200</v>
      </c>
      <c r="Z546" s="31" t="n">
        <v>7767944300000</v>
      </c>
      <c r="AA546" s="31" t="n">
        <v>64330802500</v>
      </c>
      <c r="AB546" s="31" t="n">
        <v>42621155430</v>
      </c>
      <c r="AC546" s="36" t="n">
        <v>0.008281573607575945</v>
      </c>
      <c r="AD546" s="29" t="inlineStr">
        <is>
          <t>yfinance_download</t>
        </is>
      </c>
      <c r="AE546" s="29" t="inlineStr">
        <is>
          <t>042700.KS</t>
        </is>
      </c>
    </row>
    <row r="547" ht="24" customHeight="1">
      <c r="A547" s="24" t="inlineStr">
        <is>
          <t>2025-09-02</t>
        </is>
      </c>
      <c r="B547" s="30" t="n">
        <v>81900</v>
      </c>
      <c r="C547" s="30" t="n">
        <v>83300</v>
      </c>
      <c r="D547" s="30" t="n">
        <v>81800</v>
      </c>
      <c r="E547" s="30" t="n">
        <v>82900</v>
      </c>
      <c r="F547" s="30" t="n">
        <v>82643.9375</v>
      </c>
      <c r="G547" s="30" t="n">
        <v>212946</v>
      </c>
      <c r="H547" s="35" t="n">
        <v>0.01717791411042935</v>
      </c>
      <c r="I547" s="35" t="n">
        <v>-0.5613756613756613</v>
      </c>
      <c r="J547" s="30" t="n">
        <v>88100</v>
      </c>
      <c r="K547" s="30" t="n">
        <v>90018.33333333333</v>
      </c>
      <c r="L547" s="30" t="n">
        <v>84421.66666666667</v>
      </c>
      <c r="M547" s="35" t="n">
        <v>0.3871149165297529</v>
      </c>
      <c r="N547" s="35" t="n">
        <v>0.441171345030123</v>
      </c>
      <c r="O547" s="35" t="n">
        <v>-0.04493087557603692</v>
      </c>
      <c r="P547" s="35" t="n">
        <v>-0.007185628742514938</v>
      </c>
      <c r="Q547" s="35" t="n">
        <v>-0.05148741418764302</v>
      </c>
      <c r="R547" s="35" t="n">
        <v>-0.05902383654937571</v>
      </c>
      <c r="S547" s="35" t="n">
        <v>-0.07907648441984039</v>
      </c>
      <c r="T547" s="35" t="n">
        <v>-0.01802459874044982</v>
      </c>
      <c r="U547" s="30" t="n">
        <v>126100</v>
      </c>
      <c r="V547" s="30" t="n">
        <v>60200</v>
      </c>
      <c r="W547" s="35" t="n">
        <v>-0.3425852498017447</v>
      </c>
      <c r="X547" s="35" t="n">
        <v>0.3770764119601329</v>
      </c>
      <c r="Y547" s="30" t="n">
        <v>95312200</v>
      </c>
      <c r="Z547" s="30" t="n">
        <v>7901381380000</v>
      </c>
      <c r="AA547" s="30" t="n">
        <v>17653223400</v>
      </c>
      <c r="AB547" s="30" t="n">
        <v>42148569140</v>
      </c>
      <c r="AC547" s="35" t="n">
        <v>0.002234194573202591</v>
      </c>
      <c r="AD547" s="24" t="inlineStr">
        <is>
          <t>yfinance_download</t>
        </is>
      </c>
      <c r="AE547" s="24" t="inlineStr">
        <is>
          <t>042700.KS</t>
        </is>
      </c>
    </row>
    <row r="548" ht="24" customHeight="1">
      <c r="A548" s="29" t="inlineStr">
        <is>
          <t>2025-09-03</t>
        </is>
      </c>
      <c r="B548" s="31" t="n">
        <v>82200</v>
      </c>
      <c r="C548" s="31" t="n">
        <v>84300</v>
      </c>
      <c r="D548" s="31" t="n">
        <v>82200</v>
      </c>
      <c r="E548" s="31" t="n">
        <v>83600</v>
      </c>
      <c r="F548" s="31" t="n">
        <v>83341.7734375</v>
      </c>
      <c r="G548" s="31" t="n">
        <v>260080</v>
      </c>
      <c r="H548" s="36" t="n">
        <v>0.008443908323281013</v>
      </c>
      <c r="I548" s="36" t="n">
        <v>-0.5576719576719577</v>
      </c>
      <c r="J548" s="31" t="n">
        <v>87885</v>
      </c>
      <c r="K548" s="31" t="n">
        <v>90030</v>
      </c>
      <c r="L548" s="31" t="n">
        <v>84400.83333333333</v>
      </c>
      <c r="M548" s="36" t="n">
        <v>0.3852743164656707</v>
      </c>
      <c r="N548" s="36" t="n">
        <v>0.4412075877161109</v>
      </c>
      <c r="O548" s="36" t="n">
        <v>-0.04891922639362911</v>
      </c>
      <c r="P548" s="36" t="n">
        <v>0.008443908323281013</v>
      </c>
      <c r="Q548" s="36" t="n">
        <v>-0.02903600464576073</v>
      </c>
      <c r="R548" s="36" t="n">
        <v>-0.04875689821926377</v>
      </c>
      <c r="S548" s="36" t="n">
        <v>-0.07142063756525607</v>
      </c>
      <c r="T548" s="36" t="n">
        <v>-0.009488452918118839</v>
      </c>
      <c r="U548" s="31" t="n">
        <v>126100</v>
      </c>
      <c r="V548" s="31" t="n">
        <v>60200</v>
      </c>
      <c r="W548" s="36" t="n">
        <v>-0.3370340999206979</v>
      </c>
      <c r="X548" s="36" t="n">
        <v>0.3887043189368771</v>
      </c>
      <c r="Y548" s="31" t="n">
        <v>95312200</v>
      </c>
      <c r="Z548" s="31" t="n">
        <v>7968099920000</v>
      </c>
      <c r="AA548" s="31" t="n">
        <v>21742688000</v>
      </c>
      <c r="AB548" s="31" t="n">
        <v>41444059815</v>
      </c>
      <c r="AC548" s="36" t="n">
        <v>0.002728716785469227</v>
      </c>
      <c r="AD548" s="29" t="inlineStr">
        <is>
          <t>yfinance_download</t>
        </is>
      </c>
      <c r="AE548" s="29" t="inlineStr">
        <is>
          <t>042700.KS</t>
        </is>
      </c>
    </row>
    <row r="549" ht="24" customHeight="1">
      <c r="A549" s="24" t="inlineStr">
        <is>
          <t>2025-09-04</t>
        </is>
      </c>
      <c r="B549" s="30" t="n">
        <v>83700</v>
      </c>
      <c r="C549" s="30" t="n">
        <v>83900</v>
      </c>
      <c r="D549" s="30" t="n">
        <v>82000</v>
      </c>
      <c r="E549" s="30" t="n">
        <v>82600</v>
      </c>
      <c r="F549" s="30" t="n">
        <v>82344.859375</v>
      </c>
      <c r="G549" s="30" t="n">
        <v>467618</v>
      </c>
      <c r="H549" s="35" t="n">
        <v>-0.01196172248803828</v>
      </c>
      <c r="I549" s="35" t="n">
        <v>-0.5629629629629629</v>
      </c>
      <c r="J549" s="30" t="n">
        <v>87595</v>
      </c>
      <c r="K549" s="30" t="n">
        <v>89976.66666666667</v>
      </c>
      <c r="L549" s="30" t="n">
        <v>84335.83333333333</v>
      </c>
      <c r="M549" s="35" t="n">
        <v>0.3855626810266759</v>
      </c>
      <c r="N549" s="35" t="n">
        <v>0.436004666704016</v>
      </c>
      <c r="O549" s="35" t="n">
        <v>-0.06561085972850678</v>
      </c>
      <c r="P549" s="35" t="n">
        <v>-0.03729603729603725</v>
      </c>
      <c r="Q549" s="35" t="n">
        <v>-0.08628318584070793</v>
      </c>
      <c r="R549" s="35" t="n">
        <v>-0.05702380272846619</v>
      </c>
      <c r="S549" s="35" t="n">
        <v>-0.08198421813062651</v>
      </c>
      <c r="T549" s="35" t="n">
        <v>-0.02058239380255522</v>
      </c>
      <c r="U549" s="30" t="n">
        <v>126100</v>
      </c>
      <c r="V549" s="30" t="n">
        <v>60200</v>
      </c>
      <c r="W549" s="35" t="n">
        <v>-0.344964314036479</v>
      </c>
      <c r="X549" s="35" t="n">
        <v>0.3720930232558139</v>
      </c>
      <c r="Y549" s="30" t="n">
        <v>95312200</v>
      </c>
      <c r="Z549" s="30" t="n">
        <v>7872787720000</v>
      </c>
      <c r="AA549" s="30" t="n">
        <v>38625246800</v>
      </c>
      <c r="AB549" s="30" t="n">
        <v>41679659875</v>
      </c>
      <c r="AC549" s="35" t="n">
        <v>0.004906171507949664</v>
      </c>
      <c r="AD549" s="24" t="inlineStr">
        <is>
          <t>yfinance_download</t>
        </is>
      </c>
      <c r="AE549" s="24" t="inlineStr">
        <is>
          <t>042700.KS</t>
        </is>
      </c>
    </row>
    <row r="550" ht="24" customHeight="1">
      <c r="A550" s="29" t="inlineStr">
        <is>
          <t>2025-09-05</t>
        </is>
      </c>
      <c r="B550" s="31" t="n">
        <v>83600</v>
      </c>
      <c r="C550" s="31" t="n">
        <v>84400</v>
      </c>
      <c r="D550" s="31" t="n">
        <v>82900</v>
      </c>
      <c r="E550" s="31" t="n">
        <v>82900</v>
      </c>
      <c r="F550" s="31" t="n">
        <v>82643.9375</v>
      </c>
      <c r="G550" s="31" t="n">
        <v>262184</v>
      </c>
      <c r="H550" s="36" t="n">
        <v>0.00363196125907983</v>
      </c>
      <c r="I550" s="36" t="n">
        <v>-0.5613756613756613</v>
      </c>
      <c r="J550" s="31" t="n">
        <v>87365</v>
      </c>
      <c r="K550" s="31" t="n">
        <v>89891.66666666667</v>
      </c>
      <c r="L550" s="31" t="n">
        <v>84268.33333333333</v>
      </c>
      <c r="M550" s="36" t="n">
        <v>0.385317116841668</v>
      </c>
      <c r="N550" s="36" t="n">
        <v>0.4327405992673464</v>
      </c>
      <c r="O550" s="36" t="n">
        <v>-0.0525714285714286</v>
      </c>
      <c r="P550" s="36" t="n">
        <v>-0.05795454545454548</v>
      </c>
      <c r="Q550" s="36" t="n">
        <v>-0.08901098901098903</v>
      </c>
      <c r="R550" s="36" t="n">
        <v>-0.05110742288101644</v>
      </c>
      <c r="S550" s="36" t="n">
        <v>-0.07777880782423297</v>
      </c>
      <c r="T550" s="36" t="n">
        <v>-0.0162378117521409</v>
      </c>
      <c r="U550" s="31" t="n">
        <v>126100</v>
      </c>
      <c r="V550" s="31" t="n">
        <v>60200</v>
      </c>
      <c r="W550" s="36" t="n">
        <v>-0.3425852498017447</v>
      </c>
      <c r="X550" s="36" t="n">
        <v>0.3770764119601329</v>
      </c>
      <c r="Y550" s="31" t="n">
        <v>95312200</v>
      </c>
      <c r="Z550" s="31" t="n">
        <v>7901381380000</v>
      </c>
      <c r="AA550" s="31" t="n">
        <v>21735053600</v>
      </c>
      <c r="AB550" s="31" t="n">
        <v>41249836305</v>
      </c>
      <c r="AC550" s="36" t="n">
        <v>0.002750791609048999</v>
      </c>
      <c r="AD550" s="29" t="inlineStr">
        <is>
          <t>yfinance_download</t>
        </is>
      </c>
      <c r="AE550" s="29" t="inlineStr">
        <is>
          <t>042700.KS</t>
        </is>
      </c>
    </row>
    <row r="551" ht="24" customHeight="1">
      <c r="A551" s="24" t="inlineStr">
        <is>
          <t>2025-09-08</t>
        </is>
      </c>
      <c r="B551" s="30" t="n">
        <v>82800</v>
      </c>
      <c r="C551" s="30" t="n">
        <v>83500</v>
      </c>
      <c r="D551" s="30" t="n">
        <v>82300</v>
      </c>
      <c r="E551" s="30" t="n">
        <v>82800</v>
      </c>
      <c r="F551" s="30" t="n">
        <v>82544.2421875</v>
      </c>
      <c r="G551" s="30" t="n">
        <v>175900</v>
      </c>
      <c r="H551" s="35" t="n">
        <v>-0.001206272617611526</v>
      </c>
      <c r="I551" s="35" t="n">
        <v>-0.5619047619047619</v>
      </c>
      <c r="J551" s="30" t="n">
        <v>87155</v>
      </c>
      <c r="K551" s="30" t="n">
        <v>89825</v>
      </c>
      <c r="L551" s="30" t="n">
        <v>84226.66666666667</v>
      </c>
      <c r="M551" s="35" t="n">
        <v>0.385137008877268</v>
      </c>
      <c r="N551" s="35" t="n">
        <v>0.4318937827025728</v>
      </c>
      <c r="O551" s="35" t="n">
        <v>-0.0482758620689655</v>
      </c>
      <c r="P551" s="35" t="n">
        <v>-0.04608294930875578</v>
      </c>
      <c r="Q551" s="35" t="n">
        <v>-0.05694760820045563</v>
      </c>
      <c r="R551" s="35" t="n">
        <v>-0.04996844701967762</v>
      </c>
      <c r="S551" s="35" t="n">
        <v>-0.07820762593932651</v>
      </c>
      <c r="T551" s="35" t="n">
        <v>-0.01693842013614066</v>
      </c>
      <c r="U551" s="30" t="n">
        <v>126100</v>
      </c>
      <c r="V551" s="30" t="n">
        <v>60200</v>
      </c>
      <c r="W551" s="35" t="n">
        <v>-0.3433782712133228</v>
      </c>
      <c r="X551" s="35" t="n">
        <v>0.3754152823920265</v>
      </c>
      <c r="Y551" s="30" t="n">
        <v>95312200</v>
      </c>
      <c r="Z551" s="30" t="n">
        <v>7891850160000</v>
      </c>
      <c r="AA551" s="30" t="n">
        <v>14564520000</v>
      </c>
      <c r="AB551" s="30" t="n">
        <v>40098723105</v>
      </c>
      <c r="AC551" s="35" t="n">
        <v>0.00184551400555228</v>
      </c>
      <c r="AD551" s="24" t="inlineStr">
        <is>
          <t>yfinance_download</t>
        </is>
      </c>
      <c r="AE551" s="24" t="inlineStr">
        <is>
          <t>042700.KS</t>
        </is>
      </c>
    </row>
    <row r="552" ht="24" customHeight="1">
      <c r="A552" s="29" t="inlineStr">
        <is>
          <t>2025-09-09</t>
        </is>
      </c>
      <c r="B552" s="31" t="n">
        <v>83200</v>
      </c>
      <c r="C552" s="31" t="n">
        <v>84100</v>
      </c>
      <c r="D552" s="31" t="n">
        <v>82500</v>
      </c>
      <c r="E552" s="31" t="n">
        <v>84000</v>
      </c>
      <c r="F552" s="31" t="n">
        <v>83740.5390625</v>
      </c>
      <c r="G552" s="31" t="n">
        <v>454764</v>
      </c>
      <c r="H552" s="36" t="n">
        <v>0.01449275362318847</v>
      </c>
      <c r="I552" s="36" t="n">
        <v>-0.5555555555555556</v>
      </c>
      <c r="J552" s="31" t="n">
        <v>86825</v>
      </c>
      <c r="K552" s="31" t="n">
        <v>89766.66666666667</v>
      </c>
      <c r="L552" s="31" t="n">
        <v>84200.83333333333</v>
      </c>
      <c r="M552" s="36" t="n">
        <v>0.3554816919537086</v>
      </c>
      <c r="N552" s="36" t="n">
        <v>0.4326335839185344</v>
      </c>
      <c r="O552" s="36" t="n">
        <v>-0.07284768211920534</v>
      </c>
      <c r="P552" s="36" t="n">
        <v>-0.04000000000000004</v>
      </c>
      <c r="Q552" s="36" t="n">
        <v>-0.03559127439724452</v>
      </c>
      <c r="R552" s="36" t="n">
        <v>-0.03253671177656203</v>
      </c>
      <c r="S552" s="36" t="n">
        <v>-0.06424062383958418</v>
      </c>
      <c r="T552" s="36" t="n">
        <v>-0.002385170376381862</v>
      </c>
      <c r="U552" s="31" t="n">
        <v>126100</v>
      </c>
      <c r="V552" s="31" t="n">
        <v>60200</v>
      </c>
      <c r="W552" s="36" t="n">
        <v>-0.3338620142743854</v>
      </c>
      <c r="X552" s="36" t="n">
        <v>0.3953488372093024</v>
      </c>
      <c r="Y552" s="31" t="n">
        <v>95312200</v>
      </c>
      <c r="Z552" s="31" t="n">
        <v>8006224800000</v>
      </c>
      <c r="AA552" s="31" t="n">
        <v>38200176000</v>
      </c>
      <c r="AB552" s="31" t="n">
        <v>37830821625</v>
      </c>
      <c r="AC552" s="36" t="n">
        <v>0.004771309444121529</v>
      </c>
      <c r="AD552" s="29" t="inlineStr">
        <is>
          <t>yfinance_download</t>
        </is>
      </c>
      <c r="AE552" s="29" t="inlineStr">
        <is>
          <t>042700.KS</t>
        </is>
      </c>
    </row>
    <row r="553" ht="24" customHeight="1">
      <c r="A553" s="24" t="inlineStr">
        <is>
          <t>2025-09-10</t>
        </is>
      </c>
      <c r="B553" s="30" t="n">
        <v>84700</v>
      </c>
      <c r="C553" s="30" t="n">
        <v>88300</v>
      </c>
      <c r="D553" s="30" t="n">
        <v>84500</v>
      </c>
      <c r="E553" s="30" t="n">
        <v>87300</v>
      </c>
      <c r="F553" s="30" t="n">
        <v>87030.34375</v>
      </c>
      <c r="G553" s="30" t="n">
        <v>922065</v>
      </c>
      <c r="H553" s="35" t="n">
        <v>0.03928571428571437</v>
      </c>
      <c r="I553" s="35" t="n">
        <v>-0.5380952380952381</v>
      </c>
      <c r="J553" s="30" t="n">
        <v>86715</v>
      </c>
      <c r="K553" s="30" t="n">
        <v>89771.66666666667</v>
      </c>
      <c r="L553" s="30" t="n">
        <v>84191.66666666667</v>
      </c>
      <c r="M553" s="35" t="n">
        <v>0.3846370813382444</v>
      </c>
      <c r="N553" s="35" t="n">
        <v>0.4400014923335605</v>
      </c>
      <c r="O553" s="35" t="n">
        <v>-0.02458100558659215</v>
      </c>
      <c r="P553" s="35" t="n">
        <v>0.003448275862068861</v>
      </c>
      <c r="Q553" s="35" t="n">
        <v>-0.01244343891402711</v>
      </c>
      <c r="R553" s="35" t="n">
        <v>0.006746237675142819</v>
      </c>
      <c r="S553" s="35" t="n">
        <v>-0.02753281473367619</v>
      </c>
      <c r="T553" s="35" t="n">
        <v>0.03691972681381772</v>
      </c>
      <c r="U553" s="30" t="n">
        <v>126100</v>
      </c>
      <c r="V553" s="30" t="n">
        <v>60200</v>
      </c>
      <c r="W553" s="35" t="n">
        <v>-0.3076923076923077</v>
      </c>
      <c r="X553" s="35" t="n">
        <v>0.4501661129568106</v>
      </c>
      <c r="Y553" s="30" t="n">
        <v>95312200</v>
      </c>
      <c r="Z553" s="30" t="n">
        <v>8320755060000</v>
      </c>
      <c r="AA553" s="30" t="n">
        <v>80496274500</v>
      </c>
      <c r="AB553" s="30" t="n">
        <v>39698372100</v>
      </c>
      <c r="AC553" s="35" t="n">
        <v>0.009674155039963404</v>
      </c>
      <c r="AD553" s="24" t="inlineStr">
        <is>
          <t>yfinance_download</t>
        </is>
      </c>
      <c r="AE553" s="24" t="inlineStr">
        <is>
          <t>042700.KS</t>
        </is>
      </c>
    </row>
    <row r="554" ht="24" customHeight="1">
      <c r="A554" s="29" t="inlineStr">
        <is>
          <t>2025-09-11</t>
        </is>
      </c>
      <c r="B554" s="31" t="n">
        <v>89000</v>
      </c>
      <c r="C554" s="31" t="n">
        <v>90000</v>
      </c>
      <c r="D554" s="31" t="n">
        <v>86100</v>
      </c>
      <c r="E554" s="31" t="n">
        <v>90000</v>
      </c>
      <c r="F554" s="31" t="n">
        <v>89722.0078125</v>
      </c>
      <c r="G554" s="31" t="n">
        <v>928193</v>
      </c>
      <c r="H554" s="36" t="n">
        <v>0.03092783505154628</v>
      </c>
      <c r="I554" s="36" t="n">
        <v>-0.5238095238095238</v>
      </c>
      <c r="J554" s="31" t="n">
        <v>86640</v>
      </c>
      <c r="K554" s="31" t="n">
        <v>89813.33333333333</v>
      </c>
      <c r="L554" s="31" t="n">
        <v>84204.16666666667</v>
      </c>
      <c r="M554" s="36" t="n">
        <v>0.3926562564050416</v>
      </c>
      <c r="N554" s="36" t="n">
        <v>0.4443051465780205</v>
      </c>
      <c r="O554" s="36" t="n">
        <v>-0.01639344262295084</v>
      </c>
      <c r="P554" s="36" t="n">
        <v>0.02857142857142847</v>
      </c>
      <c r="Q554" s="36" t="n">
        <v>0.01694915254237284</v>
      </c>
      <c r="R554" s="36" t="n">
        <v>0.03878116343490312</v>
      </c>
      <c r="S554" s="36" t="n">
        <v>0.002078384798099853</v>
      </c>
      <c r="T554" s="36" t="n">
        <v>0.06883071898658999</v>
      </c>
      <c r="U554" s="31" t="n">
        <v>126100</v>
      </c>
      <c r="V554" s="31" t="n">
        <v>60200</v>
      </c>
      <c r="W554" s="36" t="n">
        <v>-0.2862807295796986</v>
      </c>
      <c r="X554" s="36" t="n">
        <v>0.4950166112956811</v>
      </c>
      <c r="Y554" s="31" t="n">
        <v>95312200</v>
      </c>
      <c r="Z554" s="31" t="n">
        <v>8578098000000</v>
      </c>
      <c r="AA554" s="31" t="n">
        <v>83537370000</v>
      </c>
      <c r="AB554" s="31" t="n">
        <v>40099973475</v>
      </c>
      <c r="AC554" s="36" t="n">
        <v>0.009738449012823122</v>
      </c>
      <c r="AD554" s="29" t="inlineStr">
        <is>
          <t>yfinance_download</t>
        </is>
      </c>
      <c r="AE554" s="29" t="inlineStr">
        <is>
          <t>042700.KS</t>
        </is>
      </c>
    </row>
    <row r="555" ht="24" customHeight="1">
      <c r="A555" s="24" t="inlineStr">
        <is>
          <t>2025-09-12</t>
        </is>
      </c>
      <c r="B555" s="30" t="n">
        <v>90500</v>
      </c>
      <c r="C555" s="30" t="n">
        <v>94200</v>
      </c>
      <c r="D555" s="30" t="n">
        <v>90000</v>
      </c>
      <c r="E555" s="30" t="n">
        <v>90900</v>
      </c>
      <c r="F555" s="30" t="n">
        <v>90619.2265625</v>
      </c>
      <c r="G555" s="30" t="n">
        <v>1779302</v>
      </c>
      <c r="H555" s="35" t="n">
        <v>0.01000000000000001</v>
      </c>
      <c r="I555" s="35" t="n">
        <v>-0.519047619047619</v>
      </c>
      <c r="J555" s="30" t="n">
        <v>86535</v>
      </c>
      <c r="K555" s="30" t="n">
        <v>89786.66666666667</v>
      </c>
      <c r="L555" s="30" t="n">
        <v>84208.33333333333</v>
      </c>
      <c r="M555" s="35" t="n">
        <v>0.3896455734944283</v>
      </c>
      <c r="N555" s="35" t="n">
        <v>0.429037776231259</v>
      </c>
      <c r="O555" s="35" t="n">
        <v>-0.02258064516129032</v>
      </c>
      <c r="P555" s="35" t="n">
        <v>-0.01729729729729734</v>
      </c>
      <c r="Q555" s="35" t="n">
        <v>0.005530973451327359</v>
      </c>
      <c r="R555" s="35" t="n">
        <v>0.05044201768070722</v>
      </c>
      <c r="S555" s="35" t="n">
        <v>0.01239976239976226</v>
      </c>
      <c r="T555" s="35" t="n">
        <v>0.07946561108362205</v>
      </c>
      <c r="U555" s="30" t="n">
        <v>126100</v>
      </c>
      <c r="V555" s="30" t="n">
        <v>60200</v>
      </c>
      <c r="W555" s="35" t="n">
        <v>-0.2791435368754956</v>
      </c>
      <c r="X555" s="35" t="n">
        <v>0.5099667774086378</v>
      </c>
      <c r="Y555" s="30" t="n">
        <v>95312200</v>
      </c>
      <c r="Z555" s="30" t="n">
        <v>8663878980000</v>
      </c>
      <c r="AA555" s="30" t="n">
        <v>161738551800</v>
      </c>
      <c r="AB555" s="30" t="n">
        <v>46093647765</v>
      </c>
      <c r="AC555" s="35" t="n">
        <v>0.01866814531612952</v>
      </c>
      <c r="AD555" s="24" t="inlineStr">
        <is>
          <t>yfinance_download</t>
        </is>
      </c>
      <c r="AE555" s="24" t="inlineStr">
        <is>
          <t>042700.KS</t>
        </is>
      </c>
    </row>
    <row r="556" ht="24" customHeight="1">
      <c r="A556" s="29" t="inlineStr">
        <is>
          <t>2025-09-15</t>
        </is>
      </c>
      <c r="B556" s="31" t="n">
        <v>92600</v>
      </c>
      <c r="C556" s="31" t="n">
        <v>92900</v>
      </c>
      <c r="D556" s="31" t="n">
        <v>90700</v>
      </c>
      <c r="E556" s="31" t="n">
        <v>91100</v>
      </c>
      <c r="F556" s="31" t="n">
        <v>90818.609375</v>
      </c>
      <c r="G556" s="31" t="n">
        <v>622588</v>
      </c>
      <c r="H556" s="36" t="n">
        <v>0.002200220022002153</v>
      </c>
      <c r="I556" s="36" t="n">
        <v>-0.517989417989418</v>
      </c>
      <c r="J556" s="31" t="n">
        <v>86650</v>
      </c>
      <c r="K556" s="31" t="n">
        <v>89755</v>
      </c>
      <c r="L556" s="31" t="n">
        <v>84215</v>
      </c>
      <c r="M556" s="36" t="n">
        <v>0.3527298766124368</v>
      </c>
      <c r="N556" s="36" t="n">
        <v>0.4289177642938573</v>
      </c>
      <c r="O556" s="36" t="n">
        <v>0.0259009009009008</v>
      </c>
      <c r="P556" s="36" t="n">
        <v>-0.02043010752688168</v>
      </c>
      <c r="Q556" s="36" t="n">
        <v>0.008859357696566983</v>
      </c>
      <c r="R556" s="36" t="n">
        <v>0.05135603000577027</v>
      </c>
      <c r="S556" s="36" t="n">
        <v>0.0149852375912205</v>
      </c>
      <c r="T556" s="36" t="n">
        <v>0.0817550317639375</v>
      </c>
      <c r="U556" s="31" t="n">
        <v>126100</v>
      </c>
      <c r="V556" s="31" t="n">
        <v>60200</v>
      </c>
      <c r="W556" s="36" t="n">
        <v>-0.2775574940523394</v>
      </c>
      <c r="X556" s="36" t="n">
        <v>0.5132890365448506</v>
      </c>
      <c r="Y556" s="31" t="n">
        <v>95312200</v>
      </c>
      <c r="Z556" s="31" t="n">
        <v>8682941420000</v>
      </c>
      <c r="AA556" s="31" t="n">
        <v>56717766800</v>
      </c>
      <c r="AB556" s="31" t="n">
        <v>46285245265</v>
      </c>
      <c r="AC556" s="36" t="n">
        <v>0.006532091379697458</v>
      </c>
      <c r="AD556" s="29" t="inlineStr">
        <is>
          <t>yfinance_download</t>
        </is>
      </c>
      <c r="AE556" s="29" t="inlineStr">
        <is>
          <t>042700.KS</t>
        </is>
      </c>
    </row>
    <row r="557" ht="24" customHeight="1">
      <c r="A557" s="24" t="inlineStr">
        <is>
          <t>2025-09-16</t>
        </is>
      </c>
      <c r="B557" s="30" t="n">
        <v>92000</v>
      </c>
      <c r="C557" s="30" t="n">
        <v>94400</v>
      </c>
      <c r="D557" s="30" t="n">
        <v>90200</v>
      </c>
      <c r="E557" s="30" t="n">
        <v>93300</v>
      </c>
      <c r="F557" s="30" t="n">
        <v>93011.8125</v>
      </c>
      <c r="G557" s="30" t="n">
        <v>1045730</v>
      </c>
      <c r="H557" s="35" t="n">
        <v>0.02414928649835346</v>
      </c>
      <c r="I557" s="35" t="n">
        <v>-0.5063492063492063</v>
      </c>
      <c r="J557" s="30" t="n">
        <v>86820</v>
      </c>
      <c r="K557" s="30" t="n">
        <v>89803.33333333333</v>
      </c>
      <c r="L557" s="30" t="n">
        <v>84267.5</v>
      </c>
      <c r="M557" s="35" t="n">
        <v>0.359934618647762</v>
      </c>
      <c r="N557" s="35" t="n">
        <v>0.4276948073567345</v>
      </c>
      <c r="O557" s="35" t="n">
        <v>0.03781979977753069</v>
      </c>
      <c r="P557" s="35" t="n">
        <v>0.03207964601769908</v>
      </c>
      <c r="Q557" s="35" t="n">
        <v>0.07241379310344831</v>
      </c>
      <c r="R557" s="35" t="n">
        <v>0.07463718037318601</v>
      </c>
      <c r="S557" s="35" t="n">
        <v>0.03893693626814154</v>
      </c>
      <c r="T557" s="35" t="n">
        <v>0.1071884178360578</v>
      </c>
      <c r="U557" s="30" t="n">
        <v>126100</v>
      </c>
      <c r="V557" s="30" t="n">
        <v>60200</v>
      </c>
      <c r="W557" s="35" t="n">
        <v>-0.2601110229976209</v>
      </c>
      <c r="X557" s="35" t="n">
        <v>0.5498338870431894</v>
      </c>
      <c r="Y557" s="30" t="n">
        <v>95312200</v>
      </c>
      <c r="Z557" s="30" t="n">
        <v>8892628260000</v>
      </c>
      <c r="AA557" s="30" t="n">
        <v>97566609000</v>
      </c>
      <c r="AB557" s="30" t="n">
        <v>47745060790</v>
      </c>
      <c r="AC557" s="35" t="n">
        <v>0.01097162797627166</v>
      </c>
      <c r="AD557" s="24" t="inlineStr">
        <is>
          <t>yfinance_download</t>
        </is>
      </c>
      <c r="AE557" s="24" t="inlineStr">
        <is>
          <t>042700.KS</t>
        </is>
      </c>
    </row>
    <row r="558" ht="24" customHeight="1">
      <c r="A558" s="29" t="inlineStr">
        <is>
          <t>2025-09-17</t>
        </is>
      </c>
      <c r="B558" s="31" t="n">
        <v>92300</v>
      </c>
      <c r="C558" s="31" t="n">
        <v>92300</v>
      </c>
      <c r="D558" s="31" t="n">
        <v>90700</v>
      </c>
      <c r="E558" s="31" t="n">
        <v>91000</v>
      </c>
      <c r="F558" s="31" t="n">
        <v>90718.9140625</v>
      </c>
      <c r="G558" s="31" t="n">
        <v>495932</v>
      </c>
      <c r="H558" s="36" t="n">
        <v>-0.02465166130760987</v>
      </c>
      <c r="I558" s="36" t="n">
        <v>-0.5185185185185186</v>
      </c>
      <c r="J558" s="31" t="n">
        <v>87015</v>
      </c>
      <c r="K558" s="31" t="n">
        <v>89773.33333333333</v>
      </c>
      <c r="L558" s="31" t="n">
        <v>84315.83333333333</v>
      </c>
      <c r="M558" s="36" t="n">
        <v>0.3526419564303372</v>
      </c>
      <c r="N558" s="36" t="n">
        <v>0.4274435569574725</v>
      </c>
      <c r="O558" s="36" t="n">
        <v>0.04477611940298498</v>
      </c>
      <c r="P558" s="36" t="n">
        <v>-0.0193965517241379</v>
      </c>
      <c r="Q558" s="36" t="n">
        <v>0.068075117370892</v>
      </c>
      <c r="R558" s="36" t="n">
        <v>0.04579670171809469</v>
      </c>
      <c r="S558" s="36" t="n">
        <v>0.01366404277439481</v>
      </c>
      <c r="T558" s="36" t="n">
        <v>0.07927534369780287</v>
      </c>
      <c r="U558" s="31" t="n">
        <v>126100</v>
      </c>
      <c r="V558" s="31" t="n">
        <v>60200</v>
      </c>
      <c r="W558" s="36" t="n">
        <v>-0.2783505154639175</v>
      </c>
      <c r="X558" s="36" t="n">
        <v>0.5116279069767442</v>
      </c>
      <c r="Y558" s="31" t="n">
        <v>95312200</v>
      </c>
      <c r="Z558" s="31" t="n">
        <v>8673410200000</v>
      </c>
      <c r="AA558" s="31" t="n">
        <v>45129812000</v>
      </c>
      <c r="AB558" s="31" t="n">
        <v>47824033970</v>
      </c>
      <c r="AC558" s="36" t="n">
        <v>0.005203237361009399</v>
      </c>
      <c r="AD558" s="29" t="inlineStr">
        <is>
          <t>yfinance_download</t>
        </is>
      </c>
      <c r="AE558" s="29" t="inlineStr">
        <is>
          <t>042700.KS</t>
        </is>
      </c>
    </row>
    <row r="559" ht="24" customHeight="1">
      <c r="A559" s="24" t="inlineStr">
        <is>
          <t>2025-09-18</t>
        </is>
      </c>
      <c r="B559" s="30" t="n">
        <v>91600</v>
      </c>
      <c r="C559" s="30" t="n">
        <v>94900</v>
      </c>
      <c r="D559" s="30" t="n">
        <v>90400</v>
      </c>
      <c r="E559" s="30" t="n">
        <v>94200</v>
      </c>
      <c r="F559" s="30" t="n">
        <v>93909.03125</v>
      </c>
      <c r="G559" s="30" t="n">
        <v>1130724</v>
      </c>
      <c r="H559" s="35" t="n">
        <v>0.03516483516483526</v>
      </c>
      <c r="I559" s="35" t="n">
        <v>-0.5015873015873016</v>
      </c>
      <c r="J559" s="30" t="n">
        <v>87380</v>
      </c>
      <c r="K559" s="30" t="n">
        <v>89718.33333333333</v>
      </c>
      <c r="L559" s="30" t="n">
        <v>84392.5</v>
      </c>
      <c r="M559" s="35" t="n">
        <v>0.3705964267518709</v>
      </c>
      <c r="N559" s="35" t="n">
        <v>0.4207382503348699</v>
      </c>
      <c r="O559" s="35" t="n">
        <v>0.08400460299194479</v>
      </c>
      <c r="P559" s="35" t="n">
        <v>-0.03384615384615386</v>
      </c>
      <c r="Q559" s="35" t="n">
        <v>0.108235294117647</v>
      </c>
      <c r="R559" s="35" t="n">
        <v>0.07804989700160214</v>
      </c>
      <c r="S559" s="35" t="n">
        <v>0.04995262952573798</v>
      </c>
      <c r="T559" s="35" t="n">
        <v>0.1162129336137689</v>
      </c>
      <c r="U559" s="30" t="n">
        <v>126100</v>
      </c>
      <c r="V559" s="30" t="n">
        <v>60200</v>
      </c>
      <c r="W559" s="35" t="n">
        <v>-0.2529738302934179</v>
      </c>
      <c r="X559" s="35" t="n">
        <v>0.5647840531561461</v>
      </c>
      <c r="Y559" s="30" t="n">
        <v>95312200</v>
      </c>
      <c r="Z559" s="30" t="n">
        <v>8978409240000</v>
      </c>
      <c r="AA559" s="30" t="n">
        <v>106514200800</v>
      </c>
      <c r="AB559" s="30" t="n">
        <v>51740582300</v>
      </c>
      <c r="AC559" s="35" t="n">
        <v>0.01186337111093858</v>
      </c>
      <c r="AD559" s="24" t="inlineStr">
        <is>
          <t>yfinance_download</t>
        </is>
      </c>
      <c r="AE559" s="24" t="inlineStr">
        <is>
          <t>042700.KS</t>
        </is>
      </c>
    </row>
    <row r="560" ht="24" customHeight="1">
      <c r="A560" s="29" t="inlineStr">
        <is>
          <t>2025-09-22</t>
        </is>
      </c>
      <c r="B560" s="31" t="n">
        <v>93100</v>
      </c>
      <c r="C560" s="31" t="n">
        <v>94900</v>
      </c>
      <c r="D560" s="31" t="n">
        <v>92600</v>
      </c>
      <c r="E560" s="31" t="n">
        <v>93200</v>
      </c>
      <c r="F560" s="31" t="n">
        <v>92912.1171875</v>
      </c>
      <c r="G560" s="31" t="n">
        <v>590874</v>
      </c>
      <c r="H560" s="36" t="n">
        <v>-0.01061571125265393</v>
      </c>
      <c r="I560" s="36" t="n">
        <v>-0.5068783068783069</v>
      </c>
      <c r="J560" s="31" t="n">
        <v>87700</v>
      </c>
      <c r="K560" s="31" t="n">
        <v>89543.33333333333</v>
      </c>
      <c r="L560" s="31" t="n">
        <v>84503.33333333333</v>
      </c>
      <c r="M560" s="36" t="n">
        <v>0.3739516202241884</v>
      </c>
      <c r="N560" s="36" t="n">
        <v>0.3996181333693968</v>
      </c>
      <c r="O560" s="36" t="n">
        <v>0.07373271889400912</v>
      </c>
      <c r="P560" s="36" t="n">
        <v>-0.1012536162005786</v>
      </c>
      <c r="Q560" s="36" t="n">
        <v>0.1664580725907385</v>
      </c>
      <c r="R560" s="36" t="n">
        <v>0.06271379703534774</v>
      </c>
      <c r="S560" s="36" t="n">
        <v>0.0408368387745226</v>
      </c>
      <c r="T560" s="36" t="n">
        <v>0.1029150723837324</v>
      </c>
      <c r="U560" s="31" t="n">
        <v>126100</v>
      </c>
      <c r="V560" s="31" t="n">
        <v>60200</v>
      </c>
      <c r="W560" s="36" t="n">
        <v>-0.260904044409199</v>
      </c>
      <c r="X560" s="36" t="n">
        <v>0.548172757475083</v>
      </c>
      <c r="Y560" s="31" t="n">
        <v>95312200</v>
      </c>
      <c r="Z560" s="31" t="n">
        <v>8883097040000</v>
      </c>
      <c r="AA560" s="31" t="n">
        <v>55069456800</v>
      </c>
      <c r="AB560" s="31" t="n">
        <v>53007032260</v>
      </c>
      <c r="AC560" s="36" t="n">
        <v>0.006199353283210334</v>
      </c>
      <c r="AD560" s="29" t="inlineStr">
        <is>
          <t>yfinance_download</t>
        </is>
      </c>
      <c r="AE560" s="29" t="inlineStr">
        <is>
          <t>042700.KS</t>
        </is>
      </c>
    </row>
    <row r="561" ht="24" customHeight="1">
      <c r="A561" s="24" t="inlineStr">
        <is>
          <t>2025-09-23</t>
        </is>
      </c>
      <c r="B561" s="30" t="n">
        <v>95700</v>
      </c>
      <c r="C561" s="30" t="n">
        <v>96500</v>
      </c>
      <c r="D561" s="30" t="n">
        <v>94000</v>
      </c>
      <c r="E561" s="30" t="n">
        <v>96000</v>
      </c>
      <c r="F561" s="30" t="n">
        <v>95703.46875</v>
      </c>
      <c r="G561" s="30" t="n">
        <v>1060329</v>
      </c>
      <c r="H561" s="35" t="n">
        <v>0.03004291845493556</v>
      </c>
      <c r="I561" s="35" t="n">
        <v>-0.4920634920634921</v>
      </c>
      <c r="J561" s="30" t="n">
        <v>88050</v>
      </c>
      <c r="K561" s="30" t="n">
        <v>89428.33333333333</v>
      </c>
      <c r="L561" s="30" t="n">
        <v>84665.83333333333</v>
      </c>
      <c r="M561" s="35" t="n">
        <v>0.3778871834593781</v>
      </c>
      <c r="N561" s="35" t="n">
        <v>0.4045569196016285</v>
      </c>
      <c r="O561" s="35" t="n">
        <v>0.0786516853932584</v>
      </c>
      <c r="P561" s="35" t="n">
        <v>-0.06705539358600587</v>
      </c>
      <c r="Q561" s="35" t="n">
        <v>0.2549019607843137</v>
      </c>
      <c r="R561" s="35" t="n">
        <v>0.09028960817717202</v>
      </c>
      <c r="S561" s="35" t="n">
        <v>0.07348528616955852</v>
      </c>
      <c r="T561" s="35" t="n">
        <v>0.1338694278486994</v>
      </c>
      <c r="U561" s="30" t="n">
        <v>126100</v>
      </c>
      <c r="V561" s="30" t="n">
        <v>60200</v>
      </c>
      <c r="W561" s="35" t="n">
        <v>-0.2386994448850119</v>
      </c>
      <c r="X561" s="35" t="n">
        <v>0.5946843853820598</v>
      </c>
      <c r="Y561" s="30" t="n">
        <v>95312200</v>
      </c>
      <c r="Z561" s="30" t="n">
        <v>9149971200000</v>
      </c>
      <c r="AA561" s="30" t="n">
        <v>101791584000</v>
      </c>
      <c r="AB561" s="30" t="n">
        <v>56383405960</v>
      </c>
      <c r="AC561" s="35" t="n">
        <v>0.01112479829444709</v>
      </c>
      <c r="AD561" s="24" t="inlineStr">
        <is>
          <t>yfinance_download</t>
        </is>
      </c>
      <c r="AE561" s="24" t="inlineStr">
        <is>
          <t>042700.KS</t>
        </is>
      </c>
    </row>
    <row r="562" ht="24" customHeight="1">
      <c r="A562" s="29" t="inlineStr">
        <is>
          <t>2025-09-24</t>
        </is>
      </c>
      <c r="B562" s="31" t="n">
        <v>95400</v>
      </c>
      <c r="C562" s="31" t="n">
        <v>96700</v>
      </c>
      <c r="D562" s="31" t="n">
        <v>93700</v>
      </c>
      <c r="E562" s="31" t="n">
        <v>96200</v>
      </c>
      <c r="F562" s="31" t="n">
        <v>95902.8515625</v>
      </c>
      <c r="G562" s="31" t="n">
        <v>779048</v>
      </c>
      <c r="H562" s="36" t="n">
        <v>0.002083333333333437</v>
      </c>
      <c r="I562" s="36" t="n">
        <v>-0.491005291005291</v>
      </c>
      <c r="J562" s="31" t="n">
        <v>88400</v>
      </c>
      <c r="K562" s="31" t="n">
        <v>89331.66666666667</v>
      </c>
      <c r="L562" s="31" t="n">
        <v>84899.16666666667</v>
      </c>
      <c r="M562" s="36" t="n">
        <v>0.377898084265668</v>
      </c>
      <c r="N562" s="36" t="n">
        <v>0.4042610386593399</v>
      </c>
      <c r="O562" s="36" t="n">
        <v>0.07847533632286985</v>
      </c>
      <c r="P562" s="36" t="n">
        <v>-0.05686274509803924</v>
      </c>
      <c r="Q562" s="36" t="n">
        <v>0.4105571847507332</v>
      </c>
      <c r="R562" s="36" t="n">
        <v>0.08823529411764697</v>
      </c>
      <c r="S562" s="36" t="n">
        <v>0.07688576279408199</v>
      </c>
      <c r="T562" s="36" t="n">
        <v>0.1331088840683556</v>
      </c>
      <c r="U562" s="31" t="n">
        <v>126100</v>
      </c>
      <c r="V562" s="31" t="n">
        <v>60200</v>
      </c>
      <c r="W562" s="36" t="n">
        <v>-0.2371134020618557</v>
      </c>
      <c r="X562" s="36" t="n">
        <v>0.5980066445182723</v>
      </c>
      <c r="Y562" s="31" t="n">
        <v>95312200</v>
      </c>
      <c r="Z562" s="31" t="n">
        <v>9169033640000</v>
      </c>
      <c r="AA562" s="31" t="n">
        <v>74944417600</v>
      </c>
      <c r="AB562" s="31" t="n">
        <v>58319675060</v>
      </c>
      <c r="AC562" s="36" t="n">
        <v>0.008173644087535488</v>
      </c>
      <c r="AD562" s="29" t="inlineStr">
        <is>
          <t>yfinance_download</t>
        </is>
      </c>
      <c r="AE562" s="29" t="inlineStr">
        <is>
          <t>042700.KS</t>
        </is>
      </c>
    </row>
    <row r="563" ht="24" customHeight="1">
      <c r="A563" s="24" t="inlineStr">
        <is>
          <t>2025-09-25</t>
        </is>
      </c>
      <c r="B563" s="30" t="n">
        <v>94900</v>
      </c>
      <c r="C563" s="30" t="n">
        <v>95900</v>
      </c>
      <c r="D563" s="30" t="n">
        <v>93000</v>
      </c>
      <c r="E563" s="30" t="n">
        <v>94100</v>
      </c>
      <c r="F563" s="30" t="n">
        <v>93809.34375</v>
      </c>
      <c r="G563" s="30" t="n">
        <v>612260</v>
      </c>
      <c r="H563" s="35" t="n">
        <v>-0.0218295218295218</v>
      </c>
      <c r="I563" s="35" t="n">
        <v>-0.5021164021164022</v>
      </c>
      <c r="J563" s="30" t="n">
        <v>88650</v>
      </c>
      <c r="K563" s="30" t="n">
        <v>89288.33333333333</v>
      </c>
      <c r="L563" s="30" t="n">
        <v>85102.5</v>
      </c>
      <c r="M563" s="35" t="n">
        <v>0.3886573661574697</v>
      </c>
      <c r="N563" s="35" t="n">
        <v>0.3924719873569514</v>
      </c>
      <c r="O563" s="35" t="n">
        <v>0.05611672278338942</v>
      </c>
      <c r="P563" s="35" t="n">
        <v>-0.02688728024819032</v>
      </c>
      <c r="Q563" s="35" t="n">
        <v>0.3500717360114778</v>
      </c>
      <c r="R563" s="35" t="n">
        <v>0.06147772137619856</v>
      </c>
      <c r="S563" s="35" t="n">
        <v>0.05388908592014641</v>
      </c>
      <c r="T563" s="35" t="n">
        <v>0.1057254487235979</v>
      </c>
      <c r="U563" s="30" t="n">
        <v>126100</v>
      </c>
      <c r="V563" s="30" t="n">
        <v>60200</v>
      </c>
      <c r="W563" s="35" t="n">
        <v>-0.253766851704996</v>
      </c>
      <c r="X563" s="35" t="n">
        <v>0.5631229235880399</v>
      </c>
      <c r="Y563" s="30" t="n">
        <v>95312200</v>
      </c>
      <c r="Z563" s="30" t="n">
        <v>8968878020000</v>
      </c>
      <c r="AA563" s="30" t="n">
        <v>57613666000</v>
      </c>
      <c r="AB563" s="30" t="n">
        <v>60082171180</v>
      </c>
      <c r="AC563" s="35" t="n">
        <v>0.006423731694368611</v>
      </c>
      <c r="AD563" s="24" t="inlineStr">
        <is>
          <t>yfinance_download</t>
        </is>
      </c>
      <c r="AE563" s="24" t="inlineStr">
        <is>
          <t>042700.KS</t>
        </is>
      </c>
    </row>
    <row r="564" ht="24" customHeight="1">
      <c r="A564" s="29" t="inlineStr">
        <is>
          <t>2025-09-26</t>
        </is>
      </c>
      <c r="B564" s="31" t="n">
        <v>92900</v>
      </c>
      <c r="C564" s="31" t="n">
        <v>93000</v>
      </c>
      <c r="D564" s="31" t="n">
        <v>89500</v>
      </c>
      <c r="E564" s="31" t="n">
        <v>89800</v>
      </c>
      <c r="F564" s="31" t="n">
        <v>89522.625</v>
      </c>
      <c r="G564" s="31" t="n">
        <v>684177</v>
      </c>
      <c r="H564" s="36" t="n">
        <v>-0.04569606801275239</v>
      </c>
      <c r="I564" s="36" t="n">
        <v>-0.5248677248677249</v>
      </c>
      <c r="J564" s="31" t="n">
        <v>88720</v>
      </c>
      <c r="K564" s="31" t="n">
        <v>89220</v>
      </c>
      <c r="L564" s="31" t="n">
        <v>85292.5</v>
      </c>
      <c r="M564" s="36" t="n">
        <v>0.4242806950333128</v>
      </c>
      <c r="N564" s="36" t="n">
        <v>0.3991619706857817</v>
      </c>
      <c r="O564" s="36" t="n">
        <v>0.01583710407239813</v>
      </c>
      <c r="P564" s="36" t="n">
        <v>-0.04366347177848773</v>
      </c>
      <c r="Q564" s="36" t="n">
        <v>0.3402985074626865</v>
      </c>
      <c r="R564" s="36" t="n">
        <v>0.01217312894499556</v>
      </c>
      <c r="S564" s="36" t="n">
        <v>0.006500784577448959</v>
      </c>
      <c r="T564" s="36" t="n">
        <v>0.05284755400533458</v>
      </c>
      <c r="U564" s="31" t="n">
        <v>126100</v>
      </c>
      <c r="V564" s="31" t="n">
        <v>60200</v>
      </c>
      <c r="W564" s="36" t="n">
        <v>-0.2878667724028549</v>
      </c>
      <c r="X564" s="36" t="n">
        <v>0.4916943521594683</v>
      </c>
      <c r="Y564" s="31" t="n">
        <v>95312200</v>
      </c>
      <c r="Z564" s="31" t="n">
        <v>8559035560000</v>
      </c>
      <c r="AA564" s="31" t="n">
        <v>61439094600</v>
      </c>
      <c r="AB564" s="31" t="n">
        <v>61908459410</v>
      </c>
      <c r="AC564" s="36" t="n">
        <v>0.007178273085712008</v>
      </c>
      <c r="AD564" s="29" t="inlineStr">
        <is>
          <t>yfinance_download</t>
        </is>
      </c>
      <c r="AE564" s="29" t="inlineStr">
        <is>
          <t>042700.KS</t>
        </is>
      </c>
    </row>
    <row r="565" ht="24" customHeight="1">
      <c r="A565" s="24" t="inlineStr">
        <is>
          <t>2025-09-29</t>
        </is>
      </c>
      <c r="B565" s="30" t="n">
        <v>90400</v>
      </c>
      <c r="C565" s="30" t="n">
        <v>93400</v>
      </c>
      <c r="D565" s="30" t="n">
        <v>89900</v>
      </c>
      <c r="E565" s="30" t="n">
        <v>91500</v>
      </c>
      <c r="F565" s="30" t="n">
        <v>91217.375</v>
      </c>
      <c r="G565" s="30" t="n">
        <v>609556</v>
      </c>
      <c r="H565" s="35" t="n">
        <v>0.01893095768374176</v>
      </c>
      <c r="I565" s="35" t="n">
        <v>-0.5158730158730158</v>
      </c>
      <c r="J565" s="30" t="n">
        <v>88945</v>
      </c>
      <c r="K565" s="30" t="n">
        <v>89156.66666666667</v>
      </c>
      <c r="L565" s="30" t="n">
        <v>85495</v>
      </c>
      <c r="M565" s="35" t="n">
        <v>0.4237897081192235</v>
      </c>
      <c r="N565" s="35" t="n">
        <v>0.3999064906352651</v>
      </c>
      <c r="O565" s="35" t="n">
        <v>0.05172413793103448</v>
      </c>
      <c r="P565" s="35" t="n">
        <v>-0.03987408184679953</v>
      </c>
      <c r="Q565" s="35" t="n">
        <v>0.3616071428571428</v>
      </c>
      <c r="R565" s="35" t="n">
        <v>0.02872561695429754</v>
      </c>
      <c r="S565" s="35" t="n">
        <v>0.02628332149399926</v>
      </c>
      <c r="T565" s="35" t="n">
        <v>0.07023802561553305</v>
      </c>
      <c r="U565" s="30" t="n">
        <v>126100</v>
      </c>
      <c r="V565" s="30" t="n">
        <v>60200</v>
      </c>
      <c r="W565" s="35" t="n">
        <v>-0.274385408406027</v>
      </c>
      <c r="X565" s="35" t="n">
        <v>0.5199335548172757</v>
      </c>
      <c r="Y565" s="30" t="n">
        <v>95312200</v>
      </c>
      <c r="Z565" s="30" t="n">
        <v>8721066300000</v>
      </c>
      <c r="AA565" s="30" t="n">
        <v>55774374000</v>
      </c>
      <c r="AB565" s="30" t="n">
        <v>62759244410</v>
      </c>
      <c r="AC565" s="35" t="n">
        <v>0.006395361769007535</v>
      </c>
      <c r="AD565" s="24" t="inlineStr">
        <is>
          <t>yfinance_download</t>
        </is>
      </c>
      <c r="AE565" s="24" t="inlineStr">
        <is>
          <t>042700.KS</t>
        </is>
      </c>
    </row>
    <row r="566" ht="24" customHeight="1">
      <c r="A566" s="29" t="inlineStr">
        <is>
          <t>2025-09-30</t>
        </is>
      </c>
      <c r="B566" s="31" t="n">
        <v>92300</v>
      </c>
      <c r="C566" s="31" t="n">
        <v>97500</v>
      </c>
      <c r="D566" s="31" t="n">
        <v>91300</v>
      </c>
      <c r="E566" s="31" t="n">
        <v>96500</v>
      </c>
      <c r="F566" s="31" t="n">
        <v>96201.9296875</v>
      </c>
      <c r="G566" s="31" t="n">
        <v>1988564</v>
      </c>
      <c r="H566" s="36" t="n">
        <v>0.05464480874316946</v>
      </c>
      <c r="I566" s="36" t="n">
        <v>-0.4894179894179894</v>
      </c>
      <c r="J566" s="31" t="n">
        <v>89695</v>
      </c>
      <c r="K566" s="31" t="n">
        <v>89193.33333333333</v>
      </c>
      <c r="L566" s="31" t="n">
        <v>85753.33333333333</v>
      </c>
      <c r="M566" s="36" t="n">
        <v>0.3847300656646794</v>
      </c>
      <c r="N566" s="36" t="n">
        <v>0.4148608484358935</v>
      </c>
      <c r="O566" s="36" t="n">
        <v>0.1840490797546013</v>
      </c>
      <c r="P566" s="36" t="n">
        <v>0.02332979851537642</v>
      </c>
      <c r="Q566" s="36" t="n">
        <v>0.4732824427480915</v>
      </c>
      <c r="R566" s="36" t="n">
        <v>0.07586822007915717</v>
      </c>
      <c r="S566" s="36" t="n">
        <v>0.08191942596606627</v>
      </c>
      <c r="T566" s="36" t="n">
        <v>0.1253206872424786</v>
      </c>
      <c r="U566" s="31" t="n">
        <v>126100</v>
      </c>
      <c r="V566" s="31" t="n">
        <v>60200</v>
      </c>
      <c r="W566" s="36" t="n">
        <v>-0.2347343378271214</v>
      </c>
      <c r="X566" s="36" t="n">
        <v>0.6029900332225913</v>
      </c>
      <c r="Y566" s="31" t="n">
        <v>95312200</v>
      </c>
      <c r="Z566" s="31" t="n">
        <v>9197627300000</v>
      </c>
      <c r="AA566" s="31" t="n">
        <v>191896426000</v>
      </c>
      <c r="AB566" s="31" t="n">
        <v>69137525585</v>
      </c>
      <c r="AC566" s="36" t="n">
        <v>0.0208636879643949</v>
      </c>
      <c r="AD566" s="29" t="inlineStr">
        <is>
          <t>yfinance_download</t>
        </is>
      </c>
      <c r="AE566" s="29" t="inlineStr">
        <is>
          <t>042700.KS</t>
        </is>
      </c>
    </row>
    <row r="567" ht="24" customHeight="1">
      <c r="A567" s="24" t="inlineStr">
        <is>
          <t>2025-10-01</t>
        </is>
      </c>
      <c r="B567" s="30" t="n">
        <v>97500</v>
      </c>
      <c r="C567" s="30" t="n">
        <v>98300</v>
      </c>
      <c r="D567" s="30" t="n">
        <v>94300</v>
      </c>
      <c r="E567" s="30" t="n">
        <v>94900</v>
      </c>
      <c r="F567" s="30" t="n">
        <v>94606.8671875</v>
      </c>
      <c r="G567" s="30" t="n">
        <v>940391</v>
      </c>
      <c r="H567" s="35" t="n">
        <v>-0.01658031088082901</v>
      </c>
      <c r="I567" s="35" t="n">
        <v>-0.4978835978835979</v>
      </c>
      <c r="J567" s="30" t="n">
        <v>90295</v>
      </c>
      <c r="K567" s="30" t="n">
        <v>89203.33333333333</v>
      </c>
      <c r="L567" s="30" t="n">
        <v>86042.5</v>
      </c>
      <c r="M567" s="35" t="n">
        <v>0.3934958902736944</v>
      </c>
      <c r="N567" s="35" t="n">
        <v>0.4163728044798244</v>
      </c>
      <c r="O567" s="35" t="n">
        <v>0.1447527141133895</v>
      </c>
      <c r="P567" s="35" t="n">
        <v>0.006362672322375307</v>
      </c>
      <c r="Q567" s="35" t="n">
        <v>0.5764119601328903</v>
      </c>
      <c r="R567" s="35" t="n">
        <v>0.05099950163353451</v>
      </c>
      <c r="S567" s="35" t="n">
        <v>0.06386158962669564</v>
      </c>
      <c r="T567" s="35" t="n">
        <v>0.102943312897696</v>
      </c>
      <c r="U567" s="30" t="n">
        <v>126100</v>
      </c>
      <c r="V567" s="30" t="n">
        <v>60200</v>
      </c>
      <c r="W567" s="35" t="n">
        <v>-0.2474226804123711</v>
      </c>
      <c r="X567" s="35" t="n">
        <v>0.5764119601328903</v>
      </c>
      <c r="Y567" s="30" t="n">
        <v>95312200</v>
      </c>
      <c r="Z567" s="30" t="n">
        <v>9045127780000</v>
      </c>
      <c r="AA567" s="30" t="n">
        <v>89243105900</v>
      </c>
      <c r="AB567" s="30" t="n">
        <v>72717019710</v>
      </c>
      <c r="AC567" s="35" t="n">
        <v>0.009866428432037031</v>
      </c>
      <c r="AD567" s="24" t="inlineStr">
        <is>
          <t>yfinance_download</t>
        </is>
      </c>
      <c r="AE567" s="24" t="inlineStr">
        <is>
          <t>042700.KS</t>
        </is>
      </c>
    </row>
    <row r="568" ht="24" customHeight="1">
      <c r="A568" s="29" t="inlineStr">
        <is>
          <t>2025-10-02</t>
        </is>
      </c>
      <c r="B568" s="31" t="n">
        <v>98400</v>
      </c>
      <c r="C568" s="31" t="n">
        <v>102400</v>
      </c>
      <c r="D568" s="31" t="n">
        <v>97300</v>
      </c>
      <c r="E568" s="31" t="n">
        <v>100200</v>
      </c>
      <c r="F568" s="31" t="n">
        <v>99890.5</v>
      </c>
      <c r="G568" s="31" t="n">
        <v>3472737</v>
      </c>
      <c r="H568" s="36" t="n">
        <v>0.05584826132771337</v>
      </c>
      <c r="I568" s="36" t="n">
        <v>-0.4698412698412698</v>
      </c>
      <c r="J568" s="31" t="n">
        <v>91125</v>
      </c>
      <c r="K568" s="31" t="n">
        <v>89273.33333333333</v>
      </c>
      <c r="L568" s="31" t="n">
        <v>86367.5</v>
      </c>
      <c r="M568" s="36" t="n">
        <v>0.4299737547403978</v>
      </c>
      <c r="N568" s="36" t="n">
        <v>0.4301796486264809</v>
      </c>
      <c r="O568" s="36" t="n">
        <v>0.1985645933014355</v>
      </c>
      <c r="P568" s="36" t="n">
        <v>0.04374999999999996</v>
      </c>
      <c r="Q568" s="36" t="n">
        <v>0.6372549019607843</v>
      </c>
      <c r="R568" s="36" t="n">
        <v>0.0995884773662552</v>
      </c>
      <c r="S568" s="36" t="n">
        <v>0.1223956388619223</v>
      </c>
      <c r="T568" s="36" t="n">
        <v>0.160158624482589</v>
      </c>
      <c r="U568" s="31" t="n">
        <v>126100</v>
      </c>
      <c r="V568" s="31" t="n">
        <v>60200</v>
      </c>
      <c r="W568" s="36" t="n">
        <v>-0.2053925455987312</v>
      </c>
      <c r="X568" s="36" t="n">
        <v>0.6644518272425248</v>
      </c>
      <c r="Y568" s="31" t="n">
        <v>95312200</v>
      </c>
      <c r="Z568" s="31" t="n">
        <v>9550282440000</v>
      </c>
      <c r="AA568" s="31" t="n">
        <v>347968247400</v>
      </c>
      <c r="AB568" s="31" t="n">
        <v>89028297680</v>
      </c>
      <c r="AC568" s="36" t="n">
        <v>0.03643538812450033</v>
      </c>
      <c r="AD568" s="29" t="inlineStr">
        <is>
          <t>yfinance_download</t>
        </is>
      </c>
      <c r="AE568" s="29" t="inlineStr">
        <is>
          <t>042700.KS</t>
        </is>
      </c>
    </row>
    <row r="569" ht="24" customHeight="1">
      <c r="A569" s="24" t="inlineStr">
        <is>
          <t>2025-10-10</t>
        </is>
      </c>
      <c r="B569" s="30" t="n">
        <v>106900</v>
      </c>
      <c r="C569" s="30" t="n">
        <v>119400</v>
      </c>
      <c r="D569" s="30" t="n">
        <v>103700</v>
      </c>
      <c r="E569" s="30" t="n">
        <v>119100</v>
      </c>
      <c r="F569" s="30" t="n">
        <v>118732.1171875</v>
      </c>
      <c r="G569" s="30" t="n">
        <v>4838068</v>
      </c>
      <c r="H569" s="35" t="n">
        <v>0.188622754491018</v>
      </c>
      <c r="I569" s="35" t="n">
        <v>-0.3698412698412699</v>
      </c>
      <c r="J569" s="30" t="n">
        <v>92950</v>
      </c>
      <c r="K569" s="30" t="n">
        <v>89681.66666666667</v>
      </c>
      <c r="L569" s="30" t="n">
        <v>86850</v>
      </c>
      <c r="M569" s="35" t="n">
        <v>0.7602220221635942</v>
      </c>
      <c r="N569" s="35" t="n">
        <v>0.5755887899273766</v>
      </c>
      <c r="O569" s="35" t="n">
        <v>0.4418886198547216</v>
      </c>
      <c r="P569" s="35" t="n">
        <v>0.2589852008456659</v>
      </c>
      <c r="Q569" s="35" t="n">
        <v>0.946078431372549</v>
      </c>
      <c r="R569" s="35" t="n">
        <v>0.2813340505648199</v>
      </c>
      <c r="S569" s="35" t="n">
        <v>0.3280306268468098</v>
      </c>
      <c r="T569" s="35" t="n">
        <v>0.3713298791018997</v>
      </c>
      <c r="U569" s="30" t="n">
        <v>126100</v>
      </c>
      <c r="V569" s="30" t="n">
        <v>60200</v>
      </c>
      <c r="W569" s="35" t="n">
        <v>-0.05551149881046791</v>
      </c>
      <c r="X569" s="35" t="n">
        <v>0.978405315614618</v>
      </c>
      <c r="Y569" s="30" t="n">
        <v>95312200</v>
      </c>
      <c r="Z569" s="30" t="n">
        <v>11351683020000</v>
      </c>
      <c r="AA569" s="30" t="n">
        <v>576213898800</v>
      </c>
      <c r="AB569" s="30" t="n">
        <v>115907730280</v>
      </c>
      <c r="AC569" s="35" t="n">
        <v>0.05076021747478287</v>
      </c>
      <c r="AD569" s="24" t="inlineStr">
        <is>
          <t>yfinance_download</t>
        </is>
      </c>
      <c r="AE569" s="24" t="inlineStr">
        <is>
          <t>042700.KS</t>
        </is>
      </c>
    </row>
    <row r="570" ht="24" customHeight="1">
      <c r="A570" s="29" t="inlineStr">
        <is>
          <t>2025-10-13</t>
        </is>
      </c>
      <c r="B570" s="31" t="n">
        <v>115500</v>
      </c>
      <c r="C570" s="31" t="n">
        <v>129800</v>
      </c>
      <c r="D570" s="31" t="n">
        <v>114000</v>
      </c>
      <c r="E570" s="31" t="n">
        <v>128000</v>
      </c>
      <c r="F570" s="31" t="n">
        <v>127604.6328125</v>
      </c>
      <c r="G570" s="31" t="n">
        <v>4324161</v>
      </c>
      <c r="H570" s="36" t="n">
        <v>0.07472712006717042</v>
      </c>
      <c r="I570" s="36" t="n">
        <v>-0.3227513227513228</v>
      </c>
      <c r="J570" s="31" t="n">
        <v>95205</v>
      </c>
      <c r="K570" s="31" t="n">
        <v>90190</v>
      </c>
      <c r="L570" s="31" t="n">
        <v>87368.33333333333</v>
      </c>
      <c r="M570" s="36" t="n">
        <v>0.782145324223214</v>
      </c>
      <c r="N570" s="36" t="n">
        <v>0.5910341123454268</v>
      </c>
      <c r="O570" s="36" t="n">
        <v>0.5440289505428226</v>
      </c>
      <c r="P570" s="36" t="n">
        <v>0.3128205128205128</v>
      </c>
      <c r="Q570" s="36" t="n">
        <v>0.9452887537993921</v>
      </c>
      <c r="R570" s="36" t="n">
        <v>0.3444672023528177</v>
      </c>
      <c r="S570" s="36" t="n">
        <v>0.4192260782791883</v>
      </c>
      <c r="T570" s="36" t="n">
        <v>0.4650617119093494</v>
      </c>
      <c r="U570" s="31" t="n">
        <v>128000</v>
      </c>
      <c r="V570" s="31" t="n">
        <v>60200</v>
      </c>
      <c r="W570" s="36" t="n">
        <v>0</v>
      </c>
      <c r="X570" s="36" t="n">
        <v>1.12624584717608</v>
      </c>
      <c r="Y570" s="31" t="n">
        <v>95312200</v>
      </c>
      <c r="Z570" s="31" t="n">
        <v>12199961600000</v>
      </c>
      <c r="AA570" s="31" t="n">
        <v>553492608000</v>
      </c>
      <c r="AB570" s="31" t="n">
        <v>142495608000</v>
      </c>
      <c r="AC570" s="36" t="n">
        <v>0.04536838935624191</v>
      </c>
      <c r="AD570" s="29" t="inlineStr">
        <is>
          <t>yfinance_download</t>
        </is>
      </c>
      <c r="AE570" s="29" t="inlineStr">
        <is>
          <t>042700.KS</t>
        </is>
      </c>
    </row>
    <row r="571" ht="24" customHeight="1">
      <c r="A571" s="24" t="inlineStr">
        <is>
          <t>2025-10-14</t>
        </is>
      </c>
      <c r="B571" s="30" t="n">
        <v>134100</v>
      </c>
      <c r="C571" s="30" t="n">
        <v>136200</v>
      </c>
      <c r="D571" s="30" t="n">
        <v>124500</v>
      </c>
      <c r="E571" s="30" t="n">
        <v>128700</v>
      </c>
      <c r="F571" s="30" t="n">
        <v>128302.46875</v>
      </c>
      <c r="G571" s="30" t="n">
        <v>3252050</v>
      </c>
      <c r="H571" s="35" t="n">
        <v>0.005468749999999911</v>
      </c>
      <c r="I571" s="35" t="n">
        <v>-0.319047619047619</v>
      </c>
      <c r="J571" s="30" t="n">
        <v>97500</v>
      </c>
      <c r="K571" s="30" t="n">
        <v>90745</v>
      </c>
      <c r="L571" s="30" t="n">
        <v>87868.33333333333</v>
      </c>
      <c r="M571" s="35" t="n">
        <v>0.7797575696825483</v>
      </c>
      <c r="N571" s="35" t="n">
        <v>0.588401899694977</v>
      </c>
      <c r="O571" s="35" t="n">
        <v>0.5543478260869565</v>
      </c>
      <c r="P571" s="35" t="n">
        <v>0.3490566037735849</v>
      </c>
      <c r="Q571" s="35" t="n">
        <v>0.8733624454148472</v>
      </c>
      <c r="R571" s="35" t="n">
        <v>0.3200000000000001</v>
      </c>
      <c r="S571" s="35" t="n">
        <v>0.4182599592264036</v>
      </c>
      <c r="T571" s="35" t="n">
        <v>0.4646914891599174</v>
      </c>
      <c r="U571" s="30" t="n">
        <v>128700</v>
      </c>
      <c r="V571" s="30" t="n">
        <v>60200</v>
      </c>
      <c r="W571" s="35" t="n">
        <v>0</v>
      </c>
      <c r="X571" s="35" t="n">
        <v>1.137873754152824</v>
      </c>
      <c r="Y571" s="30" t="n">
        <v>95312200</v>
      </c>
      <c r="Z571" s="30" t="n">
        <v>12266680140000</v>
      </c>
      <c r="AA571" s="30" t="n">
        <v>418538835000</v>
      </c>
      <c r="AB571" s="30" t="n">
        <v>162694323750</v>
      </c>
      <c r="AC571" s="35" t="n">
        <v>0.03411997624648262</v>
      </c>
      <c r="AD571" s="24" t="inlineStr">
        <is>
          <t>yfinance_download</t>
        </is>
      </c>
      <c r="AE571" s="24" t="inlineStr">
        <is>
          <t>042700.KS</t>
        </is>
      </c>
    </row>
    <row r="572" ht="24" customHeight="1">
      <c r="A572" s="29" t="inlineStr">
        <is>
          <t>2025-10-15</t>
        </is>
      </c>
      <c r="B572" s="31" t="n">
        <v>129000</v>
      </c>
      <c r="C572" s="31" t="n">
        <v>142800</v>
      </c>
      <c r="D572" s="31" t="n">
        <v>126600</v>
      </c>
      <c r="E572" s="31" t="n">
        <v>142000</v>
      </c>
      <c r="F572" s="31" t="n">
        <v>141561.390625</v>
      </c>
      <c r="G572" s="31" t="n">
        <v>3313731</v>
      </c>
      <c r="H572" s="36" t="n">
        <v>0.1033411033411034</v>
      </c>
      <c r="I572" s="36" t="n">
        <v>-0.2486772486772487</v>
      </c>
      <c r="J572" s="31" t="n">
        <v>100400</v>
      </c>
      <c r="K572" s="31" t="n">
        <v>91618.33333333333</v>
      </c>
      <c r="L572" s="31" t="n">
        <v>88485.83333333333</v>
      </c>
      <c r="M572" s="36" t="n">
        <v>0.8286049842686333</v>
      </c>
      <c r="N572" s="36" t="n">
        <v>0.6051509591783266</v>
      </c>
      <c r="O572" s="36" t="n">
        <v>0.6904761904761905</v>
      </c>
      <c r="P572" s="36" t="n">
        <v>0.5848214285714286</v>
      </c>
      <c r="Q572" s="36" t="n">
        <v>1.091310751104566</v>
      </c>
      <c r="R572" s="36" t="n">
        <v>0.4143426294820718</v>
      </c>
      <c r="S572" s="36" t="n">
        <v>0.5499081333794182</v>
      </c>
      <c r="T572" s="36" t="n">
        <v>0.6047766591638963</v>
      </c>
      <c r="U572" s="31" t="n">
        <v>142000</v>
      </c>
      <c r="V572" s="31" t="n">
        <v>60200</v>
      </c>
      <c r="W572" s="36" t="n">
        <v>0</v>
      </c>
      <c r="X572" s="36" t="n">
        <v>1.358803986710964</v>
      </c>
      <c r="Y572" s="31" t="n">
        <v>95312200</v>
      </c>
      <c r="Z572" s="31" t="n">
        <v>13534332400000</v>
      </c>
      <c r="AA572" s="31" t="n">
        <v>470549802000</v>
      </c>
      <c r="AB572" s="31" t="n">
        <v>184311805050</v>
      </c>
      <c r="AC572" s="36" t="n">
        <v>0.03476712320143696</v>
      </c>
      <c r="AD572" s="29" t="inlineStr">
        <is>
          <t>yfinance_download</t>
        </is>
      </c>
      <c r="AE572" s="29" t="inlineStr">
        <is>
          <t>042700.KS</t>
        </is>
      </c>
    </row>
    <row r="573" ht="24" customHeight="1">
      <c r="A573" s="24" t="inlineStr">
        <is>
          <t>2025-10-16</t>
        </is>
      </c>
      <c r="B573" s="30" t="n">
        <v>141500</v>
      </c>
      <c r="C573" s="30" t="n">
        <v>148700</v>
      </c>
      <c r="D573" s="30" t="n">
        <v>141200</v>
      </c>
      <c r="E573" s="30" t="n">
        <v>146500</v>
      </c>
      <c r="F573" s="30" t="n">
        <v>146047.484375</v>
      </c>
      <c r="G573" s="30" t="n">
        <v>2491252</v>
      </c>
      <c r="H573" s="35" t="n">
        <v>0.03169014084507049</v>
      </c>
      <c r="I573" s="35" t="n">
        <v>-0.2248677248677249</v>
      </c>
      <c r="J573" s="30" t="n">
        <v>103360</v>
      </c>
      <c r="K573" s="30" t="n">
        <v>92538.33333333333</v>
      </c>
      <c r="L573" s="30" t="n">
        <v>89143.33333333333</v>
      </c>
      <c r="M573" s="35" t="n">
        <v>0.8276470432047848</v>
      </c>
      <c r="N573" s="35" t="n">
        <v>0.6066608672696321</v>
      </c>
      <c r="O573" s="35" t="n">
        <v>0.6781214203894617</v>
      </c>
      <c r="P573" s="35" t="n">
        <v>0.6046002190580504</v>
      </c>
      <c r="Q573" s="35" t="n">
        <v>1.167159763313609</v>
      </c>
      <c r="R573" s="35" t="n">
        <v>0.4173761609907121</v>
      </c>
      <c r="S573" s="35" t="n">
        <v>0.5831277128397241</v>
      </c>
      <c r="T573" s="35" t="n">
        <v>0.6434207082227126</v>
      </c>
      <c r="U573" s="30" t="n">
        <v>146500</v>
      </c>
      <c r="V573" s="30" t="n">
        <v>60200</v>
      </c>
      <c r="W573" s="35" t="n">
        <v>0</v>
      </c>
      <c r="X573" s="35" t="n">
        <v>1.433554817275748</v>
      </c>
      <c r="Y573" s="30" t="n">
        <v>95312200</v>
      </c>
      <c r="Z573" s="30" t="n">
        <v>13963237300000</v>
      </c>
      <c r="AA573" s="30" t="n">
        <v>364968418000</v>
      </c>
      <c r="AB573" s="30" t="n">
        <v>198535412225</v>
      </c>
      <c r="AC573" s="35" t="n">
        <v>0.02613780817146178</v>
      </c>
      <c r="AD573" s="24" t="inlineStr">
        <is>
          <t>yfinance_download</t>
        </is>
      </c>
      <c r="AE573" s="24" t="inlineStr">
        <is>
          <t>042700.KS</t>
        </is>
      </c>
    </row>
    <row r="574" ht="24" customHeight="1">
      <c r="A574" s="29" t="inlineStr">
        <is>
          <t>2025-10-17</t>
        </is>
      </c>
      <c r="B574" s="31" t="n">
        <v>145000</v>
      </c>
      <c r="C574" s="31" t="n">
        <v>147900</v>
      </c>
      <c r="D574" s="31" t="n">
        <v>140900</v>
      </c>
      <c r="E574" s="31" t="n">
        <v>142300</v>
      </c>
      <c r="F574" s="31" t="n">
        <v>141860.453125</v>
      </c>
      <c r="G574" s="31" t="n">
        <v>1731032</v>
      </c>
      <c r="H574" s="36" t="n">
        <v>-0.02866894197952219</v>
      </c>
      <c r="I574" s="36" t="n">
        <v>-0.2470899470899471</v>
      </c>
      <c r="J574" s="31" t="n">
        <v>105975</v>
      </c>
      <c r="K574" s="31" t="n">
        <v>93391.66666666667</v>
      </c>
      <c r="L574" s="31" t="n">
        <v>89790</v>
      </c>
      <c r="M574" s="36" t="n">
        <v>0.8510064542676585</v>
      </c>
      <c r="N574" s="36" t="n">
        <v>0.6110822243133797</v>
      </c>
      <c r="O574" s="36" t="n">
        <v>0.5811111111111111</v>
      </c>
      <c r="P574" s="36" t="n">
        <v>0.5620197585071349</v>
      </c>
      <c r="Q574" s="36" t="n">
        <v>1.199381761978362</v>
      </c>
      <c r="R574" s="36" t="n">
        <v>0.3427695211134703</v>
      </c>
      <c r="S574" s="36" t="n">
        <v>0.5236905505487641</v>
      </c>
      <c r="T574" s="36" t="n">
        <v>0.5848089987749192</v>
      </c>
      <c r="U574" s="31" t="n">
        <v>146500</v>
      </c>
      <c r="V574" s="31" t="n">
        <v>60200</v>
      </c>
      <c r="W574" s="36" t="n">
        <v>-0.02866894197952219</v>
      </c>
      <c r="X574" s="36" t="n">
        <v>1.363787375415282</v>
      </c>
      <c r="Y574" s="31" t="n">
        <v>95312200</v>
      </c>
      <c r="Z574" s="31" t="n">
        <v>13562926060000</v>
      </c>
      <c r="AA574" s="31" t="n">
        <v>246325853600</v>
      </c>
      <c r="AB574" s="31" t="n">
        <v>206674836405</v>
      </c>
      <c r="AC574" s="36" t="n">
        <v>0.01816170437782362</v>
      </c>
      <c r="AD574" s="29" t="inlineStr">
        <is>
          <t>yfinance_download</t>
        </is>
      </c>
      <c r="AE574" s="29" t="inlineStr">
        <is>
          <t>042700.KS</t>
        </is>
      </c>
    </row>
    <row r="575" ht="24" customHeight="1">
      <c r="A575" s="24" t="inlineStr">
        <is>
          <t>2025-10-20</t>
        </is>
      </c>
      <c r="B575" s="30" t="n">
        <v>146700</v>
      </c>
      <c r="C575" s="30" t="n">
        <v>153800</v>
      </c>
      <c r="D575" s="30" t="n">
        <v>145600</v>
      </c>
      <c r="E575" s="30" t="n">
        <v>149300</v>
      </c>
      <c r="F575" s="30" t="n">
        <v>148838.84375</v>
      </c>
      <c r="G575" s="30" t="n">
        <v>2284959</v>
      </c>
      <c r="H575" s="35" t="n">
        <v>0.04919184820801115</v>
      </c>
      <c r="I575" s="35" t="n">
        <v>-0.21005291005291</v>
      </c>
      <c r="J575" s="30" t="n">
        <v>108895</v>
      </c>
      <c r="K575" s="30" t="n">
        <v>94408.33333333333</v>
      </c>
      <c r="L575" s="30" t="n">
        <v>90467.5</v>
      </c>
      <c r="M575" s="35" t="n">
        <v>0.8535512843080165</v>
      </c>
      <c r="N575" s="35" t="n">
        <v>0.6113106746297977</v>
      </c>
      <c r="O575" s="35" t="n">
        <v>0.6424642464246424</v>
      </c>
      <c r="P575" s="35" t="n">
        <v>0.6908267270668176</v>
      </c>
      <c r="Q575" s="35" t="n">
        <v>1.195588235294118</v>
      </c>
      <c r="R575" s="35" t="n">
        <v>0.3710455025483264</v>
      </c>
      <c r="S575" s="35" t="n">
        <v>0.5814281931326684</v>
      </c>
      <c r="T575" s="35" t="n">
        <v>0.6503164119711498</v>
      </c>
      <c r="U575" s="30" t="n">
        <v>149300</v>
      </c>
      <c r="V575" s="30" t="n">
        <v>60200</v>
      </c>
      <c r="W575" s="35" t="n">
        <v>0</v>
      </c>
      <c r="X575" s="35" t="n">
        <v>1.480066445182724</v>
      </c>
      <c r="Y575" s="30" t="n">
        <v>95312200</v>
      </c>
      <c r="Z575" s="30" t="n">
        <v>14230111460000</v>
      </c>
      <c r="AA575" s="30" t="n">
        <v>341144378700</v>
      </c>
      <c r="AB575" s="30" t="n">
        <v>215645127750</v>
      </c>
      <c r="AC575" s="35" t="n">
        <v>0.02397341578517755</v>
      </c>
      <c r="AD575" s="24" t="inlineStr">
        <is>
          <t>yfinance_download</t>
        </is>
      </c>
      <c r="AE575" s="24" t="inlineStr">
        <is>
          <t>042700.KS</t>
        </is>
      </c>
    </row>
    <row r="576" ht="24" customHeight="1">
      <c r="A576" s="29" t="inlineStr">
        <is>
          <t>2025-10-21</t>
        </is>
      </c>
      <c r="B576" s="31" t="n">
        <v>153100</v>
      </c>
      <c r="C576" s="31" t="n">
        <v>159200</v>
      </c>
      <c r="D576" s="31" t="n">
        <v>147700</v>
      </c>
      <c r="E576" s="31" t="n">
        <v>149600</v>
      </c>
      <c r="F576" s="31" t="n">
        <v>149137.90625</v>
      </c>
      <c r="G576" s="31" t="n">
        <v>2887720</v>
      </c>
      <c r="H576" s="36" t="n">
        <v>0.002009377093101117</v>
      </c>
      <c r="I576" s="36" t="n">
        <v>-0.2084656084656085</v>
      </c>
      <c r="J576" s="31" t="n">
        <v>111820</v>
      </c>
      <c r="K576" s="31" t="n">
        <v>95438.33333333333</v>
      </c>
      <c r="L576" s="31" t="n">
        <v>91104.16666666667</v>
      </c>
      <c r="M576" s="36" t="n">
        <v>0.8536233232947136</v>
      </c>
      <c r="N576" s="36" t="n">
        <v>0.6107005958755886</v>
      </c>
      <c r="O576" s="36" t="n">
        <v>0.6421514818880352</v>
      </c>
      <c r="P576" s="36" t="n">
        <v>0.7038724373576311</v>
      </c>
      <c r="Q576" s="36" t="n">
        <v>1.043715846994536</v>
      </c>
      <c r="R576" s="36" t="n">
        <v>0.3378644249686997</v>
      </c>
      <c r="S576" s="36" t="n">
        <v>0.567504322162653</v>
      </c>
      <c r="T576" s="36" t="n">
        <v>0.6420763777726961</v>
      </c>
      <c r="U576" s="31" t="n">
        <v>149600</v>
      </c>
      <c r="V576" s="31" t="n">
        <v>60200</v>
      </c>
      <c r="W576" s="36" t="n">
        <v>0</v>
      </c>
      <c r="X576" s="36" t="n">
        <v>1.485049833887043</v>
      </c>
      <c r="Y576" s="31" t="n">
        <v>95312200</v>
      </c>
      <c r="Z576" s="31" t="n">
        <v>14258705120000</v>
      </c>
      <c r="AA576" s="31" t="n">
        <v>432002912000</v>
      </c>
      <c r="AB576" s="31" t="n">
        <v>234409385010</v>
      </c>
      <c r="AC576" s="36" t="n">
        <v>0.03029748552651182</v>
      </c>
      <c r="AD576" s="29" t="inlineStr">
        <is>
          <t>yfinance_download</t>
        </is>
      </c>
      <c r="AE576" s="29" t="inlineStr">
        <is>
          <t>042700.KS</t>
        </is>
      </c>
    </row>
    <row r="577" ht="24" customHeight="1">
      <c r="A577" s="24" t="inlineStr">
        <is>
          <t>2025-10-22</t>
        </is>
      </c>
      <c r="B577" s="30" t="n">
        <v>148700</v>
      </c>
      <c r="C577" s="30" t="n">
        <v>152600</v>
      </c>
      <c r="D577" s="30" t="n">
        <v>144000</v>
      </c>
      <c r="E577" s="30" t="n">
        <v>151500</v>
      </c>
      <c r="F577" s="30" t="n">
        <v>151032.046875</v>
      </c>
      <c r="G577" s="30" t="n">
        <v>1448205</v>
      </c>
      <c r="H577" s="35" t="n">
        <v>0.01270053475935828</v>
      </c>
      <c r="I577" s="35" t="n">
        <v>-0.1984126984126984</v>
      </c>
      <c r="J577" s="30" t="n">
        <v>114730</v>
      </c>
      <c r="K577" s="30" t="n">
        <v>96485</v>
      </c>
      <c r="L577" s="30" t="n">
        <v>91740.83333333333</v>
      </c>
      <c r="M577" s="35" t="n">
        <v>0.8549888371279801</v>
      </c>
      <c r="N577" s="35" t="n">
        <v>0.6107321577645254</v>
      </c>
      <c r="O577" s="35" t="n">
        <v>0.6237942122186495</v>
      </c>
      <c r="P577" s="35" t="n">
        <v>0.7080045095828635</v>
      </c>
      <c r="Q577" s="35" t="n">
        <v>1.017310252996005</v>
      </c>
      <c r="R577" s="35" t="n">
        <v>0.3204915889479647</v>
      </c>
      <c r="S577" s="35" t="n">
        <v>0.5701922578639167</v>
      </c>
      <c r="T577" s="35" t="n">
        <v>0.6513911471627503</v>
      </c>
      <c r="U577" s="30" t="n">
        <v>151500</v>
      </c>
      <c r="V577" s="30" t="n">
        <v>60200</v>
      </c>
      <c r="W577" s="35" t="n">
        <v>0</v>
      </c>
      <c r="X577" s="35" t="n">
        <v>1.516611295681063</v>
      </c>
      <c r="Y577" s="30" t="n">
        <v>95312200</v>
      </c>
      <c r="Z577" s="30" t="n">
        <v>14439798300000</v>
      </c>
      <c r="AA577" s="30" t="n">
        <v>219403057500</v>
      </c>
      <c r="AB577" s="30" t="n">
        <v>240501207435</v>
      </c>
      <c r="AC577" s="35" t="n">
        <v>0.01519432979198885</v>
      </c>
      <c r="AD577" s="24" t="inlineStr">
        <is>
          <t>yfinance_download</t>
        </is>
      </c>
      <c r="AE577" s="24" t="inlineStr">
        <is>
          <t>042700.KS</t>
        </is>
      </c>
    </row>
    <row r="578" ht="24" customHeight="1">
      <c r="A578" s="29" t="inlineStr">
        <is>
          <t>2025-10-23</t>
        </is>
      </c>
      <c r="B578" s="31" t="n">
        <v>147400</v>
      </c>
      <c r="C578" s="31" t="n">
        <v>152900</v>
      </c>
      <c r="D578" s="31" t="n">
        <v>144700</v>
      </c>
      <c r="E578" s="31" t="n">
        <v>149500</v>
      </c>
      <c r="F578" s="31" t="n">
        <v>149038.21875</v>
      </c>
      <c r="G578" s="31" t="n">
        <v>993124</v>
      </c>
      <c r="H578" s="36" t="n">
        <v>-0.01320132013201325</v>
      </c>
      <c r="I578" s="36" t="n">
        <v>-0.208994708994709</v>
      </c>
      <c r="J578" s="31" t="n">
        <v>117655</v>
      </c>
      <c r="K578" s="31" t="n">
        <v>97533.33333333333</v>
      </c>
      <c r="L578" s="31" t="n">
        <v>92362.5</v>
      </c>
      <c r="M578" s="36" t="n">
        <v>0.8469518879706051</v>
      </c>
      <c r="N578" s="36" t="n">
        <v>0.6086644950423854</v>
      </c>
      <c r="O578" s="36" t="n">
        <v>0.6428571428571428</v>
      </c>
      <c r="P578" s="36" t="n">
        <v>0.7263279445727482</v>
      </c>
      <c r="Q578" s="36" t="n">
        <v>0.9959946595460614</v>
      </c>
      <c r="R578" s="36" t="n">
        <v>0.2706642301644639</v>
      </c>
      <c r="S578" s="36" t="n">
        <v>0.5328092959671908</v>
      </c>
      <c r="T578" s="36" t="n">
        <v>0.6186222763567466</v>
      </c>
      <c r="U578" s="31" t="n">
        <v>151500</v>
      </c>
      <c r="V578" s="31" t="n">
        <v>60200</v>
      </c>
      <c r="W578" s="36" t="n">
        <v>-0.01320132013201325</v>
      </c>
      <c r="X578" s="36" t="n">
        <v>1.483388704318937</v>
      </c>
      <c r="Y578" s="31" t="n">
        <v>95312200</v>
      </c>
      <c r="Z578" s="31" t="n">
        <v>14249173900000</v>
      </c>
      <c r="AA578" s="31" t="n">
        <v>148472038000</v>
      </c>
      <c r="AB578" s="31" t="n">
        <v>245668318735</v>
      </c>
      <c r="AC578" s="36" t="n">
        <v>0.01041969443575954</v>
      </c>
      <c r="AD578" s="29" t="inlineStr">
        <is>
          <t>yfinance_download</t>
        </is>
      </c>
      <c r="AE578" s="29" t="inlineStr">
        <is>
          <t>042700.KS</t>
        </is>
      </c>
    </row>
    <row r="579" ht="24" customHeight="1">
      <c r="A579" s="24" t="inlineStr">
        <is>
          <t>2025-10-24</t>
        </is>
      </c>
      <c r="B579" s="30" t="n">
        <v>155000</v>
      </c>
      <c r="C579" s="30" t="n">
        <v>155300</v>
      </c>
      <c r="D579" s="30" t="n">
        <v>147600</v>
      </c>
      <c r="E579" s="30" t="n">
        <v>149700</v>
      </c>
      <c r="F579" s="30" t="n">
        <v>149237.609375</v>
      </c>
      <c r="G579" s="30" t="n">
        <v>1585789</v>
      </c>
      <c r="H579" s="35" t="n">
        <v>0.001337792642140512</v>
      </c>
      <c r="I579" s="35" t="n">
        <v>-0.207936507936508</v>
      </c>
      <c r="J579" s="30" t="n">
        <v>120430</v>
      </c>
      <c r="K579" s="30" t="n">
        <v>98593.33333333333</v>
      </c>
      <c r="L579" s="30" t="n">
        <v>92896.66666666667</v>
      </c>
      <c r="M579" s="35" t="n">
        <v>0.8508083962700134</v>
      </c>
      <c r="N579" s="35" t="n">
        <v>0.6080600791779581</v>
      </c>
      <c r="O579" s="35" t="n">
        <v>0.589171974522293</v>
      </c>
      <c r="P579" s="35" t="n">
        <v>0.7386759581881532</v>
      </c>
      <c r="Q579" s="35" t="n">
        <v>0.7488317757009346</v>
      </c>
      <c r="R579" s="35" t="n">
        <v>0.2430457527194221</v>
      </c>
      <c r="S579" s="35" t="n">
        <v>0.5183582392318615</v>
      </c>
      <c r="T579" s="35" t="n">
        <v>0.6114679392873801</v>
      </c>
      <c r="U579" s="30" t="n">
        <v>151500</v>
      </c>
      <c r="V579" s="30" t="n">
        <v>60200</v>
      </c>
      <c r="W579" s="35" t="n">
        <v>-0.01188118811881189</v>
      </c>
      <c r="X579" s="35" t="n">
        <v>1.486710963455149</v>
      </c>
      <c r="Y579" s="30" t="n">
        <v>95312200</v>
      </c>
      <c r="Z579" s="30" t="n">
        <v>14268236340000</v>
      </c>
      <c r="AA579" s="30" t="n">
        <v>237392613300</v>
      </c>
      <c r="AB579" s="30" t="n">
        <v>252212239360</v>
      </c>
      <c r="AC579" s="35" t="n">
        <v>0.01663783859778706</v>
      </c>
      <c r="AD579" s="24" t="inlineStr">
        <is>
          <t>yfinance_download</t>
        </is>
      </c>
      <c r="AE579" s="24" t="inlineStr">
        <is>
          <t>042700.KS</t>
        </is>
      </c>
    </row>
    <row r="580" ht="24" customHeight="1">
      <c r="A580" s="29" t="inlineStr">
        <is>
          <t>2025-10-27</t>
        </is>
      </c>
      <c r="B580" s="31" t="n">
        <v>151900</v>
      </c>
      <c r="C580" s="31" t="n">
        <v>151900</v>
      </c>
      <c r="D580" s="31" t="n">
        <v>147700</v>
      </c>
      <c r="E580" s="31" t="n">
        <v>149600</v>
      </c>
      <c r="F580" s="31" t="n">
        <v>149137.90625</v>
      </c>
      <c r="G580" s="31" t="n">
        <v>1239881</v>
      </c>
      <c r="H580" s="36" t="n">
        <v>-0.0006680026720107257</v>
      </c>
      <c r="I580" s="36" t="n">
        <v>-0.2084656084656085</v>
      </c>
      <c r="J580" s="31" t="n">
        <v>123250</v>
      </c>
      <c r="K580" s="31" t="n">
        <v>99676.66666666667</v>
      </c>
      <c r="L580" s="31" t="n">
        <v>93449.16666666667</v>
      </c>
      <c r="M580" s="36" t="n">
        <v>0.8460509337194692</v>
      </c>
      <c r="N580" s="36" t="n">
        <v>0.6058044667531649</v>
      </c>
      <c r="O580" s="36" t="n">
        <v>0.6051502145922747</v>
      </c>
      <c r="P580" s="36" t="n">
        <v>0.7683215130023642</v>
      </c>
      <c r="Q580" s="36" t="n">
        <v>0.7959183673469388</v>
      </c>
      <c r="R580" s="36" t="n">
        <v>0.2137931034482758</v>
      </c>
      <c r="S580" s="36" t="n">
        <v>0.5008527572484365</v>
      </c>
      <c r="T580" s="36" t="n">
        <v>0.6008703484068878</v>
      </c>
      <c r="U580" s="31" t="n">
        <v>151500</v>
      </c>
      <c r="V580" s="31" t="n">
        <v>60200</v>
      </c>
      <c r="W580" s="36" t="n">
        <v>-0.01254125412541252</v>
      </c>
      <c r="X580" s="36" t="n">
        <v>1.485049833887043</v>
      </c>
      <c r="Y580" s="31" t="n">
        <v>95312200</v>
      </c>
      <c r="Z580" s="31" t="n">
        <v>14258705120000</v>
      </c>
      <c r="AA580" s="31" t="n">
        <v>185486197600</v>
      </c>
      <c r="AB580" s="31" t="n">
        <v>258733076400</v>
      </c>
      <c r="AC580" s="36" t="n">
        <v>0.01300862848617491</v>
      </c>
      <c r="AD580" s="29" t="inlineStr">
        <is>
          <t>yfinance_download</t>
        </is>
      </c>
      <c r="AE580" s="29" t="inlineStr">
        <is>
          <t>042700.KS</t>
        </is>
      </c>
    </row>
    <row r="581" ht="24" customHeight="1">
      <c r="A581" s="24" t="inlineStr">
        <is>
          <t>2025-10-28</t>
        </is>
      </c>
      <c r="B581" s="30" t="n">
        <v>148500</v>
      </c>
      <c r="C581" s="30" t="n">
        <v>148600</v>
      </c>
      <c r="D581" s="30" t="n">
        <v>141100</v>
      </c>
      <c r="E581" s="30" t="n">
        <v>143100</v>
      </c>
      <c r="F581" s="30" t="n">
        <v>142657.984375</v>
      </c>
      <c r="G581" s="30" t="n">
        <v>1551949</v>
      </c>
      <c r="H581" s="35" t="n">
        <v>-0.04344919786096257</v>
      </c>
      <c r="I581" s="35" t="n">
        <v>-0.2428571428571429</v>
      </c>
      <c r="J581" s="30" t="n">
        <v>125605</v>
      </c>
      <c r="K581" s="30" t="n">
        <v>100633.3333333333</v>
      </c>
      <c r="L581" s="30" t="n">
        <v>93954.16666666667</v>
      </c>
      <c r="M581" s="35" t="n">
        <v>0.8800081516833379</v>
      </c>
      <c r="N581" s="35" t="n">
        <v>0.6156661473917866</v>
      </c>
      <c r="O581" s="35" t="n">
        <v>0.4906250000000001</v>
      </c>
      <c r="P581" s="35" t="n">
        <v>0.6697782963827306</v>
      </c>
      <c r="Q581" s="35" t="n">
        <v>0.7345454545454546</v>
      </c>
      <c r="R581" s="35" t="n">
        <v>0.139285856454759</v>
      </c>
      <c r="S581" s="35" t="n">
        <v>0.421994037760848</v>
      </c>
      <c r="T581" s="35" t="n">
        <v>0.5230830635504899</v>
      </c>
      <c r="U581" s="30" t="n">
        <v>151500</v>
      </c>
      <c r="V581" s="30" t="n">
        <v>60200</v>
      </c>
      <c r="W581" s="35" t="n">
        <v>-0.05544554455445549</v>
      </c>
      <c r="X581" s="35" t="n">
        <v>1.377076411960133</v>
      </c>
      <c r="Y581" s="30" t="n">
        <v>95312200</v>
      </c>
      <c r="Z581" s="30" t="n">
        <v>13639175820000</v>
      </c>
      <c r="AA581" s="30" t="n">
        <v>222083901900</v>
      </c>
      <c r="AB581" s="30" t="n">
        <v>264747692295</v>
      </c>
      <c r="AC581" s="35" t="n">
        <v>0.01628279485732152</v>
      </c>
      <c r="AD581" s="24" t="inlineStr">
        <is>
          <t>yfinance_download</t>
        </is>
      </c>
      <c r="AE581" s="24" t="inlineStr">
        <is>
          <t>042700.KS</t>
        </is>
      </c>
    </row>
    <row r="582" ht="24" customHeight="1">
      <c r="A582" s="29" t="inlineStr">
        <is>
          <t>2025-10-29</t>
        </is>
      </c>
      <c r="B582" s="31" t="n">
        <v>145700</v>
      </c>
      <c r="C582" s="31" t="n">
        <v>146200</v>
      </c>
      <c r="D582" s="31" t="n">
        <v>133300</v>
      </c>
      <c r="E582" s="31" t="n">
        <v>138200</v>
      </c>
      <c r="F582" s="31" t="n">
        <v>137773.125</v>
      </c>
      <c r="G582" s="31" t="n">
        <v>3342217</v>
      </c>
      <c r="H582" s="36" t="n">
        <v>-0.03424178895877006</v>
      </c>
      <c r="I582" s="36" t="n">
        <v>-0.2687830687830688</v>
      </c>
      <c r="J582" s="31" t="n">
        <v>127705</v>
      </c>
      <c r="K582" s="31" t="n">
        <v>101516.6666666667</v>
      </c>
      <c r="L582" s="31" t="n">
        <v>94473.33333333333</v>
      </c>
      <c r="M582" s="36" t="n">
        <v>0.8998743432838384</v>
      </c>
      <c r="N582" s="36" t="n">
        <v>0.6213720324781258</v>
      </c>
      <c r="O582" s="36" t="n">
        <v>0.4365904365904365</v>
      </c>
      <c r="P582" s="36" t="n">
        <v>0.6220657276995305</v>
      </c>
      <c r="Q582" s="36" t="n">
        <v>0.8208168642951252</v>
      </c>
      <c r="R582" s="36" t="n">
        <v>0.08218159038408834</v>
      </c>
      <c r="S582" s="36" t="n">
        <v>0.3613528156296173</v>
      </c>
      <c r="T582" s="36" t="n">
        <v>0.4628466586691131</v>
      </c>
      <c r="U582" s="31" t="n">
        <v>151500</v>
      </c>
      <c r="V582" s="31" t="n">
        <v>60200</v>
      </c>
      <c r="W582" s="36" t="n">
        <v>-0.08778877887788783</v>
      </c>
      <c r="X582" s="36" t="n">
        <v>1.295681063122923</v>
      </c>
      <c r="Y582" s="31" t="n">
        <v>95312200</v>
      </c>
      <c r="Z582" s="31" t="n">
        <v>13172146040000</v>
      </c>
      <c r="AA582" s="31" t="n">
        <v>461894389400</v>
      </c>
      <c r="AB582" s="31" t="n">
        <v>284095190885</v>
      </c>
      <c r="AC582" s="36" t="n">
        <v>0.03506599365034067</v>
      </c>
      <c r="AD582" s="29" t="inlineStr">
        <is>
          <t>yfinance_download</t>
        </is>
      </c>
      <c r="AE582" s="29" t="inlineStr">
        <is>
          <t>042700.KS</t>
        </is>
      </c>
    </row>
    <row r="583" ht="24" customHeight="1">
      <c r="A583" s="24" t="inlineStr">
        <is>
          <t>2025-10-30</t>
        </is>
      </c>
      <c r="B583" s="30" t="n">
        <v>138800</v>
      </c>
      <c r="C583" s="30" t="n">
        <v>147300</v>
      </c>
      <c r="D583" s="30" t="n">
        <v>138800</v>
      </c>
      <c r="E583" s="30" t="n">
        <v>143500</v>
      </c>
      <c r="F583" s="30" t="n">
        <v>143056.75</v>
      </c>
      <c r="G583" s="30" t="n">
        <v>2231637</v>
      </c>
      <c r="H583" s="35" t="n">
        <v>0.0383502170767005</v>
      </c>
      <c r="I583" s="35" t="n">
        <v>-0.2407407407407407</v>
      </c>
      <c r="J583" s="30" t="n">
        <v>130175</v>
      </c>
      <c r="K583" s="30" t="n">
        <v>102501.6666666667</v>
      </c>
      <c r="L583" s="30" t="n">
        <v>95025.83333333333</v>
      </c>
      <c r="M583" s="35" t="n">
        <v>0.8883109012348973</v>
      </c>
      <c r="N583" s="35" t="n">
        <v>0.6230991668605069</v>
      </c>
      <c r="O583" s="35" t="n">
        <v>0.5249734325185973</v>
      </c>
      <c r="P583" s="35" t="n">
        <v>0.7002369668246446</v>
      </c>
      <c r="Q583" s="35" t="n">
        <v>0.8588082901554404</v>
      </c>
      <c r="R583" s="35" t="n">
        <v>0.1023622047244095</v>
      </c>
      <c r="S583" s="35" t="n">
        <v>0.3999772361425016</v>
      </c>
      <c r="T583" s="35" t="n">
        <v>0.5101156703001817</v>
      </c>
      <c r="U583" s="30" t="n">
        <v>151500</v>
      </c>
      <c r="V583" s="30" t="n">
        <v>60200</v>
      </c>
      <c r="W583" s="35" t="n">
        <v>-0.05280528052805278</v>
      </c>
      <c r="X583" s="35" t="n">
        <v>1.383720930232558</v>
      </c>
      <c r="Y583" s="30" t="n">
        <v>95312200</v>
      </c>
      <c r="Z583" s="30" t="n">
        <v>13677300700000</v>
      </c>
      <c r="AA583" s="30" t="n">
        <v>320239909500</v>
      </c>
      <c r="AB583" s="30" t="n">
        <v>297226503060</v>
      </c>
      <c r="AC583" s="35" t="n">
        <v>0.02341397008987307</v>
      </c>
      <c r="AD583" s="24" t="inlineStr">
        <is>
          <t>yfinance_download</t>
        </is>
      </c>
      <c r="AE583" s="24" t="inlineStr">
        <is>
          <t>042700.KS</t>
        </is>
      </c>
    </row>
    <row r="584" ht="24" customHeight="1">
      <c r="A584" s="29" t="inlineStr">
        <is>
          <t>2025-10-31</t>
        </is>
      </c>
      <c r="B584" s="31" t="n">
        <v>140200</v>
      </c>
      <c r="C584" s="31" t="n">
        <v>144800</v>
      </c>
      <c r="D584" s="31" t="n">
        <v>139600</v>
      </c>
      <c r="E584" s="31" t="n">
        <v>143700</v>
      </c>
      <c r="F584" s="31" t="n">
        <v>143256.140625</v>
      </c>
      <c r="G584" s="31" t="n">
        <v>999434</v>
      </c>
      <c r="H584" s="36" t="n">
        <v>0.001393728222996549</v>
      </c>
      <c r="I584" s="36" t="n">
        <v>-0.2396825396825397</v>
      </c>
      <c r="J584" s="31" t="n">
        <v>132870</v>
      </c>
      <c r="K584" s="31" t="n">
        <v>103465</v>
      </c>
      <c r="L584" s="31" t="n">
        <v>95589.16666666667</v>
      </c>
      <c r="M584" s="36" t="n">
        <v>0.8553238785866164</v>
      </c>
      <c r="N584" s="36" t="n">
        <v>0.6230865927426676</v>
      </c>
      <c r="O584" s="36" t="n">
        <v>0.6002227171492205</v>
      </c>
      <c r="P584" s="36" t="n">
        <v>0.6728754365541327</v>
      </c>
      <c r="Q584" s="36" t="n">
        <v>0.8883048620236531</v>
      </c>
      <c r="R584" s="36" t="n">
        <v>0.08150824113795441</v>
      </c>
      <c r="S584" s="36" t="n">
        <v>0.3888754651331368</v>
      </c>
      <c r="T584" s="36" t="n">
        <v>0.5033084293024837</v>
      </c>
      <c r="U584" s="31" t="n">
        <v>151500</v>
      </c>
      <c r="V584" s="31" t="n">
        <v>60200</v>
      </c>
      <c r="W584" s="36" t="n">
        <v>-0.05148514851485153</v>
      </c>
      <c r="X584" s="36" t="n">
        <v>1.387043189368771</v>
      </c>
      <c r="Y584" s="31" t="n">
        <v>95312200</v>
      </c>
      <c r="Z584" s="31" t="n">
        <v>13696363140000</v>
      </c>
      <c r="AA584" s="31" t="n">
        <v>143618665800</v>
      </c>
      <c r="AB584" s="31" t="n">
        <v>301335481620</v>
      </c>
      <c r="AC584" s="36" t="n">
        <v>0.01048589792282625</v>
      </c>
      <c r="AD584" s="29" t="inlineStr">
        <is>
          <t>yfinance_download</t>
        </is>
      </c>
      <c r="AE584" s="29" t="inlineStr">
        <is>
          <t>042700.KS</t>
        </is>
      </c>
    </row>
    <row r="585" ht="24" customHeight="1">
      <c r="A585" s="24" t="inlineStr">
        <is>
          <t>2025-11-03</t>
        </is>
      </c>
      <c r="B585" s="30" t="n">
        <v>141900</v>
      </c>
      <c r="C585" s="30" t="n">
        <v>143700</v>
      </c>
      <c r="D585" s="30" t="n">
        <v>138400</v>
      </c>
      <c r="E585" s="30" t="n">
        <v>141600</v>
      </c>
      <c r="F585" s="30" t="n">
        <v>141162.625</v>
      </c>
      <c r="G585" s="30" t="n">
        <v>1340881</v>
      </c>
      <c r="H585" s="35" t="n">
        <v>-0.01461377870563674</v>
      </c>
      <c r="I585" s="35" t="n">
        <v>-0.2507936507936508</v>
      </c>
      <c r="J585" s="30" t="n">
        <v>135375</v>
      </c>
      <c r="K585" s="30" t="n">
        <v>104293.3333333333</v>
      </c>
      <c r="L585" s="30" t="n">
        <v>96133.33333333333</v>
      </c>
      <c r="M585" s="35" t="n">
        <v>0.8667305458238266</v>
      </c>
      <c r="N585" s="35" t="n">
        <v>0.6119949700908829</v>
      </c>
      <c r="O585" s="35" t="n">
        <v>0.5475409836065575</v>
      </c>
      <c r="P585" s="35" t="n">
        <v>0.5408052230685527</v>
      </c>
      <c r="Q585" s="35" t="n">
        <v>0.8558322411533421</v>
      </c>
      <c r="R585" s="35" t="n">
        <v>0.04598337950138509</v>
      </c>
      <c r="S585" s="35" t="n">
        <v>0.3577090258245974</v>
      </c>
      <c r="T585" s="35" t="n">
        <v>0.4729542302357836</v>
      </c>
      <c r="U585" s="30" t="n">
        <v>151500</v>
      </c>
      <c r="V585" s="30" t="n">
        <v>60200</v>
      </c>
      <c r="W585" s="35" t="n">
        <v>-0.06534653465346529</v>
      </c>
      <c r="X585" s="35" t="n">
        <v>1.352159468438538</v>
      </c>
      <c r="Y585" s="30" t="n">
        <v>95312200</v>
      </c>
      <c r="Z585" s="30" t="n">
        <v>13496207520000</v>
      </c>
      <c r="AA585" s="30" t="n">
        <v>189868749600</v>
      </c>
      <c r="AB585" s="30" t="n">
        <v>308040200400</v>
      </c>
      <c r="AC585" s="35" t="n">
        <v>0.01406830395269441</v>
      </c>
      <c r="AD585" s="24" t="inlineStr">
        <is>
          <t>yfinance_download</t>
        </is>
      </c>
      <c r="AE585" s="24" t="inlineStr">
        <is>
          <t>042700.KS</t>
        </is>
      </c>
    </row>
    <row r="586" ht="24" customHeight="1">
      <c r="A586" s="29" t="inlineStr">
        <is>
          <t>2025-11-04</t>
        </is>
      </c>
      <c r="B586" s="31" t="n">
        <v>146600</v>
      </c>
      <c r="C586" s="31" t="n">
        <v>148900</v>
      </c>
      <c r="D586" s="31" t="n">
        <v>139200</v>
      </c>
      <c r="E586" s="31" t="n">
        <v>139700</v>
      </c>
      <c r="F586" s="31" t="n">
        <v>139268.484375</v>
      </c>
      <c r="G586" s="31" t="n">
        <v>1396983</v>
      </c>
      <c r="H586" s="36" t="n">
        <v>-0.0134180790960452</v>
      </c>
      <c r="I586" s="36" t="n">
        <v>-0.2608465608465609</v>
      </c>
      <c r="J586" s="31" t="n">
        <v>137535</v>
      </c>
      <c r="K586" s="31" t="n">
        <v>105175</v>
      </c>
      <c r="L586" s="31" t="n">
        <v>96650</v>
      </c>
      <c r="M586" s="36" t="n">
        <v>0.8678548994461803</v>
      </c>
      <c r="N586" s="36" t="n">
        <v>0.5993142564456314</v>
      </c>
      <c r="O586" s="36" t="n">
        <v>0.4476683937823833</v>
      </c>
      <c r="P586" s="36" t="n">
        <v>0.6094470046082949</v>
      </c>
      <c r="Q586" s="36" t="n">
        <v>0.797940797940798</v>
      </c>
      <c r="R586" s="36" t="n">
        <v>0.01574144763151208</v>
      </c>
      <c r="S586" s="36" t="n">
        <v>0.3282624197765629</v>
      </c>
      <c r="T586" s="36" t="n">
        <v>0.4454216244180031</v>
      </c>
      <c r="U586" s="31" t="n">
        <v>151500</v>
      </c>
      <c r="V586" s="31" t="n">
        <v>60200</v>
      </c>
      <c r="W586" s="36" t="n">
        <v>-0.07788778877887792</v>
      </c>
      <c r="X586" s="36" t="n">
        <v>1.320598006644518</v>
      </c>
      <c r="Y586" s="31" t="n">
        <v>95312200</v>
      </c>
      <c r="Z586" s="31" t="n">
        <v>13315114340000</v>
      </c>
      <c r="AA586" s="31" t="n">
        <v>195158525100</v>
      </c>
      <c r="AB586" s="31" t="n">
        <v>308203305355</v>
      </c>
      <c r="AC586" s="36" t="n">
        <v>0.01465691695291893</v>
      </c>
      <c r="AD586" s="29" t="inlineStr">
        <is>
          <t>yfinance_download</t>
        </is>
      </c>
      <c r="AE586" s="29" t="inlineStr">
        <is>
          <t>042700.KS</t>
        </is>
      </c>
    </row>
    <row r="587" ht="24" customHeight="1">
      <c r="A587" s="24" t="inlineStr">
        <is>
          <t>2025-11-05</t>
        </is>
      </c>
      <c r="B587" s="30" t="n">
        <v>132700</v>
      </c>
      <c r="C587" s="30" t="n">
        <v>136100</v>
      </c>
      <c r="D587" s="30" t="n">
        <v>125900</v>
      </c>
      <c r="E587" s="30" t="n">
        <v>133100</v>
      </c>
      <c r="F587" s="30" t="n">
        <v>132688.875</v>
      </c>
      <c r="G587" s="30" t="n">
        <v>3124821</v>
      </c>
      <c r="H587" s="35" t="n">
        <v>-0.047244094488189</v>
      </c>
      <c r="I587" s="35" t="n">
        <v>-0.2957671957671958</v>
      </c>
      <c r="J587" s="30" t="n">
        <v>139445</v>
      </c>
      <c r="K587" s="30" t="n">
        <v>105946.6666666667</v>
      </c>
      <c r="L587" s="30" t="n">
        <v>97105</v>
      </c>
      <c r="M587" s="35" t="n">
        <v>0.8914972364252226</v>
      </c>
      <c r="N587" s="35" t="n">
        <v>0.6099460152187052</v>
      </c>
      <c r="O587" s="35" t="n">
        <v>0.4025289778714436</v>
      </c>
      <c r="P587" s="35" t="n">
        <v>0.5334101382488479</v>
      </c>
      <c r="Q587" s="35" t="n">
        <v>0.6955414012738854</v>
      </c>
      <c r="R587" s="35" t="n">
        <v>-0.04550181074975801</v>
      </c>
      <c r="S587" s="35" t="n">
        <v>0.2562924742008557</v>
      </c>
      <c r="T587" s="35" t="n">
        <v>0.3706812213583235</v>
      </c>
      <c r="U587" s="30" t="n">
        <v>151500</v>
      </c>
      <c r="V587" s="30" t="n">
        <v>60200</v>
      </c>
      <c r="W587" s="35" t="n">
        <v>-0.1214521452145214</v>
      </c>
      <c r="X587" s="35" t="n">
        <v>1.210963455149502</v>
      </c>
      <c r="Y587" s="30" t="n">
        <v>95312200</v>
      </c>
      <c r="Z587" s="30" t="n">
        <v>12686053820000</v>
      </c>
      <c r="AA587" s="30" t="n">
        <v>415913675100</v>
      </c>
      <c r="AB587" s="30" t="n">
        <v>324536833815</v>
      </c>
      <c r="AC587" s="35" t="n">
        <v>0.03278511040559341</v>
      </c>
      <c r="AD587" s="24" t="inlineStr">
        <is>
          <t>yfinance_download</t>
        </is>
      </c>
      <c r="AE587" s="24" t="inlineStr">
        <is>
          <t>042700.KS</t>
        </is>
      </c>
    </row>
    <row r="588" ht="24" customHeight="1">
      <c r="A588" s="29" t="inlineStr">
        <is>
          <t>2025-11-06</t>
        </is>
      </c>
      <c r="B588" s="31" t="n">
        <v>136900</v>
      </c>
      <c r="C588" s="31" t="n">
        <v>136900</v>
      </c>
      <c r="D588" s="31" t="n">
        <v>126700</v>
      </c>
      <c r="E588" s="31" t="n">
        <v>129000</v>
      </c>
      <c r="F588" s="31" t="n">
        <v>128601.5390625</v>
      </c>
      <c r="G588" s="31" t="n">
        <v>1920651</v>
      </c>
      <c r="H588" s="36" t="n">
        <v>-0.03080390683696466</v>
      </c>
      <c r="I588" s="36" t="n">
        <v>-0.3174603174603174</v>
      </c>
      <c r="J588" s="31" t="n">
        <v>140885</v>
      </c>
      <c r="K588" s="31" t="n">
        <v>106631.6666666667</v>
      </c>
      <c r="L588" s="31" t="n">
        <v>97535</v>
      </c>
      <c r="M588" s="36" t="n">
        <v>0.8963446241151966</v>
      </c>
      <c r="N588" s="36" t="n">
        <v>0.6149622008785141</v>
      </c>
      <c r="O588" s="36" t="n">
        <v>0.2874251497005988</v>
      </c>
      <c r="P588" s="36" t="n">
        <v>0.4675767918088738</v>
      </c>
      <c r="Q588" s="36" t="n">
        <v>0.6666666666666667</v>
      </c>
      <c r="R588" s="36" t="n">
        <v>-0.08435958405791955</v>
      </c>
      <c r="S588" s="36" t="n">
        <v>0.2097719564232012</v>
      </c>
      <c r="T588" s="36" t="n">
        <v>0.3226021428205259</v>
      </c>
      <c r="U588" s="31" t="n">
        <v>151500</v>
      </c>
      <c r="V588" s="31" t="n">
        <v>60200</v>
      </c>
      <c r="W588" s="36" t="n">
        <v>-0.1485148514851485</v>
      </c>
      <c r="X588" s="36" t="n">
        <v>1.142857142857143</v>
      </c>
      <c r="Y588" s="31" t="n">
        <v>95312200</v>
      </c>
      <c r="Z588" s="31" t="n">
        <v>12295273800000</v>
      </c>
      <c r="AA588" s="31" t="n">
        <v>247763979000</v>
      </c>
      <c r="AB588" s="31" t="n">
        <v>319526620395</v>
      </c>
      <c r="AC588" s="36" t="n">
        <v>0.02015115588560541</v>
      </c>
      <c r="AD588" s="29" t="inlineStr">
        <is>
          <t>yfinance_download</t>
        </is>
      </c>
      <c r="AE588" s="29" t="inlineStr">
        <is>
          <t>042700.KS</t>
        </is>
      </c>
    </row>
    <row r="589" ht="24" customHeight="1">
      <c r="A589" s="24" t="inlineStr">
        <is>
          <t>2025-11-07</t>
        </is>
      </c>
      <c r="B589" s="30" t="n">
        <v>125000</v>
      </c>
      <c r="C589" s="30" t="n">
        <v>133000</v>
      </c>
      <c r="D589" s="30" t="n">
        <v>124400</v>
      </c>
      <c r="E589" s="30" t="n">
        <v>127200</v>
      </c>
      <c r="F589" s="30" t="n">
        <v>126807.1015625</v>
      </c>
      <c r="G589" s="30" t="n">
        <v>1620158</v>
      </c>
      <c r="H589" s="35" t="n">
        <v>-0.01395348837209298</v>
      </c>
      <c r="I589" s="35" t="n">
        <v>-0.3269841269841269</v>
      </c>
      <c r="J589" s="30" t="n">
        <v>141290</v>
      </c>
      <c r="K589" s="30" t="n">
        <v>107278.3333333333</v>
      </c>
      <c r="L589" s="30" t="n">
        <v>97903.33333333333</v>
      </c>
      <c r="M589" s="35" t="n">
        <v>0.6187299223746653</v>
      </c>
      <c r="N589" s="35" t="n">
        <v>0.6164725874377144</v>
      </c>
      <c r="O589" s="35" t="n">
        <v>0.06801007556675054</v>
      </c>
      <c r="P589" s="35" t="n">
        <v>0.4389140271493213</v>
      </c>
      <c r="Q589" s="35" t="n">
        <v>0.5325301204819277</v>
      </c>
      <c r="R589" s="35" t="n">
        <v>-0.09972397197253879</v>
      </c>
      <c r="S589" s="35" t="n">
        <v>0.1857007472773315</v>
      </c>
      <c r="T589" s="35" t="n">
        <v>0.2992407476762793</v>
      </c>
      <c r="U589" s="30" t="n">
        <v>151500</v>
      </c>
      <c r="V589" s="30" t="n">
        <v>60200</v>
      </c>
      <c r="W589" s="35" t="n">
        <v>-0.1603960396039604</v>
      </c>
      <c r="X589" s="35" t="n">
        <v>1.112956810631229</v>
      </c>
      <c r="Y589" s="30" t="n">
        <v>95312200</v>
      </c>
      <c r="Z589" s="30" t="n">
        <v>12123711840000</v>
      </c>
      <c r="AA589" s="30" t="n">
        <v>206084097600</v>
      </c>
      <c r="AB589" s="30" t="n">
        <v>301020130335</v>
      </c>
      <c r="AC589" s="35" t="n">
        <v>0.01699843251965645</v>
      </c>
      <c r="AD589" s="24" t="inlineStr">
        <is>
          <t>yfinance_download</t>
        </is>
      </c>
      <c r="AE589" s="24" t="inlineStr">
        <is>
          <t>042700.KS</t>
        </is>
      </c>
    </row>
    <row r="590" ht="24" customHeight="1">
      <c r="A590" s="29" t="inlineStr">
        <is>
          <t>2025-11-10</t>
        </is>
      </c>
      <c r="B590" s="31" t="n">
        <v>128000</v>
      </c>
      <c r="C590" s="31" t="n">
        <v>131500</v>
      </c>
      <c r="D590" s="31" t="n">
        <v>124000</v>
      </c>
      <c r="E590" s="31" t="n">
        <v>129600</v>
      </c>
      <c r="F590" s="31" t="n">
        <v>129199.6875</v>
      </c>
      <c r="G590" s="31" t="n">
        <v>1279087</v>
      </c>
      <c r="H590" s="36" t="n">
        <v>0.01886792452830188</v>
      </c>
      <c r="I590" s="36" t="n">
        <v>-0.3142857142857143</v>
      </c>
      <c r="J590" s="31" t="n">
        <v>141370</v>
      </c>
      <c r="K590" s="31" t="n">
        <v>107980</v>
      </c>
      <c r="L590" s="31" t="n">
        <v>98308.33333333333</v>
      </c>
      <c r="M590" s="36" t="n">
        <v>0.5633284154819049</v>
      </c>
      <c r="N590" s="36" t="n">
        <v>0.615931465775382</v>
      </c>
      <c r="O590" s="36" t="n">
        <v>0.01249999999999996</v>
      </c>
      <c r="P590" s="36" t="n">
        <v>0.4811428571428571</v>
      </c>
      <c r="Q590" s="36" t="n">
        <v>0.6000000000000001</v>
      </c>
      <c r="R590" s="36" t="n">
        <v>-0.08325670227063731</v>
      </c>
      <c r="S590" s="36" t="n">
        <v>0.2002222633821078</v>
      </c>
      <c r="T590" s="36" t="n">
        <v>0.3183012630329745</v>
      </c>
      <c r="U590" s="31" t="n">
        <v>151500</v>
      </c>
      <c r="V590" s="31" t="n">
        <v>60200</v>
      </c>
      <c r="W590" s="36" t="n">
        <v>-0.1445544554455446</v>
      </c>
      <c r="X590" s="36" t="n">
        <v>1.152823920265781</v>
      </c>
      <c r="Y590" s="31" t="n">
        <v>95312200</v>
      </c>
      <c r="Z590" s="31" t="n">
        <v>12352461120000</v>
      </c>
      <c r="AA590" s="31" t="n">
        <v>165769675200</v>
      </c>
      <c r="AB590" s="31" t="n">
        <v>281633983695</v>
      </c>
      <c r="AC590" s="36" t="n">
        <v>0.01341997142023791</v>
      </c>
      <c r="AD590" s="29" t="inlineStr">
        <is>
          <t>yfinance_download</t>
        </is>
      </c>
      <c r="AE590" s="29" t="inlineStr">
        <is>
          <t>042700.KS</t>
        </is>
      </c>
    </row>
    <row r="591" ht="24" customHeight="1">
      <c r="A591" s="24" t="inlineStr">
        <is>
          <t>2025-11-11</t>
        </is>
      </c>
      <c r="B591" s="30" t="n">
        <v>131100</v>
      </c>
      <c r="C591" s="30" t="n">
        <v>133700</v>
      </c>
      <c r="D591" s="30" t="n">
        <v>127600</v>
      </c>
      <c r="E591" s="30" t="n">
        <v>129700</v>
      </c>
      <c r="F591" s="30" t="n">
        <v>129299.375</v>
      </c>
      <c r="G591" s="30" t="n">
        <v>1245649</v>
      </c>
      <c r="H591" s="35" t="n">
        <v>0.0007716049382715529</v>
      </c>
      <c r="I591" s="35" t="n">
        <v>-0.3137566137566138</v>
      </c>
      <c r="J591" s="30" t="n">
        <v>141420</v>
      </c>
      <c r="K591" s="30" t="n">
        <v>108691.6666666667</v>
      </c>
      <c r="L591" s="30" t="n">
        <v>98690.83333333333</v>
      </c>
      <c r="M591" s="35" t="n">
        <v>0.5631035210909449</v>
      </c>
      <c r="N591" s="35" t="n">
        <v>0.6154906113774099</v>
      </c>
      <c r="O591" s="35" t="n">
        <v>0.007770007770007803</v>
      </c>
      <c r="P591" s="35" t="n">
        <v>0.4908045977011495</v>
      </c>
      <c r="Q591" s="35" t="n">
        <v>0.5477326968973748</v>
      </c>
      <c r="R591" s="35" t="n">
        <v>-0.08287370951774853</v>
      </c>
      <c r="S591" s="35" t="n">
        <v>0.1932837537376371</v>
      </c>
      <c r="T591" s="35" t="n">
        <v>0.3142051355664577</v>
      </c>
      <c r="U591" s="30" t="n">
        <v>151500</v>
      </c>
      <c r="V591" s="30" t="n">
        <v>60200</v>
      </c>
      <c r="W591" s="35" t="n">
        <v>-0.1438943894389439</v>
      </c>
      <c r="X591" s="35" t="n">
        <v>1.154485049833887</v>
      </c>
      <c r="Y591" s="30" t="n">
        <v>95312200</v>
      </c>
      <c r="Z591" s="30" t="n">
        <v>12361992340000</v>
      </c>
      <c r="AA591" s="30" t="n">
        <v>161560675300</v>
      </c>
      <c r="AB591" s="30" t="n">
        <v>268785075710</v>
      </c>
      <c r="AC591" s="35" t="n">
        <v>0.01306914539796584</v>
      </c>
      <c r="AD591" s="24" t="inlineStr">
        <is>
          <t>yfinance_download</t>
        </is>
      </c>
      <c r="AE591" s="24" t="inlineStr">
        <is>
          <t>042700.KS</t>
        </is>
      </c>
    </row>
    <row r="592" ht="24" customHeight="1">
      <c r="A592" s="29" t="inlineStr">
        <is>
          <t>2025-11-12</t>
        </is>
      </c>
      <c r="B592" s="31" t="n">
        <v>129500</v>
      </c>
      <c r="C592" s="31" t="n">
        <v>134500</v>
      </c>
      <c r="D592" s="31" t="n">
        <v>127300</v>
      </c>
      <c r="E592" s="31" t="n">
        <v>131100</v>
      </c>
      <c r="F592" s="31" t="n">
        <v>130695.0546875</v>
      </c>
      <c r="G592" s="31" t="n">
        <v>1115875</v>
      </c>
      <c r="H592" s="36" t="n">
        <v>0.01079414032382431</v>
      </c>
      <c r="I592" s="36" t="n">
        <v>-0.3063492063492064</v>
      </c>
      <c r="J592" s="31" t="n">
        <v>140875</v>
      </c>
      <c r="K592" s="31" t="n">
        <v>109366.6666666667</v>
      </c>
      <c r="L592" s="31" t="n">
        <v>99100.83333333333</v>
      </c>
      <c r="M592" s="36" t="n">
        <v>0.4167600179986458</v>
      </c>
      <c r="N592" s="36" t="n">
        <v>0.6114530881370663</v>
      </c>
      <c r="O592" s="36" t="n">
        <v>-0.0767605633802817</v>
      </c>
      <c r="P592" s="36" t="n">
        <v>0.4470198675496688</v>
      </c>
      <c r="Q592" s="36" t="n">
        <v>0.6007326007326008</v>
      </c>
      <c r="R592" s="36" t="n">
        <v>-0.06938775510204087</v>
      </c>
      <c r="S592" s="36" t="n">
        <v>0.1987199024687594</v>
      </c>
      <c r="T592" s="36" t="n">
        <v>0.3228950311551366</v>
      </c>
      <c r="U592" s="31" t="n">
        <v>151500</v>
      </c>
      <c r="V592" s="31" t="n">
        <v>60200</v>
      </c>
      <c r="W592" s="36" t="n">
        <v>-0.1346534653465347</v>
      </c>
      <c r="X592" s="36" t="n">
        <v>1.177740863787375</v>
      </c>
      <c r="Y592" s="31" t="n">
        <v>95312200</v>
      </c>
      <c r="Z592" s="31" t="n">
        <v>12495429420000</v>
      </c>
      <c r="AA592" s="31" t="n">
        <v>146291212500</v>
      </c>
      <c r="AB592" s="31" t="n">
        <v>252572146235</v>
      </c>
      <c r="AC592" s="36" t="n">
        <v>0.01170757783368761</v>
      </c>
      <c r="AD592" s="29" t="inlineStr">
        <is>
          <t>yfinance_download</t>
        </is>
      </c>
      <c r="AE592" s="29" t="inlineStr">
        <is>
          <t>042700.KS</t>
        </is>
      </c>
    </row>
    <row r="593" ht="24" customHeight="1">
      <c r="A593" s="24" t="inlineStr">
        <is>
          <t>2025-11-13</t>
        </is>
      </c>
      <c r="B593" s="30" t="n">
        <v>131300</v>
      </c>
      <c r="C593" s="30" t="n">
        <v>133500</v>
      </c>
      <c r="D593" s="30" t="n">
        <v>128200</v>
      </c>
      <c r="E593" s="30" t="n">
        <v>133500</v>
      </c>
      <c r="F593" s="30" t="n">
        <v>133087.640625</v>
      </c>
      <c r="G593" s="30" t="n">
        <v>1001104</v>
      </c>
      <c r="H593" s="35" t="n">
        <v>0.01830663615560635</v>
      </c>
      <c r="I593" s="35" t="n">
        <v>-0.2936507936507936</v>
      </c>
      <c r="J593" s="30" t="n">
        <v>140225</v>
      </c>
      <c r="K593" s="30" t="n">
        <v>110100</v>
      </c>
      <c r="L593" s="30" t="n">
        <v>99450.83333333333</v>
      </c>
      <c r="M593" s="35" t="n">
        <v>0.4042236543464365</v>
      </c>
      <c r="N593" s="35" t="n">
        <v>0.6105927163932153</v>
      </c>
      <c r="O593" s="35" t="n">
        <v>-0.0887372013651877</v>
      </c>
      <c r="P593" s="35" t="n">
        <v>0.4916201117318435</v>
      </c>
      <c r="Q593" s="35" t="n">
        <v>0.459016393442623</v>
      </c>
      <c r="R593" s="35" t="n">
        <v>-0.04795863790336963</v>
      </c>
      <c r="S593" s="35" t="n">
        <v>0.2125340599455041</v>
      </c>
      <c r="T593" s="35" t="n">
        <v>0.342371858791195</v>
      </c>
      <c r="U593" s="30" t="n">
        <v>151500</v>
      </c>
      <c r="V593" s="30" t="n">
        <v>60200</v>
      </c>
      <c r="W593" s="35" t="n">
        <v>-0.1188118811881188</v>
      </c>
      <c r="X593" s="35" t="n">
        <v>1.217607973421927</v>
      </c>
      <c r="Y593" s="30" t="n">
        <v>95312200</v>
      </c>
      <c r="Z593" s="30" t="n">
        <v>12724178700000</v>
      </c>
      <c r="AA593" s="30" t="n">
        <v>133647384000</v>
      </c>
      <c r="AB593" s="30" t="n">
        <v>241006094535</v>
      </c>
      <c r="AC593" s="35" t="n">
        <v>0.01050341928945088</v>
      </c>
      <c r="AD593" s="24" t="inlineStr">
        <is>
          <t>yfinance_download</t>
        </is>
      </c>
      <c r="AE593" s="24" t="inlineStr">
        <is>
          <t>042700.KS</t>
        </is>
      </c>
    </row>
    <row r="594" ht="24" customHeight="1">
      <c r="A594" s="29" t="inlineStr">
        <is>
          <t>2025-11-14</t>
        </is>
      </c>
      <c r="B594" s="31" t="n">
        <v>129100</v>
      </c>
      <c r="C594" s="31" t="n">
        <v>129100</v>
      </c>
      <c r="D594" s="31" t="n">
        <v>125300</v>
      </c>
      <c r="E594" s="31" t="n">
        <v>125600</v>
      </c>
      <c r="F594" s="31" t="n">
        <v>125212.0390625</v>
      </c>
      <c r="G594" s="31" t="n">
        <v>1106865</v>
      </c>
      <c r="H594" s="36" t="n">
        <v>-0.05917602996254678</v>
      </c>
      <c r="I594" s="36" t="n">
        <v>-0.3354497354497354</v>
      </c>
      <c r="J594" s="31" t="n">
        <v>139390</v>
      </c>
      <c r="K594" s="31" t="n">
        <v>110668.3333333333</v>
      </c>
      <c r="L594" s="31" t="n">
        <v>99783.33333333333</v>
      </c>
      <c r="M594" s="36" t="n">
        <v>0.4413863374435735</v>
      </c>
      <c r="N594" s="36" t="n">
        <v>0.6247502793129635</v>
      </c>
      <c r="O594" s="36" t="n">
        <v>-0.1173576950105412</v>
      </c>
      <c r="P594" s="36" t="n">
        <v>0.3726775956284154</v>
      </c>
      <c r="Q594" s="36" t="n">
        <v>0.4655775962660444</v>
      </c>
      <c r="R594" s="36" t="n">
        <v>-0.09893105674725589</v>
      </c>
      <c r="S594" s="36" t="n">
        <v>0.1349226668273069</v>
      </c>
      <c r="T594" s="36" t="n">
        <v>0.2587272423584435</v>
      </c>
      <c r="U594" s="31" t="n">
        <v>151500</v>
      </c>
      <c r="V594" s="31" t="n">
        <v>60200</v>
      </c>
      <c r="W594" s="36" t="n">
        <v>-0.170957095709571</v>
      </c>
      <c r="X594" s="36" t="n">
        <v>1.086378737541528</v>
      </c>
      <c r="Y594" s="31" t="n">
        <v>95312200</v>
      </c>
      <c r="Z594" s="31" t="n">
        <v>11971212320000</v>
      </c>
      <c r="AA594" s="31" t="n">
        <v>139022244000</v>
      </c>
      <c r="AB594" s="31" t="n">
        <v>235640914055</v>
      </c>
      <c r="AC594" s="36" t="n">
        <v>0.01161304638860503</v>
      </c>
      <c r="AD594" s="29" t="inlineStr">
        <is>
          <t>yfinance_download</t>
        </is>
      </c>
      <c r="AE594" s="29" t="inlineStr">
        <is>
          <t>042700.KS</t>
        </is>
      </c>
    </row>
    <row r="595" ht="24" customHeight="1">
      <c r="A595" s="24" t="inlineStr">
        <is>
          <t>2025-11-17</t>
        </is>
      </c>
      <c r="B595" s="30" t="n">
        <v>127300</v>
      </c>
      <c r="C595" s="30" t="n">
        <v>134200</v>
      </c>
      <c r="D595" s="30" t="n">
        <v>126800</v>
      </c>
      <c r="E595" s="30" t="n">
        <v>132300</v>
      </c>
      <c r="F595" s="30" t="n">
        <v>131891.34375</v>
      </c>
      <c r="G595" s="30" t="n">
        <v>1724711</v>
      </c>
      <c r="H595" s="35" t="n">
        <v>0.05334394904458595</v>
      </c>
      <c r="I595" s="35" t="n">
        <v>-0.3</v>
      </c>
      <c r="J595" s="30" t="n">
        <v>138540</v>
      </c>
      <c r="K595" s="30" t="n">
        <v>111323.3333333333</v>
      </c>
      <c r="L595" s="30" t="n">
        <v>100174.1666666667</v>
      </c>
      <c r="M595" s="35" t="n">
        <v>0.4484436202793153</v>
      </c>
      <c r="N595" s="35" t="n">
        <v>0.6319190113624734</v>
      </c>
      <c r="O595" s="35" t="n">
        <v>-0.1138647019423978</v>
      </c>
      <c r="P595" s="35" t="n">
        <v>0.4225806451612903</v>
      </c>
      <c r="Q595" s="35" t="n">
        <v>0.5491803278688525</v>
      </c>
      <c r="R595" s="35" t="n">
        <v>-0.04504114335210052</v>
      </c>
      <c r="S595" s="35" t="n">
        <v>0.1884300985118423</v>
      </c>
      <c r="T595" s="35" t="n">
        <v>0.3206997812143848</v>
      </c>
      <c r="U595" s="30" t="n">
        <v>151500</v>
      </c>
      <c r="V595" s="30" t="n">
        <v>60200</v>
      </c>
      <c r="W595" s="35" t="n">
        <v>-0.1267326732673267</v>
      </c>
      <c r="X595" s="35" t="n">
        <v>1.197674418604651</v>
      </c>
      <c r="Y595" s="30" t="n">
        <v>95312200</v>
      </c>
      <c r="Z595" s="30" t="n">
        <v>12609804060000</v>
      </c>
      <c r="AA595" s="30" t="n">
        <v>228179265300</v>
      </c>
      <c r="AB595" s="30" t="n">
        <v>229992658385</v>
      </c>
      <c r="AC595" s="35" t="n">
        <v>0.01809538548055758</v>
      </c>
      <c r="AD595" s="24" t="inlineStr">
        <is>
          <t>yfinance_download</t>
        </is>
      </c>
      <c r="AE595" s="24" t="inlineStr">
        <is>
          <t>042700.KS</t>
        </is>
      </c>
    </row>
    <row r="596" ht="24" customHeight="1">
      <c r="A596" s="29" t="inlineStr">
        <is>
          <t>2025-11-18</t>
        </is>
      </c>
      <c r="B596" s="31" t="n">
        <v>129700</v>
      </c>
      <c r="C596" s="31" t="n">
        <v>129800</v>
      </c>
      <c r="D596" s="31" t="n">
        <v>121500</v>
      </c>
      <c r="E596" s="31" t="n">
        <v>121700</v>
      </c>
      <c r="F596" s="31" t="n">
        <v>121324.0859375</v>
      </c>
      <c r="G596" s="31" t="n">
        <v>1604701</v>
      </c>
      <c r="H596" s="36" t="n">
        <v>-0.08012093726379443</v>
      </c>
      <c r="I596" s="36" t="n">
        <v>-0.3560846560846561</v>
      </c>
      <c r="J596" s="31" t="n">
        <v>137145</v>
      </c>
      <c r="K596" s="31" t="n">
        <v>111871.6666666667</v>
      </c>
      <c r="L596" s="31" t="n">
        <v>100486.6666666667</v>
      </c>
      <c r="M596" s="36" t="n">
        <v>0.5190552141340214</v>
      </c>
      <c r="N596" s="36" t="n">
        <v>0.6480149810161563</v>
      </c>
      <c r="O596" s="36" t="n">
        <v>-0.1864973262032086</v>
      </c>
      <c r="P596" s="36" t="n">
        <v>0.3704954954954955</v>
      </c>
      <c r="Q596" s="36" t="n">
        <v>0.4453681710213777</v>
      </c>
      <c r="R596" s="36" t="n">
        <v>-0.1126180320099165</v>
      </c>
      <c r="S596" s="36" t="n">
        <v>0.08785364182173017</v>
      </c>
      <c r="T596" s="36" t="n">
        <v>0.2111059510382802</v>
      </c>
      <c r="U596" s="31" t="n">
        <v>151500</v>
      </c>
      <c r="V596" s="31" t="n">
        <v>60200</v>
      </c>
      <c r="W596" s="36" t="n">
        <v>-0.1966996699669967</v>
      </c>
      <c r="X596" s="36" t="n">
        <v>1.021594684385382</v>
      </c>
      <c r="Y596" s="31" t="n">
        <v>95312200</v>
      </c>
      <c r="Z596" s="31" t="n">
        <v>11599494740000</v>
      </c>
      <c r="AA596" s="31" t="n">
        <v>195292111700</v>
      </c>
      <c r="AB596" s="31" t="n">
        <v>218157118370</v>
      </c>
      <c r="AC596" s="36" t="n">
        <v>0.01683626020593376</v>
      </c>
      <c r="AD596" s="29" t="inlineStr">
        <is>
          <t>yfinance_download</t>
        </is>
      </c>
      <c r="AE596" s="29" t="inlineStr">
        <is>
          <t>042700.KS</t>
        </is>
      </c>
    </row>
    <row r="597" ht="24" customHeight="1">
      <c r="A597" s="24" t="inlineStr">
        <is>
          <t>2025-11-19</t>
        </is>
      </c>
      <c r="B597" s="30" t="n">
        <v>121900</v>
      </c>
      <c r="C597" s="30" t="n">
        <v>124000</v>
      </c>
      <c r="D597" s="30" t="n">
        <v>115700</v>
      </c>
      <c r="E597" s="30" t="n">
        <v>120700</v>
      </c>
      <c r="F597" s="30" t="n">
        <v>120327.1796875</v>
      </c>
      <c r="G597" s="30" t="n">
        <v>1285531</v>
      </c>
      <c r="H597" s="35" t="n">
        <v>-0.008216926869350827</v>
      </c>
      <c r="I597" s="35" t="n">
        <v>-0.3613756613756614</v>
      </c>
      <c r="J597" s="30" t="n">
        <v>135605</v>
      </c>
      <c r="K597" s="30" t="n">
        <v>112385</v>
      </c>
      <c r="L597" s="30" t="n">
        <v>100815.8333333333</v>
      </c>
      <c r="M597" s="35" t="n">
        <v>0.5123218499545679</v>
      </c>
      <c r="N597" s="35" t="n">
        <v>0.6485303444242255</v>
      </c>
      <c r="O597" s="35" t="n">
        <v>-0.2033003300330033</v>
      </c>
      <c r="P597" s="35" t="n">
        <v>0.3426028921023359</v>
      </c>
      <c r="Q597" s="35" t="n">
        <v>0.4864532019704433</v>
      </c>
      <c r="R597" s="35" t="n">
        <v>-0.1099148261494782</v>
      </c>
      <c r="S597" s="35" t="n">
        <v>0.07398674200293631</v>
      </c>
      <c r="T597" s="35" t="n">
        <v>0.1972325775547823</v>
      </c>
      <c r="U597" s="30" t="n">
        <v>151500</v>
      </c>
      <c r="V597" s="30" t="n">
        <v>60200</v>
      </c>
      <c r="W597" s="35" t="n">
        <v>-0.2033003300330033</v>
      </c>
      <c r="X597" s="35" t="n">
        <v>1.004983388704319</v>
      </c>
      <c r="Y597" s="30" t="n">
        <v>95312200</v>
      </c>
      <c r="Z597" s="30" t="n">
        <v>11504182540000</v>
      </c>
      <c r="AA597" s="30" t="n">
        <v>155163591700</v>
      </c>
      <c r="AB597" s="30" t="n">
        <v>214945145080</v>
      </c>
      <c r="AC597" s="35" t="n">
        <v>0.01348758081336912</v>
      </c>
      <c r="AD597" s="24" t="inlineStr">
        <is>
          <t>yfinance_download</t>
        </is>
      </c>
      <c r="AE597" s="24" t="inlineStr">
        <is>
          <t>042700.KS</t>
        </is>
      </c>
    </row>
    <row r="598" ht="24" customHeight="1">
      <c r="A598" s="29" t="inlineStr">
        <is>
          <t>2025-11-20</t>
        </is>
      </c>
      <c r="B598" s="31" t="n">
        <v>126400</v>
      </c>
      <c r="C598" s="31" t="n">
        <v>126500</v>
      </c>
      <c r="D598" s="31" t="n">
        <v>122800</v>
      </c>
      <c r="E598" s="31" t="n">
        <v>123500</v>
      </c>
      <c r="F598" s="31" t="n">
        <v>123118.53125</v>
      </c>
      <c r="G598" s="31" t="n">
        <v>786081</v>
      </c>
      <c r="H598" s="36" t="n">
        <v>0.02319801159900581</v>
      </c>
      <c r="I598" s="36" t="n">
        <v>-0.3465608465608465</v>
      </c>
      <c r="J598" s="31" t="n">
        <v>134305</v>
      </c>
      <c r="K598" s="31" t="n">
        <v>112991.6666666667</v>
      </c>
      <c r="L598" s="31" t="n">
        <v>101191.6666666667</v>
      </c>
      <c r="M598" s="36" t="n">
        <v>0.5261617322856785</v>
      </c>
      <c r="N598" s="36" t="n">
        <v>0.6448922077712671</v>
      </c>
      <c r="O598" s="36" t="n">
        <v>-0.1739130434782609</v>
      </c>
      <c r="P598" s="36" t="n">
        <v>0.4179104477611941</v>
      </c>
      <c r="Q598" s="36" t="n">
        <v>0.5752551020408163</v>
      </c>
      <c r="R598" s="36" t="n">
        <v>-0.0804512117940509</v>
      </c>
      <c r="S598" s="36" t="n">
        <v>0.0930009587727707</v>
      </c>
      <c r="T598" s="36" t="n">
        <v>0.2204562299267068</v>
      </c>
      <c r="U598" s="31" t="n">
        <v>151500</v>
      </c>
      <c r="V598" s="31" t="n">
        <v>60200</v>
      </c>
      <c r="W598" s="36" t="n">
        <v>-0.1848184818481848</v>
      </c>
      <c r="X598" s="36" t="n">
        <v>1.051495016611296</v>
      </c>
      <c r="Y598" s="31" t="n">
        <v>95312200</v>
      </c>
      <c r="Z598" s="31" t="n">
        <v>11771056700000</v>
      </c>
      <c r="AA598" s="31" t="n">
        <v>97081003500</v>
      </c>
      <c r="AB598" s="31" t="n">
        <v>212375593355</v>
      </c>
      <c r="AC598" s="36" t="n">
        <v>0.008247433172248674</v>
      </c>
      <c r="AD598" s="29" t="inlineStr">
        <is>
          <t>yfinance_download</t>
        </is>
      </c>
      <c r="AE598" s="29" t="inlineStr">
        <is>
          <t>042700.KS</t>
        </is>
      </c>
    </row>
    <row r="599" ht="24" customHeight="1">
      <c r="A599" s="24" t="inlineStr">
        <is>
          <t>2025-11-21</t>
        </is>
      </c>
      <c r="B599" s="30" t="n">
        <v>113900</v>
      </c>
      <c r="C599" s="30" t="n">
        <v>121000</v>
      </c>
      <c r="D599" s="30" t="n">
        <v>113400</v>
      </c>
      <c r="E599" s="30" t="n">
        <v>120100</v>
      </c>
      <c r="F599" s="30" t="n">
        <v>119729.03125</v>
      </c>
      <c r="G599" s="30" t="n">
        <v>984944</v>
      </c>
      <c r="H599" s="35" t="n">
        <v>-0.02753036437246958</v>
      </c>
      <c r="I599" s="35" t="n">
        <v>-0.3645502645502645</v>
      </c>
      <c r="J599" s="30" t="n">
        <v>132825</v>
      </c>
      <c r="K599" s="30" t="n">
        <v>113545</v>
      </c>
      <c r="L599" s="30" t="n">
        <v>101494.1666666667</v>
      </c>
      <c r="M599" s="35" t="n">
        <v>0.5286282583161227</v>
      </c>
      <c r="N599" s="35" t="n">
        <v>0.648445361103706</v>
      </c>
      <c r="O599" s="35" t="n">
        <v>-0.1977287909151637</v>
      </c>
      <c r="P599" s="35" t="n">
        <v>0.3820483314154199</v>
      </c>
      <c r="Q599" s="35" t="n">
        <v>0.4331742243436754</v>
      </c>
      <c r="R599" s="35" t="n">
        <v>-0.095802747976661</v>
      </c>
      <c r="S599" s="35" t="n">
        <v>0.05773041525386402</v>
      </c>
      <c r="T599" s="35" t="n">
        <v>0.1833192383798741</v>
      </c>
      <c r="U599" s="30" t="n">
        <v>151500</v>
      </c>
      <c r="V599" s="30" t="n">
        <v>60200</v>
      </c>
      <c r="W599" s="35" t="n">
        <v>-0.2072607260726073</v>
      </c>
      <c r="X599" s="35" t="n">
        <v>0.9950166112956811</v>
      </c>
      <c r="Y599" s="30" t="n">
        <v>95312200</v>
      </c>
      <c r="Z599" s="30" t="n">
        <v>11446995220000</v>
      </c>
      <c r="AA599" s="30" t="n">
        <v>118291774400</v>
      </c>
      <c r="AB599" s="30" t="n">
        <v>206420551410</v>
      </c>
      <c r="AC599" s="35" t="n">
        <v>0.01033387121480776</v>
      </c>
      <c r="AD599" s="24" t="inlineStr">
        <is>
          <t>yfinance_download</t>
        </is>
      </c>
      <c r="AE599" s="24" t="inlineStr">
        <is>
          <t>042700.KS</t>
        </is>
      </c>
    </row>
    <row r="600" ht="24" customHeight="1">
      <c r="A600" s="29" t="inlineStr">
        <is>
          <t>2025-11-24</t>
        </is>
      </c>
      <c r="B600" s="31" t="n">
        <v>122400</v>
      </c>
      <c r="C600" s="31" t="n">
        <v>122500</v>
      </c>
      <c r="D600" s="31" t="n">
        <v>117100</v>
      </c>
      <c r="E600" s="31" t="n">
        <v>119600</v>
      </c>
      <c r="F600" s="31" t="n">
        <v>119230.578125</v>
      </c>
      <c r="G600" s="31" t="n">
        <v>816534</v>
      </c>
      <c r="H600" s="36" t="n">
        <v>-0.004163197335553703</v>
      </c>
      <c r="I600" s="36" t="n">
        <v>-0.3671957671957672</v>
      </c>
      <c r="J600" s="31" t="n">
        <v>131325</v>
      </c>
      <c r="K600" s="31" t="n">
        <v>114091.6666666667</v>
      </c>
      <c r="L600" s="31" t="n">
        <v>101805</v>
      </c>
      <c r="M600" s="36" t="n">
        <v>0.5279181384637837</v>
      </c>
      <c r="N600" s="36" t="n">
        <v>0.6486204844526167</v>
      </c>
      <c r="O600" s="36" t="n">
        <v>-0.2005347593582888</v>
      </c>
      <c r="P600" s="36" t="n">
        <v>0.3778801843317972</v>
      </c>
      <c r="Q600" s="36" t="n">
        <v>0.4532199270959902</v>
      </c>
      <c r="R600" s="36" t="n">
        <v>-0.08928231486769467</v>
      </c>
      <c r="S600" s="36" t="n">
        <v>0.04827989189978821</v>
      </c>
      <c r="T600" s="36" t="n">
        <v>0.1747949511320661</v>
      </c>
      <c r="U600" s="31" t="n">
        <v>151500</v>
      </c>
      <c r="V600" s="31" t="n">
        <v>60200</v>
      </c>
      <c r="W600" s="36" t="n">
        <v>-0.2105610561056106</v>
      </c>
      <c r="X600" s="36" t="n">
        <v>0.9867109634551494</v>
      </c>
      <c r="Y600" s="31" t="n">
        <v>95312200</v>
      </c>
      <c r="Z600" s="31" t="n">
        <v>11399339120000</v>
      </c>
      <c r="AA600" s="31" t="n">
        <v>97657466400</v>
      </c>
      <c r="AB600" s="31" t="n">
        <v>202029114850</v>
      </c>
      <c r="AC600" s="36" t="n">
        <v>0.008566941063158756</v>
      </c>
      <c r="AD600" s="29" t="inlineStr">
        <is>
          <t>yfinance_download</t>
        </is>
      </c>
      <c r="AE600" s="29" t="inlineStr">
        <is>
          <t>042700.KS</t>
        </is>
      </c>
    </row>
    <row r="601" ht="24" customHeight="1">
      <c r="A601" s="24" t="inlineStr">
        <is>
          <t>2025-11-25</t>
        </is>
      </c>
      <c r="B601" s="30" t="n">
        <v>122100</v>
      </c>
      <c r="C601" s="30" t="n">
        <v>122700</v>
      </c>
      <c r="D601" s="30" t="n">
        <v>117200</v>
      </c>
      <c r="E601" s="30" t="n">
        <v>120100</v>
      </c>
      <c r="F601" s="30" t="n">
        <v>119729.03125</v>
      </c>
      <c r="G601" s="30" t="n">
        <v>991214</v>
      </c>
      <c r="H601" s="35" t="n">
        <v>0.004180602006689016</v>
      </c>
      <c r="I601" s="35" t="n">
        <v>-0.3645502645502645</v>
      </c>
      <c r="J601" s="30" t="n">
        <v>130175</v>
      </c>
      <c r="K601" s="30" t="n">
        <v>114610</v>
      </c>
      <c r="L601" s="30" t="n">
        <v>102102.5</v>
      </c>
      <c r="M601" s="35" t="n">
        <v>0.5155316052752232</v>
      </c>
      <c r="N601" s="35" t="n">
        <v>0.6473935901908222</v>
      </c>
      <c r="O601" s="35" t="n">
        <v>-0.1607267645003494</v>
      </c>
      <c r="P601" s="35" t="n">
        <v>0.3494382022471909</v>
      </c>
      <c r="Q601" s="35" t="n">
        <v>0.4229857819905214</v>
      </c>
      <c r="R601" s="35" t="n">
        <v>-0.07739581332821199</v>
      </c>
      <c r="S601" s="35" t="n">
        <v>0.04790157926882466</v>
      </c>
      <c r="T601" s="35" t="n">
        <v>0.1762689454224922</v>
      </c>
      <c r="U601" s="30" t="n">
        <v>151500</v>
      </c>
      <c r="V601" s="30" t="n">
        <v>60200</v>
      </c>
      <c r="W601" s="35" t="n">
        <v>-0.2072607260726073</v>
      </c>
      <c r="X601" s="35" t="n">
        <v>0.9950166112956811</v>
      </c>
      <c r="Y601" s="30" t="n">
        <v>95312200</v>
      </c>
      <c r="Z601" s="30" t="n">
        <v>11446995220000</v>
      </c>
      <c r="AA601" s="30" t="n">
        <v>119044801400</v>
      </c>
      <c r="AB601" s="30" t="n">
        <v>196877159825</v>
      </c>
      <c r="AC601" s="35" t="n">
        <v>0.01039965502842238</v>
      </c>
      <c r="AD601" s="24" t="inlineStr">
        <is>
          <t>yfinance_download</t>
        </is>
      </c>
      <c r="AE601" s="24" t="inlineStr">
        <is>
          <t>042700.KS</t>
        </is>
      </c>
    </row>
    <row r="602" ht="24" customHeight="1">
      <c r="A602" s="29" t="inlineStr">
        <is>
          <t>2025-11-26</t>
        </is>
      </c>
      <c r="B602" s="31" t="n">
        <v>120500</v>
      </c>
      <c r="C602" s="31" t="n">
        <v>128900</v>
      </c>
      <c r="D602" s="31" t="n">
        <v>118800</v>
      </c>
      <c r="E602" s="31" t="n">
        <v>128500</v>
      </c>
      <c r="F602" s="31" t="n">
        <v>128103.0859375</v>
      </c>
      <c r="G602" s="31" t="n">
        <v>1574505</v>
      </c>
      <c r="H602" s="36" t="n">
        <v>0.0699417152373023</v>
      </c>
      <c r="I602" s="36" t="n">
        <v>-0.3201058201058201</v>
      </c>
      <c r="J602" s="31" t="n">
        <v>129690</v>
      </c>
      <c r="K602" s="31" t="n">
        <v>115265</v>
      </c>
      <c r="L602" s="31" t="n">
        <v>102479.1666666667</v>
      </c>
      <c r="M602" s="36" t="n">
        <v>0.5749823382020596</v>
      </c>
      <c r="N602" s="36" t="n">
        <v>0.6605416443290251</v>
      </c>
      <c r="O602" s="36" t="n">
        <v>-0.07018813314037631</v>
      </c>
      <c r="P602" s="36" t="n">
        <v>0.4405829596412556</v>
      </c>
      <c r="Q602" s="36" t="n">
        <v>0.5426170468187275</v>
      </c>
      <c r="R602" s="36" t="n">
        <v>-0.009175726732978617</v>
      </c>
      <c r="S602" s="36" t="n">
        <v>0.1148223658526006</v>
      </c>
      <c r="T602" s="36" t="n">
        <v>0.253913397031917</v>
      </c>
      <c r="U602" s="31" t="n">
        <v>151500</v>
      </c>
      <c r="V602" s="31" t="n">
        <v>60200</v>
      </c>
      <c r="W602" s="36" t="n">
        <v>-0.1518151815181518</v>
      </c>
      <c r="X602" s="36" t="n">
        <v>1.134551495016611</v>
      </c>
      <c r="Y602" s="31" t="n">
        <v>95312200</v>
      </c>
      <c r="Z602" s="31" t="n">
        <v>12247617700000</v>
      </c>
      <c r="AA602" s="31" t="n">
        <v>202323892500</v>
      </c>
      <c r="AB602" s="31" t="n">
        <v>183898634980</v>
      </c>
      <c r="AC602" s="36" t="n">
        <v>0.01651944871695334</v>
      </c>
      <c r="AD602" s="29" t="inlineStr">
        <is>
          <t>yfinance_download</t>
        </is>
      </c>
      <c r="AE602" s="29" t="inlineStr">
        <is>
          <t>042700.KS</t>
        </is>
      </c>
    </row>
    <row r="603" ht="24" customHeight="1">
      <c r="A603" s="24" t="inlineStr">
        <is>
          <t>2025-11-27</t>
        </is>
      </c>
      <c r="B603" s="30" t="n">
        <v>129100</v>
      </c>
      <c r="C603" s="30" t="n">
        <v>129500</v>
      </c>
      <c r="D603" s="30" t="n">
        <v>123100</v>
      </c>
      <c r="E603" s="30" t="n">
        <v>124300</v>
      </c>
      <c r="F603" s="30" t="n">
        <v>123916.0546875</v>
      </c>
      <c r="G603" s="30" t="n">
        <v>938470</v>
      </c>
      <c r="H603" s="35" t="n">
        <v>-0.03268482490272373</v>
      </c>
      <c r="I603" s="35" t="n">
        <v>-0.3423280423280424</v>
      </c>
      <c r="J603" s="30" t="n">
        <v>128730</v>
      </c>
      <c r="K603" s="30" t="n">
        <v>115851.6666666667</v>
      </c>
      <c r="L603" s="30" t="n">
        <v>102845</v>
      </c>
      <c r="M603" s="35" t="n">
        <v>0.5623692547789111</v>
      </c>
      <c r="N603" s="35" t="n">
        <v>0.6653328426359778</v>
      </c>
      <c r="O603" s="35" t="n">
        <v>-0.1337979094076656</v>
      </c>
      <c r="P603" s="35" t="n">
        <v>0.3950617283950617</v>
      </c>
      <c r="Q603" s="35" t="n">
        <v>0.5460199004975124</v>
      </c>
      <c r="R603" s="35" t="n">
        <v>-0.03441311271653846</v>
      </c>
      <c r="S603" s="35" t="n">
        <v>0.07292370991641617</v>
      </c>
      <c r="T603" s="35" t="n">
        <v>0.208614905926394</v>
      </c>
      <c r="U603" s="30" t="n">
        <v>151500</v>
      </c>
      <c r="V603" s="30" t="n">
        <v>60200</v>
      </c>
      <c r="W603" s="35" t="n">
        <v>-0.1795379537953795</v>
      </c>
      <c r="X603" s="35" t="n">
        <v>1.064784053156146</v>
      </c>
      <c r="Y603" s="30" t="n">
        <v>95312200</v>
      </c>
      <c r="Z603" s="30" t="n">
        <v>11847306460000</v>
      </c>
      <c r="AA603" s="30" t="n">
        <v>116651821000</v>
      </c>
      <c r="AB603" s="30" t="n">
        <v>173719230555</v>
      </c>
      <c r="AC603" s="35" t="n">
        <v>0.009846273614500557</v>
      </c>
      <c r="AD603" s="24" t="inlineStr">
        <is>
          <t>yfinance_download</t>
        </is>
      </c>
      <c r="AE603" s="24" t="inlineStr">
        <is>
          <t>042700.KS</t>
        </is>
      </c>
    </row>
    <row r="604" ht="24" customHeight="1">
      <c r="A604" s="29" t="inlineStr">
        <is>
          <t>2025-11-28</t>
        </is>
      </c>
      <c r="B604" s="31" t="n">
        <v>124400</v>
      </c>
      <c r="C604" s="31" t="n">
        <v>125200</v>
      </c>
      <c r="D604" s="31" t="n">
        <v>122800</v>
      </c>
      <c r="E604" s="31" t="n">
        <v>123600</v>
      </c>
      <c r="F604" s="31" t="n">
        <v>123218.21875</v>
      </c>
      <c r="G604" s="31" t="n">
        <v>570311</v>
      </c>
      <c r="H604" s="36" t="n">
        <v>-0.005631536604987941</v>
      </c>
      <c r="I604" s="36" t="n">
        <v>-0.346031746031746</v>
      </c>
      <c r="J604" s="31" t="n">
        <v>127725</v>
      </c>
      <c r="K604" s="31" t="n">
        <v>116438.3333333333</v>
      </c>
      <c r="L604" s="31" t="n">
        <v>103208.3333333333</v>
      </c>
      <c r="M604" s="36" t="n">
        <v>0.561604405724347</v>
      </c>
      <c r="N604" s="36" t="n">
        <v>0.6651449063985962</v>
      </c>
      <c r="O604" s="36" t="n">
        <v>-0.139874739039666</v>
      </c>
      <c r="P604" s="36" t="n">
        <v>0.3981900452488687</v>
      </c>
      <c r="Q604" s="36" t="n">
        <v>0.5449999999999999</v>
      </c>
      <c r="R604" s="36" t="n">
        <v>-0.03229594832648264</v>
      </c>
      <c r="S604" s="36" t="n">
        <v>0.06150609049139044</v>
      </c>
      <c r="T604" s="36" t="n">
        <v>0.1975777149777957</v>
      </c>
      <c r="U604" s="31" t="n">
        <v>151500</v>
      </c>
      <c r="V604" s="31" t="n">
        <v>60200</v>
      </c>
      <c r="W604" s="36" t="n">
        <v>-0.1841584158415842</v>
      </c>
      <c r="X604" s="36" t="n">
        <v>1.053156146179402</v>
      </c>
      <c r="Y604" s="31" t="n">
        <v>95312200</v>
      </c>
      <c r="Z604" s="31" t="n">
        <v>11780587920000</v>
      </c>
      <c r="AA604" s="31" t="n">
        <v>70490439600</v>
      </c>
      <c r="AB604" s="31" t="n">
        <v>170062819245</v>
      </c>
      <c r="AC604" s="36" t="n">
        <v>0.005983609653328745</v>
      </c>
      <c r="AD604" s="29" t="inlineStr">
        <is>
          <t>yfinance_download</t>
        </is>
      </c>
      <c r="AE604" s="29" t="inlineStr">
        <is>
          <t>042700.KS</t>
        </is>
      </c>
    </row>
    <row r="605" ht="24" customHeight="1">
      <c r="A605" s="24" t="inlineStr">
        <is>
          <t>2025-12-01</t>
        </is>
      </c>
      <c r="B605" s="30" t="n">
        <v>124600</v>
      </c>
      <c r="C605" s="30" t="n">
        <v>126700</v>
      </c>
      <c r="D605" s="30" t="n">
        <v>120500</v>
      </c>
      <c r="E605" s="30" t="n">
        <v>121700</v>
      </c>
      <c r="F605" s="30" t="n">
        <v>121324.0859375</v>
      </c>
      <c r="G605" s="30" t="n">
        <v>803895</v>
      </c>
      <c r="H605" s="35" t="n">
        <v>-0.0153721682847896</v>
      </c>
      <c r="I605" s="35" t="n">
        <v>-0.3560846560846561</v>
      </c>
      <c r="J605" s="30" t="n">
        <v>126730</v>
      </c>
      <c r="K605" s="30" t="n">
        <v>117016.6666666667</v>
      </c>
      <c r="L605" s="30" t="n">
        <v>103532.5</v>
      </c>
      <c r="M605" s="35" t="n">
        <v>0.5617488604888978</v>
      </c>
      <c r="N605" s="35" t="n">
        <v>0.6650791019788357</v>
      </c>
      <c r="O605" s="35" t="n">
        <v>-0.1405367231638418</v>
      </c>
      <c r="P605" s="35" t="n">
        <v>0.3988505747126436</v>
      </c>
      <c r="Q605" s="35" t="n">
        <v>0.4698067632850242</v>
      </c>
      <c r="R605" s="35" t="n">
        <v>-0.03969068097530182</v>
      </c>
      <c r="S605" s="35" t="n">
        <v>0.04002278877652743</v>
      </c>
      <c r="T605" s="35" t="n">
        <v>0.1754762997126507</v>
      </c>
      <c r="U605" s="30" t="n">
        <v>151500</v>
      </c>
      <c r="V605" s="30" t="n">
        <v>60200</v>
      </c>
      <c r="W605" s="35" t="n">
        <v>-0.1966996699669967</v>
      </c>
      <c r="X605" s="35" t="n">
        <v>1.021594684385382</v>
      </c>
      <c r="Y605" s="30" t="n">
        <v>95312200</v>
      </c>
      <c r="Z605" s="30" t="n">
        <v>11599494740000</v>
      </c>
      <c r="AA605" s="30" t="n">
        <v>97834021500</v>
      </c>
      <c r="AB605" s="30" t="n">
        <v>165461082840</v>
      </c>
      <c r="AC605" s="35" t="n">
        <v>0.008434334744135588</v>
      </c>
      <c r="AD605" s="24" t="inlineStr">
        <is>
          <t>yfinance_download</t>
        </is>
      </c>
      <c r="AE605" s="24" t="inlineStr">
        <is>
          <t>042700.KS</t>
        </is>
      </c>
    </row>
    <row r="606" ht="24" customHeight="1">
      <c r="A606" s="29" t="inlineStr">
        <is>
          <t>2025-12-02</t>
        </is>
      </c>
      <c r="B606" s="31" t="n">
        <v>122200</v>
      </c>
      <c r="C606" s="31" t="n">
        <v>124300</v>
      </c>
      <c r="D606" s="31" t="n">
        <v>119500</v>
      </c>
      <c r="E606" s="31" t="n">
        <v>120500</v>
      </c>
      <c r="F606" s="31" t="n">
        <v>120127.796875</v>
      </c>
      <c r="G606" s="31" t="n">
        <v>843149</v>
      </c>
      <c r="H606" s="36" t="n">
        <v>-0.009860312243221037</v>
      </c>
      <c r="I606" s="36" t="n">
        <v>-0.3624338624338624</v>
      </c>
      <c r="J606" s="31" t="n">
        <v>125770</v>
      </c>
      <c r="K606" s="31" t="n">
        <v>117666.6666666667</v>
      </c>
      <c r="L606" s="31" t="n">
        <v>103847.5</v>
      </c>
      <c r="M606" s="36" t="n">
        <v>0.5613469763434749</v>
      </c>
      <c r="N606" s="36" t="n">
        <v>0.6500290563277494</v>
      </c>
      <c r="O606" s="36" t="n">
        <v>-0.1374373657838225</v>
      </c>
      <c r="P606" s="36" t="n">
        <v>0.4785276073619631</v>
      </c>
      <c r="Q606" s="36" t="n">
        <v>0.4570737605804112</v>
      </c>
      <c r="R606" s="36" t="n">
        <v>-0.04190188439214437</v>
      </c>
      <c r="S606" s="36" t="n">
        <v>0.02407932011331448</v>
      </c>
      <c r="T606" s="36" t="n">
        <v>0.1603553287272201</v>
      </c>
      <c r="U606" s="31" t="n">
        <v>151500</v>
      </c>
      <c r="V606" s="31" t="n">
        <v>60200</v>
      </c>
      <c r="W606" s="36" t="n">
        <v>-0.2046204620462047</v>
      </c>
      <c r="X606" s="36" t="n">
        <v>1.001661129568106</v>
      </c>
      <c r="Y606" s="31" t="n">
        <v>95312200</v>
      </c>
      <c r="Z606" s="31" t="n">
        <v>11485120100000</v>
      </c>
      <c r="AA606" s="31" t="n">
        <v>101599454500</v>
      </c>
      <c r="AB606" s="31" t="n">
        <v>160783129310</v>
      </c>
      <c r="AC606" s="36" t="n">
        <v>0.008846181286341098</v>
      </c>
      <c r="AD606" s="29" t="inlineStr">
        <is>
          <t>yfinance_download</t>
        </is>
      </c>
      <c r="AE606" s="29" t="inlineStr">
        <is>
          <t>042700.KS</t>
        </is>
      </c>
    </row>
    <row r="607" ht="24" customHeight="1">
      <c r="A607" s="24" t="inlineStr">
        <is>
          <t>2025-12-03</t>
        </is>
      </c>
      <c r="B607" s="30" t="n">
        <v>120600</v>
      </c>
      <c r="C607" s="30" t="n">
        <v>124700</v>
      </c>
      <c r="D607" s="30" t="n">
        <v>120500</v>
      </c>
      <c r="E607" s="30" t="n">
        <v>121500</v>
      </c>
      <c r="F607" s="30" t="n">
        <v>121124.703125</v>
      </c>
      <c r="G607" s="30" t="n">
        <v>847992</v>
      </c>
      <c r="H607" s="35" t="n">
        <v>0.008298755186721962</v>
      </c>
      <c r="I607" s="35" t="n">
        <v>-0.3571428571428571</v>
      </c>
      <c r="J607" s="30" t="n">
        <v>125190</v>
      </c>
      <c r="K607" s="30" t="n">
        <v>118310</v>
      </c>
      <c r="L607" s="30" t="n">
        <v>104164.1666666667</v>
      </c>
      <c r="M607" s="35" t="n">
        <v>0.5425363495609358</v>
      </c>
      <c r="N607" s="35" t="n">
        <v>0.6497090281534424</v>
      </c>
      <c r="O607" s="35" t="n">
        <v>-0.08715251690458303</v>
      </c>
      <c r="P607" s="35" t="n">
        <v>0.46562123039807</v>
      </c>
      <c r="Q607" s="35" t="n">
        <v>0.4550898203592815</v>
      </c>
      <c r="R607" s="35" t="n">
        <v>-0.0294751976994968</v>
      </c>
      <c r="S607" s="35" t="n">
        <v>0.0269630631392106</v>
      </c>
      <c r="T607" s="35" t="n">
        <v>0.1664279942718625</v>
      </c>
      <c r="U607" s="30" t="n">
        <v>151500</v>
      </c>
      <c r="V607" s="30" t="n">
        <v>60200</v>
      </c>
      <c r="W607" s="35" t="n">
        <v>-0.198019801980198</v>
      </c>
      <c r="X607" s="35" t="n">
        <v>1.018272425249169</v>
      </c>
      <c r="Y607" s="30" t="n">
        <v>95312200</v>
      </c>
      <c r="Z607" s="30" t="n">
        <v>11580432300000</v>
      </c>
      <c r="AA607" s="30" t="n">
        <v>103031028000</v>
      </c>
      <c r="AB607" s="30" t="n">
        <v>145138996955</v>
      </c>
      <c r="AC607" s="35" t="n">
        <v>0.008896993249552523</v>
      </c>
      <c r="AD607" s="24" t="inlineStr">
        <is>
          <t>yfinance_download</t>
        </is>
      </c>
      <c r="AE607" s="24" t="inlineStr">
        <is>
          <t>042700.KS</t>
        </is>
      </c>
    </row>
    <row r="608" ht="24" customHeight="1">
      <c r="A608" s="29" t="inlineStr">
        <is>
          <t>2025-12-04</t>
        </is>
      </c>
      <c r="B608" s="31" t="n">
        <v>120800</v>
      </c>
      <c r="C608" s="31" t="n">
        <v>120800</v>
      </c>
      <c r="D608" s="31" t="n">
        <v>115600</v>
      </c>
      <c r="E608" s="31" t="n">
        <v>116100</v>
      </c>
      <c r="F608" s="31" t="n">
        <v>115741.3828125</v>
      </c>
      <c r="G608" s="31" t="n">
        <v>1278823</v>
      </c>
      <c r="H608" s="36" t="n">
        <v>-0.0444444444444444</v>
      </c>
      <c r="I608" s="36" t="n">
        <v>-0.3857142857142857</v>
      </c>
      <c r="J608" s="31" t="n">
        <v>124545</v>
      </c>
      <c r="K608" s="31" t="n">
        <v>118851.6666666667</v>
      </c>
      <c r="L608" s="31" t="n">
        <v>104440.8333333333</v>
      </c>
      <c r="M608" s="36" t="n">
        <v>0.5535269414948325</v>
      </c>
      <c r="N608" s="36" t="n">
        <v>0.6582546014009766</v>
      </c>
      <c r="O608" s="36" t="n">
        <v>-0.09999999999999998</v>
      </c>
      <c r="P608" s="36" t="n">
        <v>0.388755980861244</v>
      </c>
      <c r="Q608" s="36" t="n">
        <v>0.4004825090470445</v>
      </c>
      <c r="R608" s="36" t="n">
        <v>-0.0678068168132</v>
      </c>
      <c r="S608" s="36" t="n">
        <v>-0.02315210837037773</v>
      </c>
      <c r="T608" s="36" t="n">
        <v>0.1116341788412898</v>
      </c>
      <c r="U608" s="31" t="n">
        <v>151500</v>
      </c>
      <c r="V608" s="31" t="n">
        <v>60200</v>
      </c>
      <c r="W608" s="36" t="n">
        <v>-0.2336633663366336</v>
      </c>
      <c r="X608" s="36" t="n">
        <v>0.9285714285714286</v>
      </c>
      <c r="Y608" s="31" t="n">
        <v>95312200</v>
      </c>
      <c r="Z608" s="31" t="n">
        <v>11065746420000</v>
      </c>
      <c r="AA608" s="31" t="n">
        <v>148471350300</v>
      </c>
      <c r="AB608" s="31" t="n">
        <v>140174365520</v>
      </c>
      <c r="AC608" s="36" t="n">
        <v>0.01341720157545414</v>
      </c>
      <c r="AD608" s="29" t="inlineStr">
        <is>
          <t>yfinance_download</t>
        </is>
      </c>
      <c r="AE608" s="29" t="inlineStr">
        <is>
          <t>042700.KS</t>
        </is>
      </c>
    </row>
    <row r="609" ht="24" customHeight="1">
      <c r="A609" s="24" t="inlineStr">
        <is>
          <t>2025-12-05</t>
        </is>
      </c>
      <c r="B609" s="30" t="n">
        <v>115800</v>
      </c>
      <c r="C609" s="30" t="n">
        <v>119400</v>
      </c>
      <c r="D609" s="30" t="n">
        <v>115500</v>
      </c>
      <c r="E609" s="30" t="n">
        <v>119100</v>
      </c>
      <c r="F609" s="30" t="n">
        <v>118732.1171875</v>
      </c>
      <c r="G609" s="30" t="n">
        <v>870118</v>
      </c>
      <c r="H609" s="35" t="n">
        <v>0.02583979328165364</v>
      </c>
      <c r="I609" s="35" t="n">
        <v>-0.3698412698412699</v>
      </c>
      <c r="J609" s="30" t="n">
        <v>124140</v>
      </c>
      <c r="K609" s="30" t="n">
        <v>119460</v>
      </c>
      <c r="L609" s="30" t="n">
        <v>104718.3333333333</v>
      </c>
      <c r="M609" s="35" t="n">
        <v>0.5626255977986562</v>
      </c>
      <c r="N609" s="35" t="n">
        <v>0.6583343389838611</v>
      </c>
      <c r="O609" s="35" t="n">
        <v>-0.06367924528301883</v>
      </c>
      <c r="P609" s="35" t="n">
        <v>0.4418886198547216</v>
      </c>
      <c r="Q609" s="35" t="n">
        <v>0.3881118881118881</v>
      </c>
      <c r="R609" s="35" t="n">
        <v>-0.04059932334461092</v>
      </c>
      <c r="S609" s="35" t="n">
        <v>-0.0030135610246107</v>
      </c>
      <c r="T609" s="35" t="n">
        <v>0.1373366650220433</v>
      </c>
      <c r="U609" s="30" t="n">
        <v>151500</v>
      </c>
      <c r="V609" s="30" t="n">
        <v>60200</v>
      </c>
      <c r="W609" s="35" t="n">
        <v>-0.2138613861386138</v>
      </c>
      <c r="X609" s="35" t="n">
        <v>0.978405315614618</v>
      </c>
      <c r="Y609" s="30" t="n">
        <v>95312200</v>
      </c>
      <c r="Z609" s="30" t="n">
        <v>11351683020000</v>
      </c>
      <c r="AA609" s="30" t="n">
        <v>103631053800</v>
      </c>
      <c r="AB609" s="30" t="n">
        <v>135051713330</v>
      </c>
      <c r="AC609" s="35" t="n">
        <v>0.009129135619574409</v>
      </c>
      <c r="AD609" s="24" t="inlineStr">
        <is>
          <t>yfinance_download</t>
        </is>
      </c>
      <c r="AE609" s="24" t="inlineStr">
        <is>
          <t>042700.KS</t>
        </is>
      </c>
    </row>
    <row r="610" ht="24" customHeight="1">
      <c r="A610" s="29" t="inlineStr">
        <is>
          <t>2025-12-08</t>
        </is>
      </c>
      <c r="B610" s="31" t="n">
        <v>119100</v>
      </c>
      <c r="C610" s="31" t="n">
        <v>121500</v>
      </c>
      <c r="D610" s="31" t="n">
        <v>116700</v>
      </c>
      <c r="E610" s="31" t="n">
        <v>121400</v>
      </c>
      <c r="F610" s="31" t="n">
        <v>121025.015625</v>
      </c>
      <c r="G610" s="31" t="n">
        <v>779744</v>
      </c>
      <c r="H610" s="36" t="n">
        <v>0.01931150293870698</v>
      </c>
      <c r="I610" s="36" t="n">
        <v>-0.3576719576719577</v>
      </c>
      <c r="J610" s="31" t="n">
        <v>123730</v>
      </c>
      <c r="K610" s="31" t="n">
        <v>120101.6666666667</v>
      </c>
      <c r="L610" s="31" t="n">
        <v>104996.6666666667</v>
      </c>
      <c r="M610" s="36" t="n">
        <v>0.562853107005533</v>
      </c>
      <c r="N610" s="36" t="n">
        <v>0.6587830177148084</v>
      </c>
      <c r="O610" s="36" t="n">
        <v>-0.06327160493827155</v>
      </c>
      <c r="P610" s="36" t="n">
        <v>0.4644149577804584</v>
      </c>
      <c r="Q610" s="36" t="n">
        <v>0.3795454545454546</v>
      </c>
      <c r="R610" s="36" t="n">
        <v>-0.01883132627495354</v>
      </c>
      <c r="S610" s="36" t="n">
        <v>0.01081028573014531</v>
      </c>
      <c r="T610" s="36" t="n">
        <v>0.1562271818152956</v>
      </c>
      <c r="U610" s="31" t="n">
        <v>151500</v>
      </c>
      <c r="V610" s="31" t="n">
        <v>60200</v>
      </c>
      <c r="W610" s="36" t="n">
        <v>-0.1986798679867987</v>
      </c>
      <c r="X610" s="36" t="n">
        <v>1.016611295681063</v>
      </c>
      <c r="Y610" s="31" t="n">
        <v>95312200</v>
      </c>
      <c r="Z610" s="31" t="n">
        <v>11570901080000</v>
      </c>
      <c r="AA610" s="31" t="n">
        <v>94660921600</v>
      </c>
      <c r="AB610" s="31" t="n">
        <v>131496275650</v>
      </c>
      <c r="AC610" s="36" t="n">
        <v>0.008180946405601802</v>
      </c>
      <c r="AD610" s="29" t="inlineStr">
        <is>
          <t>yfinance_download</t>
        </is>
      </c>
      <c r="AE610" s="29" t="inlineStr">
        <is>
          <t>042700.KS</t>
        </is>
      </c>
    </row>
    <row r="611" ht="24" customHeight="1">
      <c r="A611" s="24" t="inlineStr">
        <is>
          <t>2025-12-09</t>
        </is>
      </c>
      <c r="B611" s="30" t="n">
        <v>121400</v>
      </c>
      <c r="C611" s="30" t="n">
        <v>123300</v>
      </c>
      <c r="D611" s="30" t="n">
        <v>119700</v>
      </c>
      <c r="E611" s="30" t="n">
        <v>121300</v>
      </c>
      <c r="F611" s="30" t="n">
        <v>120925.328125</v>
      </c>
      <c r="G611" s="30" t="n">
        <v>605092</v>
      </c>
      <c r="H611" s="35" t="n">
        <v>-0.0008237232289950436</v>
      </c>
      <c r="I611" s="35" t="n">
        <v>-0.3582010582010582</v>
      </c>
      <c r="J611" s="30" t="n">
        <v>123310</v>
      </c>
      <c r="K611" s="30" t="n">
        <v>120743.3333333333</v>
      </c>
      <c r="L611" s="30" t="n">
        <v>105284.1666666667</v>
      </c>
      <c r="M611" s="35" t="n">
        <v>0.5627525557576615</v>
      </c>
      <c r="N611" s="35" t="n">
        <v>0.6587626584692438</v>
      </c>
      <c r="O611" s="35" t="n">
        <v>-0.06476484194294529</v>
      </c>
      <c r="P611" s="35" t="n">
        <v>0.4649758454106281</v>
      </c>
      <c r="Q611" s="35" t="n">
        <v>0.3974654377880185</v>
      </c>
      <c r="R611" s="35" t="n">
        <v>-0.0163003811531911</v>
      </c>
      <c r="S611" s="35" t="n">
        <v>0.004610330453027167</v>
      </c>
      <c r="T611" s="35" t="n">
        <v>0.1521200560388156</v>
      </c>
      <c r="U611" s="30" t="n">
        <v>151500</v>
      </c>
      <c r="V611" s="30" t="n">
        <v>60200</v>
      </c>
      <c r="W611" s="35" t="n">
        <v>-0.1993399339933993</v>
      </c>
      <c r="X611" s="35" t="n">
        <v>1.014950166112957</v>
      </c>
      <c r="Y611" s="30" t="n">
        <v>95312200</v>
      </c>
      <c r="Z611" s="30" t="n">
        <v>11561369860000</v>
      </c>
      <c r="AA611" s="30" t="n">
        <v>73397659600</v>
      </c>
      <c r="AB611" s="30" t="n">
        <v>127088124865</v>
      </c>
      <c r="AC611" s="35" t="n">
        <v>0.006348526211754634</v>
      </c>
      <c r="AD611" s="24" t="inlineStr">
        <is>
          <t>yfinance_download</t>
        </is>
      </c>
      <c r="AE611" s="24" t="inlineStr">
        <is>
          <t>042700.KS</t>
        </is>
      </c>
    </row>
    <row r="612" ht="24" customHeight="1">
      <c r="A612" s="29" t="inlineStr">
        <is>
          <t>2025-12-10</t>
        </is>
      </c>
      <c r="B612" s="31" t="n">
        <v>122000</v>
      </c>
      <c r="C612" s="31" t="n">
        <v>123200</v>
      </c>
      <c r="D612" s="31" t="n">
        <v>120000</v>
      </c>
      <c r="E612" s="31" t="n">
        <v>121100</v>
      </c>
      <c r="F612" s="31" t="n">
        <v>120725.9453125</v>
      </c>
      <c r="G612" s="31" t="n">
        <v>794502</v>
      </c>
      <c r="H612" s="36" t="n">
        <v>-0.001648804616652955</v>
      </c>
      <c r="I612" s="36" t="n">
        <v>-0.3592592592592593</v>
      </c>
      <c r="J612" s="31" t="n">
        <v>122810</v>
      </c>
      <c r="K612" s="31" t="n">
        <v>121361.6666666667</v>
      </c>
      <c r="L612" s="31" t="n">
        <v>105564.1666666667</v>
      </c>
      <c r="M612" s="36" t="n">
        <v>0.5605122216359303</v>
      </c>
      <c r="N612" s="36" t="n">
        <v>0.6588296513284131</v>
      </c>
      <c r="O612" s="36" t="n">
        <v>-0.07627765064836001</v>
      </c>
      <c r="P612" s="36" t="n">
        <v>0.4416666666666667</v>
      </c>
      <c r="Q612" s="36" t="n">
        <v>0.3839999999999999</v>
      </c>
      <c r="R612" s="36" t="n">
        <v>-0.01392394756127346</v>
      </c>
      <c r="S612" s="36" t="n">
        <v>-0.002156089924056248</v>
      </c>
      <c r="T612" s="36" t="n">
        <v>0.1471695730085176</v>
      </c>
      <c r="U612" s="31" t="n">
        <v>151500</v>
      </c>
      <c r="V612" s="31" t="n">
        <v>60200</v>
      </c>
      <c r="W612" s="36" t="n">
        <v>-0.2006600660066007</v>
      </c>
      <c r="X612" s="36" t="n">
        <v>1.011627906976744</v>
      </c>
      <c r="Y612" s="31" t="n">
        <v>95312200</v>
      </c>
      <c r="Z612" s="31" t="n">
        <v>11542307420000</v>
      </c>
      <c r="AA612" s="31" t="n">
        <v>96214192200</v>
      </c>
      <c r="AB612" s="31" t="n">
        <v>124584273850</v>
      </c>
      <c r="AC612" s="36" t="n">
        <v>0.008335784925749275</v>
      </c>
      <c r="AD612" s="29" t="inlineStr">
        <is>
          <t>yfinance_download</t>
        </is>
      </c>
      <c r="AE612" s="29" t="inlineStr">
        <is>
          <t>042700.KS</t>
        </is>
      </c>
    </row>
    <row r="613" ht="24" customHeight="1">
      <c r="A613" s="24" t="inlineStr">
        <is>
          <t>2025-12-11</t>
        </is>
      </c>
      <c r="B613" s="30" t="n">
        <v>121600</v>
      </c>
      <c r="C613" s="30" t="n">
        <v>127900</v>
      </c>
      <c r="D613" s="30" t="n">
        <v>119200</v>
      </c>
      <c r="E613" s="30" t="n">
        <v>121000</v>
      </c>
      <c r="F613" s="30" t="n">
        <v>120626.25</v>
      </c>
      <c r="G613" s="30" t="n">
        <v>1631660</v>
      </c>
      <c r="H613" s="35" t="n">
        <v>-0.0008257638315442017</v>
      </c>
      <c r="I613" s="35" t="n">
        <v>-0.3597883597883598</v>
      </c>
      <c r="J613" s="30" t="n">
        <v>122185</v>
      </c>
      <c r="K613" s="30" t="n">
        <v>121923.3333333333</v>
      </c>
      <c r="L613" s="30" t="n">
        <v>105847.5</v>
      </c>
      <c r="M613" s="35" t="n">
        <v>0.5547871282423654</v>
      </c>
      <c r="N613" s="35" t="n">
        <v>0.6555353589571513</v>
      </c>
      <c r="O613" s="35" t="n">
        <v>-0.09363295880149813</v>
      </c>
      <c r="P613" s="35" t="n">
        <v>0.3860252004581901</v>
      </c>
      <c r="Q613" s="35" t="n">
        <v>0.3908045977011494</v>
      </c>
      <c r="R613" s="35" t="n">
        <v>-0.009698408151573412</v>
      </c>
      <c r="S613" s="35" t="n">
        <v>-0.007573065040872629</v>
      </c>
      <c r="T613" s="35" t="n">
        <v>0.1431540659911665</v>
      </c>
      <c r="U613" s="30" t="n">
        <v>151500</v>
      </c>
      <c r="V613" s="30" t="n">
        <v>60200</v>
      </c>
      <c r="W613" s="35" t="n">
        <v>-0.2013201320132013</v>
      </c>
      <c r="X613" s="35" t="n">
        <v>1.009966777408638</v>
      </c>
      <c r="Y613" s="30" t="n">
        <v>95312200</v>
      </c>
      <c r="Z613" s="30" t="n">
        <v>11532776200000</v>
      </c>
      <c r="AA613" s="30" t="n">
        <v>197430860000</v>
      </c>
      <c r="AB613" s="30" t="n">
        <v>127773447650</v>
      </c>
      <c r="AC613" s="35" t="n">
        <v>0.01711910962080405</v>
      </c>
      <c r="AD613" s="24" t="inlineStr">
        <is>
          <t>yfinance_download</t>
        </is>
      </c>
      <c r="AE613" s="24" t="inlineStr">
        <is>
          <t>042700.KS</t>
        </is>
      </c>
    </row>
    <row r="614" ht="24" customHeight="1">
      <c r="A614" s="29" t="inlineStr">
        <is>
          <t>2025-12-12</t>
        </is>
      </c>
      <c r="B614" s="31" t="n">
        <v>121000</v>
      </c>
      <c r="C614" s="31" t="n">
        <v>121100</v>
      </c>
      <c r="D614" s="31" t="n">
        <v>119300</v>
      </c>
      <c r="E614" s="31" t="n">
        <v>120200</v>
      </c>
      <c r="F614" s="31" t="n">
        <v>119828.71875</v>
      </c>
      <c r="G614" s="31" t="n">
        <v>806690</v>
      </c>
      <c r="H614" s="36" t="n">
        <v>-0.006611570247933907</v>
      </c>
      <c r="I614" s="36" t="n">
        <v>-0.364021164021164</v>
      </c>
      <c r="J614" s="31" t="n">
        <v>121915</v>
      </c>
      <c r="K614" s="31" t="n">
        <v>122426.6666666667</v>
      </c>
      <c r="L614" s="31" t="n">
        <v>106120</v>
      </c>
      <c r="M614" s="36" t="n">
        <v>0.5158621299266163</v>
      </c>
      <c r="N614" s="36" t="n">
        <v>0.6540142294165677</v>
      </c>
      <c r="O614" s="36" t="n">
        <v>-0.04299363057324845</v>
      </c>
      <c r="P614" s="36" t="n">
        <v>0.3355555555555556</v>
      </c>
      <c r="Q614" s="36" t="n">
        <v>0.3737142857142857</v>
      </c>
      <c r="R614" s="36" t="n">
        <v>-0.01406717795185175</v>
      </c>
      <c r="S614" s="36" t="n">
        <v>-0.0181877586582444</v>
      </c>
      <c r="T614" s="36" t="n">
        <v>0.1326799849227289</v>
      </c>
      <c r="U614" s="31" t="n">
        <v>151500</v>
      </c>
      <c r="V614" s="31" t="n">
        <v>60200</v>
      </c>
      <c r="W614" s="36" t="n">
        <v>-0.2066006600660066</v>
      </c>
      <c r="X614" s="36" t="n">
        <v>0.9966777408637875</v>
      </c>
      <c r="Y614" s="31" t="n">
        <v>95312200</v>
      </c>
      <c r="Z614" s="31" t="n">
        <v>11456526440000</v>
      </c>
      <c r="AA614" s="31" t="n">
        <v>96964138000</v>
      </c>
      <c r="AB614" s="31" t="n">
        <v>125670542350</v>
      </c>
      <c r="AC614" s="36" t="n">
        <v>0.008463659426600162</v>
      </c>
      <c r="AD614" s="29" t="inlineStr">
        <is>
          <t>yfinance_download</t>
        </is>
      </c>
      <c r="AE614" s="29" t="inlineStr">
        <is>
          <t>042700.KS</t>
        </is>
      </c>
    </row>
    <row r="615" ht="24" customHeight="1">
      <c r="A615" s="24" t="inlineStr">
        <is>
          <t>2025-12-15</t>
        </is>
      </c>
      <c r="B615" s="30" t="n">
        <v>116500</v>
      </c>
      <c r="C615" s="30" t="n">
        <v>119850</v>
      </c>
      <c r="D615" s="30" t="n">
        <v>115000</v>
      </c>
      <c r="E615" s="30" t="n">
        <v>118500</v>
      </c>
      <c r="F615" s="30" t="n">
        <v>118133.9765625</v>
      </c>
      <c r="G615" s="30" t="n">
        <v>543573</v>
      </c>
      <c r="H615" s="35" t="n">
        <v>-0.0141430948419301</v>
      </c>
      <c r="I615" s="35" t="n">
        <v>-0.373015873015873</v>
      </c>
      <c r="J615" s="30" t="n">
        <v>121225</v>
      </c>
      <c r="K615" s="30" t="n">
        <v>122886.6666666667</v>
      </c>
      <c r="L615" s="30" t="n">
        <v>106336.6666666667</v>
      </c>
      <c r="M615" s="35" t="n">
        <v>0.4743182672841498</v>
      </c>
      <c r="N615" s="35" t="n">
        <v>0.6551962980428484</v>
      </c>
      <c r="O615" s="35" t="n">
        <v>-0.1043083900226758</v>
      </c>
      <c r="P615" s="35" t="n">
        <v>0.3036303630363035</v>
      </c>
      <c r="Q615" s="35" t="n">
        <v>0.2810810810810811</v>
      </c>
      <c r="R615" s="35" t="n">
        <v>-0.02247886162095281</v>
      </c>
      <c r="S615" s="35" t="n">
        <v>-0.03569684804426843</v>
      </c>
      <c r="T615" s="35" t="n">
        <v>0.1143851289928215</v>
      </c>
      <c r="U615" s="30" t="n">
        <v>151500</v>
      </c>
      <c r="V615" s="30" t="n">
        <v>60200</v>
      </c>
      <c r="W615" s="35" t="n">
        <v>-0.2178217821782178</v>
      </c>
      <c r="X615" s="35" t="n">
        <v>0.9684385382059801</v>
      </c>
      <c r="Y615" s="30" t="n">
        <v>95312200</v>
      </c>
      <c r="Z615" s="30" t="n">
        <v>11294495700000</v>
      </c>
      <c r="AA615" s="30" t="n">
        <v>64413400500</v>
      </c>
      <c r="AB615" s="30" t="n">
        <v>117482249110</v>
      </c>
      <c r="AC615" s="35" t="n">
        <v>0.005703078934281236</v>
      </c>
      <c r="AD615" s="24" t="inlineStr">
        <is>
          <t>yfinance_download</t>
        </is>
      </c>
      <c r="AE615" s="24" t="inlineStr">
        <is>
          <t>042700.KS</t>
        </is>
      </c>
    </row>
    <row r="616" ht="24" customHeight="1">
      <c r="A616" s="29" t="inlineStr">
        <is>
          <t>2025-12-16</t>
        </is>
      </c>
      <c r="B616" s="31" t="n">
        <v>117300</v>
      </c>
      <c r="C616" s="31" t="n">
        <v>120900</v>
      </c>
      <c r="D616" s="31" t="n">
        <v>116200</v>
      </c>
      <c r="E616" s="31" t="n">
        <v>116300</v>
      </c>
      <c r="F616" s="31" t="n">
        <v>115940.765625</v>
      </c>
      <c r="G616" s="31" t="n">
        <v>627010</v>
      </c>
      <c r="H616" s="36" t="n">
        <v>-0.01856540084388181</v>
      </c>
      <c r="I616" s="36" t="n">
        <v>-0.3846560846560847</v>
      </c>
      <c r="J616" s="31" t="n">
        <v>120955</v>
      </c>
      <c r="K616" s="31" t="n">
        <v>123306.6666666667</v>
      </c>
      <c r="L616" s="31" t="n">
        <v>106530.8333333333</v>
      </c>
      <c r="M616" s="36" t="n">
        <v>0.3875131177714893</v>
      </c>
      <c r="N616" s="36" t="n">
        <v>0.6569862306408863</v>
      </c>
      <c r="O616" s="36" t="n">
        <v>-0.04437140509449466</v>
      </c>
      <c r="P616" s="36" t="n">
        <v>0.2766190998902305</v>
      </c>
      <c r="Q616" s="36" t="n">
        <v>0.2505376344086021</v>
      </c>
      <c r="R616" s="36" t="n">
        <v>-0.03848538712744409</v>
      </c>
      <c r="S616" s="36" t="n">
        <v>-0.05682309688581322</v>
      </c>
      <c r="T616" s="36" t="n">
        <v>0.09170271517635742</v>
      </c>
      <c r="U616" s="31" t="n">
        <v>151500</v>
      </c>
      <c r="V616" s="31" t="n">
        <v>60200</v>
      </c>
      <c r="W616" s="36" t="n">
        <v>-0.2323432343234323</v>
      </c>
      <c r="X616" s="36" t="n">
        <v>0.9318936877076411</v>
      </c>
      <c r="Y616" s="31" t="n">
        <v>95312200</v>
      </c>
      <c r="Z616" s="31" t="n">
        <v>11084808860000</v>
      </c>
      <c r="AA616" s="31" t="n">
        <v>72921263000</v>
      </c>
      <c r="AB616" s="31" t="n">
        <v>111363706675</v>
      </c>
      <c r="AC616" s="36" t="n">
        <v>0.006578486279825668</v>
      </c>
      <c r="AD616" s="29" t="inlineStr">
        <is>
          <t>yfinance_download</t>
        </is>
      </c>
      <c r="AE616" s="29" t="inlineStr">
        <is>
          <t>042700.KS</t>
        </is>
      </c>
    </row>
    <row r="617" ht="24" customHeight="1">
      <c r="A617" s="24" t="inlineStr">
        <is>
          <t>2025-12-17</t>
        </is>
      </c>
      <c r="B617" s="30" t="n">
        <v>117000</v>
      </c>
      <c r="C617" s="30" t="n">
        <v>119900</v>
      </c>
      <c r="D617" s="30" t="n">
        <v>116850</v>
      </c>
      <c r="E617" s="30" t="n">
        <v>119900</v>
      </c>
      <c r="F617" s="30" t="n">
        <v>119529.6484375</v>
      </c>
      <c r="G617" s="30" t="n">
        <v>584198</v>
      </c>
      <c r="H617" s="35" t="n">
        <v>0.03095442820292349</v>
      </c>
      <c r="I617" s="35" t="n">
        <v>-0.3656084656084656</v>
      </c>
      <c r="J617" s="30" t="n">
        <v>120915</v>
      </c>
      <c r="K617" s="30" t="n">
        <v>123750</v>
      </c>
      <c r="L617" s="30" t="n">
        <v>106776.6666666667</v>
      </c>
      <c r="M617" s="35" t="n">
        <v>0.4037661004100242</v>
      </c>
      <c r="N617" s="35" t="n">
        <v>0.657985778087286</v>
      </c>
      <c r="O617" s="35" t="n">
        <v>-0.006628003314001707</v>
      </c>
      <c r="P617" s="35" t="n">
        <v>0.285101822079314</v>
      </c>
      <c r="Q617" s="35" t="n">
        <v>0.3263274336283186</v>
      </c>
      <c r="R617" s="35" t="n">
        <v>-0.008394326593061274</v>
      </c>
      <c r="S617" s="35" t="n">
        <v>-0.03111111111111109</v>
      </c>
      <c r="T617" s="35" t="n">
        <v>0.1229045047294977</v>
      </c>
      <c r="U617" s="30" t="n">
        <v>151500</v>
      </c>
      <c r="V617" s="30" t="n">
        <v>60200</v>
      </c>
      <c r="W617" s="35" t="n">
        <v>-0.2085808580858086</v>
      </c>
      <c r="X617" s="35" t="n">
        <v>0.9916943521594683</v>
      </c>
      <c r="Y617" s="30" t="n">
        <v>95312200</v>
      </c>
      <c r="Z617" s="30" t="n">
        <v>11427932780000</v>
      </c>
      <c r="AA617" s="30" t="n">
        <v>70045340200</v>
      </c>
      <c r="AB617" s="30" t="n">
        <v>107107794100</v>
      </c>
      <c r="AC617" s="35" t="n">
        <v>0.006129309784057025</v>
      </c>
      <c r="AD617" s="24" t="inlineStr">
        <is>
          <t>yfinance_download</t>
        </is>
      </c>
      <c r="AE617" s="24" t="inlineStr">
        <is>
          <t>042700.KS</t>
        </is>
      </c>
    </row>
    <row r="618" ht="24" customHeight="1">
      <c r="A618" s="29" t="inlineStr">
        <is>
          <t>2025-12-18</t>
        </is>
      </c>
      <c r="B618" s="31" t="n">
        <v>117500</v>
      </c>
      <c r="C618" s="31" t="n">
        <v>119700</v>
      </c>
      <c r="D618" s="31" t="n">
        <v>116000</v>
      </c>
      <c r="E618" s="31" t="n">
        <v>116400</v>
      </c>
      <c r="F618" s="31" t="n">
        <v>116040.4609375</v>
      </c>
      <c r="G618" s="31" t="n">
        <v>588981</v>
      </c>
      <c r="H618" s="36" t="n">
        <v>-0.02919099249374479</v>
      </c>
      <c r="I618" s="36" t="n">
        <v>-0.3841269841269841</v>
      </c>
      <c r="J618" s="31" t="n">
        <v>120560</v>
      </c>
      <c r="K618" s="31" t="n">
        <v>124173.3333333333</v>
      </c>
      <c r="L618" s="31" t="n">
        <v>106973.3333333333</v>
      </c>
      <c r="M618" s="36" t="n">
        <v>0.4066089172924905</v>
      </c>
      <c r="N618" s="36" t="n">
        <v>0.6589245455997165</v>
      </c>
      <c r="O618" s="36" t="n">
        <v>-0.05748987854251009</v>
      </c>
      <c r="P618" s="36" t="n">
        <v>0.279120879120879</v>
      </c>
      <c r="Q618" s="36" t="n">
        <v>0.2543103448275863</v>
      </c>
      <c r="R618" s="36" t="n">
        <v>-0.03450564034505643</v>
      </c>
      <c r="S618" s="36" t="n">
        <v>-0.06260066573606782</v>
      </c>
      <c r="T618" s="36" t="n">
        <v>0.08812165025551555</v>
      </c>
      <c r="U618" s="31" t="n">
        <v>151500</v>
      </c>
      <c r="V618" s="31" t="n">
        <v>60200</v>
      </c>
      <c r="W618" s="36" t="n">
        <v>-0.2316831683168317</v>
      </c>
      <c r="X618" s="36" t="n">
        <v>0.9335548172757475</v>
      </c>
      <c r="Y618" s="31" t="n">
        <v>95312200</v>
      </c>
      <c r="Z618" s="31" t="n">
        <v>11094340080000</v>
      </c>
      <c r="AA618" s="31" t="n">
        <v>68557388400</v>
      </c>
      <c r="AB618" s="31" t="n">
        <v>105681613345</v>
      </c>
      <c r="AC618" s="36" t="n">
        <v>0.00617949223709032</v>
      </c>
      <c r="AD618" s="29" t="inlineStr">
        <is>
          <t>yfinance_download</t>
        </is>
      </c>
      <c r="AE618" s="29" t="inlineStr">
        <is>
          <t>042700.KS</t>
        </is>
      </c>
    </row>
    <row r="619" ht="24" customHeight="1">
      <c r="A619" s="24" t="inlineStr">
        <is>
          <t>2025-12-19</t>
        </is>
      </c>
      <c r="B619" s="30" t="n">
        <v>118500</v>
      </c>
      <c r="C619" s="30" t="n">
        <v>119400</v>
      </c>
      <c r="D619" s="30" t="n">
        <v>114700</v>
      </c>
      <c r="E619" s="30" t="n">
        <v>116400</v>
      </c>
      <c r="F619" s="30" t="n">
        <v>116040.4609375</v>
      </c>
      <c r="G619" s="30" t="n">
        <v>523834</v>
      </c>
      <c r="H619" s="35" t="n">
        <v>0</v>
      </c>
      <c r="I619" s="35" t="n">
        <v>-0.3841269841269841</v>
      </c>
      <c r="J619" s="30" t="n">
        <v>120375</v>
      </c>
      <c r="K619" s="30" t="n">
        <v>124543.3333333333</v>
      </c>
      <c r="L619" s="30" t="n">
        <v>107130.8333333333</v>
      </c>
      <c r="M619" s="35" t="n">
        <v>0.3958659967703543</v>
      </c>
      <c r="N619" s="35" t="n">
        <v>0.6559654483116146</v>
      </c>
      <c r="O619" s="35" t="n">
        <v>-0.03080766028309745</v>
      </c>
      <c r="P619" s="35" t="n">
        <v>0.2356687898089171</v>
      </c>
      <c r="Q619" s="35" t="n">
        <v>0.1938461538461538</v>
      </c>
      <c r="R619" s="35" t="n">
        <v>-0.03302180685358258</v>
      </c>
      <c r="S619" s="35" t="n">
        <v>-0.06538554184621148</v>
      </c>
      <c r="T619" s="35" t="n">
        <v>0.0865219319056918</v>
      </c>
      <c r="U619" s="30" t="n">
        <v>151500</v>
      </c>
      <c r="V619" s="30" t="n">
        <v>60200</v>
      </c>
      <c r="W619" s="35" t="n">
        <v>-0.2316831683168317</v>
      </c>
      <c r="X619" s="35" t="n">
        <v>0.9335548172757475</v>
      </c>
      <c r="Y619" s="30" t="n">
        <v>95312200</v>
      </c>
      <c r="Z619" s="30" t="n">
        <v>11094340080000</v>
      </c>
      <c r="AA619" s="30" t="n">
        <v>60974277600</v>
      </c>
      <c r="AB619" s="30" t="n">
        <v>102815738505</v>
      </c>
      <c r="AC619" s="35" t="n">
        <v>0.005495980577512638</v>
      </c>
      <c r="AD619" s="24" t="inlineStr">
        <is>
          <t>yfinance_download</t>
        </is>
      </c>
      <c r="AE619" s="24" t="inlineStr">
        <is>
          <t>042700.KS</t>
        </is>
      </c>
    </row>
    <row r="620" ht="24" customHeight="1">
      <c r="A620" s="29" t="inlineStr">
        <is>
          <t>2025-12-22</t>
        </is>
      </c>
      <c r="B620" s="31" t="n">
        <v>118500</v>
      </c>
      <c r="C620" s="31" t="n">
        <v>127600</v>
      </c>
      <c r="D620" s="31" t="n">
        <v>118300</v>
      </c>
      <c r="E620" s="31" t="n">
        <v>127000</v>
      </c>
      <c r="F620" s="31" t="n">
        <v>126607.71875</v>
      </c>
      <c r="G620" s="31" t="n">
        <v>2469789</v>
      </c>
      <c r="H620" s="36" t="n">
        <v>0.09106529209621983</v>
      </c>
      <c r="I620" s="36" t="n">
        <v>-0.328042328042328</v>
      </c>
      <c r="J620" s="31" t="n">
        <v>120745</v>
      </c>
      <c r="K620" s="31" t="n">
        <v>125106.6666666667</v>
      </c>
      <c r="L620" s="31" t="n">
        <v>107325</v>
      </c>
      <c r="M620" s="36" t="n">
        <v>0.5134871824181397</v>
      </c>
      <c r="N620" s="36" t="n">
        <v>0.6787687472345066</v>
      </c>
      <c r="O620" s="36" t="n">
        <v>0.06187290969899673</v>
      </c>
      <c r="P620" s="36" t="n">
        <v>0.3626609442060085</v>
      </c>
      <c r="Q620" s="36" t="n">
        <v>0.2246865959498554</v>
      </c>
      <c r="R620" s="36" t="n">
        <v>0.05180338730382217</v>
      </c>
      <c r="S620" s="36" t="n">
        <v>0.01513375253117344</v>
      </c>
      <c r="T620" s="36" t="n">
        <v>0.1833216864663405</v>
      </c>
      <c r="U620" s="31" t="n">
        <v>151500</v>
      </c>
      <c r="V620" s="31" t="n">
        <v>60200</v>
      </c>
      <c r="W620" s="36" t="n">
        <v>-0.1617161716171617</v>
      </c>
      <c r="X620" s="36" t="n">
        <v>1.109634551495017</v>
      </c>
      <c r="Y620" s="31" t="n">
        <v>95312200</v>
      </c>
      <c r="Z620" s="31" t="n">
        <v>12104649400000</v>
      </c>
      <c r="AA620" s="31" t="n">
        <v>313663203000</v>
      </c>
      <c r="AB620" s="31" t="n">
        <v>113616025335</v>
      </c>
      <c r="AC620" s="36" t="n">
        <v>0.02591262188890824</v>
      </c>
      <c r="AD620" s="29" t="inlineStr">
        <is>
          <t>yfinance_download</t>
        </is>
      </c>
      <c r="AE620" s="29" t="inlineStr">
        <is>
          <t>042700.KS</t>
        </is>
      </c>
    </row>
    <row r="621" ht="24" customHeight="1">
      <c r="A621" s="24" t="inlineStr">
        <is>
          <t>2025-12-23</t>
        </is>
      </c>
      <c r="B621" s="30" t="n">
        <v>128100</v>
      </c>
      <c r="C621" s="30" t="n">
        <v>129600</v>
      </c>
      <c r="D621" s="30" t="n">
        <v>125800</v>
      </c>
      <c r="E621" s="30" t="n">
        <v>127000</v>
      </c>
      <c r="F621" s="30" t="n">
        <v>126607.71875</v>
      </c>
      <c r="G621" s="30" t="n">
        <v>1486199</v>
      </c>
      <c r="H621" s="35" t="n">
        <v>0</v>
      </c>
      <c r="I621" s="35" t="n">
        <v>-0.328042328042328</v>
      </c>
      <c r="J621" s="30" t="n">
        <v>121090</v>
      </c>
      <c r="K621" s="30" t="n">
        <v>125623.3333333333</v>
      </c>
      <c r="L621" s="30" t="n">
        <v>107525.8333333333</v>
      </c>
      <c r="M621" s="35" t="n">
        <v>0.5136269645394564</v>
      </c>
      <c r="N621" s="35" t="n">
        <v>0.677019609921708</v>
      </c>
      <c r="O621" s="35" t="n">
        <v>0.05745212323064108</v>
      </c>
      <c r="P621" s="35" t="n">
        <v>0.3229166666666667</v>
      </c>
      <c r="Q621" s="35" t="n">
        <v>0.2342079689018464</v>
      </c>
      <c r="R621" s="35" t="n">
        <v>0.04880667272276829</v>
      </c>
      <c r="S621" s="35" t="n">
        <v>0.01095868601905181</v>
      </c>
      <c r="T621" s="35" t="n">
        <v>0.1811115158372794</v>
      </c>
      <c r="U621" s="30" t="n">
        <v>151500</v>
      </c>
      <c r="V621" s="30" t="n">
        <v>60200</v>
      </c>
      <c r="W621" s="35" t="n">
        <v>-0.1617161716171617</v>
      </c>
      <c r="X621" s="35" t="n">
        <v>1.109634551495017</v>
      </c>
      <c r="Y621" s="30" t="n">
        <v>95312200</v>
      </c>
      <c r="Z621" s="30" t="n">
        <v>12104649400000</v>
      </c>
      <c r="AA621" s="30" t="n">
        <v>188747273000</v>
      </c>
      <c r="AB621" s="30" t="n">
        <v>117101148915</v>
      </c>
      <c r="AC621" s="35" t="n">
        <v>0.01559295662045363</v>
      </c>
      <c r="AD621" s="24" t="inlineStr">
        <is>
          <t>yfinance_download</t>
        </is>
      </c>
      <c r="AE621" s="24" t="inlineStr">
        <is>
          <t>042700.KS</t>
        </is>
      </c>
    </row>
    <row r="622" ht="24" customHeight="1">
      <c r="A622" s="29" t="inlineStr">
        <is>
          <t>2025-12-24</t>
        </is>
      </c>
      <c r="B622" s="31" t="n">
        <v>127800</v>
      </c>
      <c r="C622" s="31" t="n">
        <v>130400</v>
      </c>
      <c r="D622" s="31" t="n">
        <v>124000</v>
      </c>
      <c r="E622" s="31" t="n">
        <v>124600</v>
      </c>
      <c r="F622" s="31" t="n">
        <v>124215.1328125</v>
      </c>
      <c r="G622" s="31" t="n">
        <v>1152048</v>
      </c>
      <c r="H622" s="36" t="n">
        <v>-0.01889763779527565</v>
      </c>
      <c r="I622" s="36" t="n">
        <v>-0.3407407407407408</v>
      </c>
      <c r="J622" s="31" t="n">
        <v>120895</v>
      </c>
      <c r="K622" s="31" t="n">
        <v>126096.6666666667</v>
      </c>
      <c r="L622" s="31" t="n">
        <v>107714.1666666667</v>
      </c>
      <c r="M622" s="36" t="n">
        <v>0.4540535364080175</v>
      </c>
      <c r="N622" s="36" t="n">
        <v>0.67883889306487</v>
      </c>
      <c r="O622" s="36" t="n">
        <v>-0.03035019455252919</v>
      </c>
      <c r="P622" s="36" t="n">
        <v>0.2952182952182951</v>
      </c>
      <c r="Q622" s="36" t="n">
        <v>0.2215686274509805</v>
      </c>
      <c r="R622" s="36" t="n">
        <v>0.03064642871913636</v>
      </c>
      <c r="S622" s="36" t="n">
        <v>-0.01186920087763355</v>
      </c>
      <c r="T622" s="36" t="n">
        <v>0.1567652042055749</v>
      </c>
      <c r="U622" s="31" t="n">
        <v>151500</v>
      </c>
      <c r="V622" s="31" t="n">
        <v>60200</v>
      </c>
      <c r="W622" s="36" t="n">
        <v>-0.1775577557755775</v>
      </c>
      <c r="X622" s="36" t="n">
        <v>1.069767441860465</v>
      </c>
      <c r="Y622" s="31" t="n">
        <v>95312200</v>
      </c>
      <c r="Z622" s="31" t="n">
        <v>11875900120000</v>
      </c>
      <c r="AA622" s="31" t="n">
        <v>143545180800</v>
      </c>
      <c r="AB622" s="31" t="n">
        <v>114162213330</v>
      </c>
      <c r="AC622" s="36" t="n">
        <v>0.01208709902824612</v>
      </c>
      <c r="AD622" s="29" t="inlineStr">
        <is>
          <t>yfinance_download</t>
        </is>
      </c>
      <c r="AE622" s="29" t="inlineStr">
        <is>
          <t>042700.KS</t>
        </is>
      </c>
    </row>
    <row r="623" ht="24" customHeight="1">
      <c r="A623" s="24" t="inlineStr">
        <is>
          <t>2025-12-26</t>
        </is>
      </c>
      <c r="B623" s="30" t="n">
        <v>125900</v>
      </c>
      <c r="C623" s="30" t="n">
        <v>135500</v>
      </c>
      <c r="D623" s="30" t="n">
        <v>125100</v>
      </c>
      <c r="E623" s="30" t="n">
        <v>132600</v>
      </c>
      <c r="F623" s="30" t="n">
        <v>132190.421875</v>
      </c>
      <c r="G623" s="30" t="n">
        <v>3657878</v>
      </c>
      <c r="H623" s="35" t="n">
        <v>0.0642054574638844</v>
      </c>
      <c r="I623" s="35" t="n">
        <v>-0.2984126984126985</v>
      </c>
      <c r="J623" s="30" t="n">
        <v>121310</v>
      </c>
      <c r="K623" s="30" t="n">
        <v>126738.3333333333</v>
      </c>
      <c r="L623" s="30" t="n">
        <v>108013.3333333333</v>
      </c>
      <c r="M623" s="35" t="n">
        <v>0.493386874520866</v>
      </c>
      <c r="N623" s="35" t="n">
        <v>0.6870659220574803</v>
      </c>
      <c r="O623" s="35" t="n">
        <v>0.0667739340305713</v>
      </c>
      <c r="P623" s="35" t="n">
        <v>0.4091392136025505</v>
      </c>
      <c r="Q623" s="35" t="n">
        <v>0.3712512926577043</v>
      </c>
      <c r="R623" s="35" t="n">
        <v>0.09306734811639594</v>
      </c>
      <c r="S623" s="35" t="n">
        <v>0.0462501479426114</v>
      </c>
      <c r="T623" s="35" t="n">
        <v>0.2276262189853104</v>
      </c>
      <c r="U623" s="30" t="n">
        <v>151500</v>
      </c>
      <c r="V623" s="30" t="n">
        <v>60200</v>
      </c>
      <c r="W623" s="35" t="n">
        <v>-0.1247524752475248</v>
      </c>
      <c r="X623" s="35" t="n">
        <v>1.20265780730897</v>
      </c>
      <c r="Y623" s="30" t="n">
        <v>95312200</v>
      </c>
      <c r="Z623" s="30" t="n">
        <v>12638397720000</v>
      </c>
      <c r="AA623" s="30" t="n">
        <v>485034622800</v>
      </c>
      <c r="AB623" s="30" t="n">
        <v>132581353420</v>
      </c>
      <c r="AC623" s="35" t="n">
        <v>0.03837785718932099</v>
      </c>
      <c r="AD623" s="24" t="inlineStr">
        <is>
          <t>yfinance_download</t>
        </is>
      </c>
      <c r="AE623" s="24" t="inlineStr">
        <is>
          <t>042700.KS</t>
        </is>
      </c>
    </row>
    <row r="624" ht="24" customHeight="1">
      <c r="A624" s="29" t="inlineStr">
        <is>
          <t>2025-12-29</t>
        </is>
      </c>
      <c r="B624" s="31" t="n">
        <v>136200</v>
      </c>
      <c r="C624" s="31" t="n">
        <v>136200</v>
      </c>
      <c r="D624" s="31" t="n">
        <v>129800</v>
      </c>
      <c r="E624" s="31" t="n">
        <v>130400</v>
      </c>
      <c r="F624" s="31" t="n">
        <v>129997.21875</v>
      </c>
      <c r="G624" s="31" t="n">
        <v>1959990</v>
      </c>
      <c r="H624" s="36" t="n">
        <v>-0.01659125188536958</v>
      </c>
      <c r="I624" s="36" t="n">
        <v>-0.31005291005291</v>
      </c>
      <c r="J624" s="31" t="n">
        <v>121650</v>
      </c>
      <c r="K624" s="31" t="n">
        <v>127415</v>
      </c>
      <c r="L624" s="31" t="n">
        <v>108317.5</v>
      </c>
      <c r="M624" s="36" t="n">
        <v>0.4976464492410231</v>
      </c>
      <c r="N624" s="36" t="n">
        <v>0.6801555726119423</v>
      </c>
      <c r="O624" s="36" t="n">
        <v>0.05501618122977336</v>
      </c>
      <c r="P624" s="36" t="n">
        <v>0.4521158129175946</v>
      </c>
      <c r="Q624" s="36" t="n">
        <v>0.3887113951011714</v>
      </c>
      <c r="R624" s="36" t="n">
        <v>0.07192766132346895</v>
      </c>
      <c r="S624" s="36" t="n">
        <v>0.02342738296118974</v>
      </c>
      <c r="T624" s="36" t="n">
        <v>0.2038682576684285</v>
      </c>
      <c r="U624" s="31" t="n">
        <v>151500</v>
      </c>
      <c r="V624" s="31" t="n">
        <v>60200</v>
      </c>
      <c r="W624" s="36" t="n">
        <v>-0.1392739273927392</v>
      </c>
      <c r="X624" s="36" t="n">
        <v>1.166112956810631</v>
      </c>
      <c r="Y624" s="31" t="n">
        <v>95312200</v>
      </c>
      <c r="Z624" s="31" t="n">
        <v>12428710880000</v>
      </c>
      <c r="AA624" s="31" t="n">
        <v>255582696000</v>
      </c>
      <c r="AB624" s="31" t="n">
        <v>141835966240</v>
      </c>
      <c r="AC624" s="36" t="n">
        <v>0.02056389423389661</v>
      </c>
      <c r="AD624" s="29" t="inlineStr">
        <is>
          <t>yfinance_download</t>
        </is>
      </c>
      <c r="AE624" s="29" t="inlineStr">
        <is>
          <t>042700.KS</t>
        </is>
      </c>
    </row>
    <row r="625" ht="24" customHeight="1">
      <c r="A625" s="24" t="inlineStr">
        <is>
          <t>2025-12-30</t>
        </is>
      </c>
      <c r="B625" s="30" t="n">
        <v>130400</v>
      </c>
      <c r="C625" s="30" t="n">
        <v>131800</v>
      </c>
      <c r="D625" s="30" t="n">
        <v>126700</v>
      </c>
      <c r="E625" s="30" t="n">
        <v>127400</v>
      </c>
      <c r="F625" s="30" t="n">
        <v>127006.484375</v>
      </c>
      <c r="G625" s="30" t="n">
        <v>1589454</v>
      </c>
      <c r="H625" s="35" t="n">
        <v>-0.02300613496932513</v>
      </c>
      <c r="I625" s="35" t="n">
        <v>-0.325925925925926</v>
      </c>
      <c r="J625" s="30" t="n">
        <v>121935</v>
      </c>
      <c r="K625" s="30" t="n">
        <v>128013.3333333333</v>
      </c>
      <c r="L625" s="30" t="n">
        <v>108585</v>
      </c>
      <c r="M625" s="35" t="n">
        <v>0.5021294705743634</v>
      </c>
      <c r="N625" s="35" t="n">
        <v>0.6824660054560282</v>
      </c>
      <c r="O625" s="35" t="n">
        <v>0.04683648315529987</v>
      </c>
      <c r="P625" s="35" t="n">
        <v>0.3923497267759564</v>
      </c>
      <c r="Q625" s="35" t="n">
        <v>0.3368310598111228</v>
      </c>
      <c r="R625" s="35" t="n">
        <v>0.0448189609218026</v>
      </c>
      <c r="S625" s="35" t="n">
        <v>-0.004791167586709721</v>
      </c>
      <c r="T625" s="35" t="n">
        <v>0.1732743933324123</v>
      </c>
      <c r="U625" s="30" t="n">
        <v>151500</v>
      </c>
      <c r="V625" s="30" t="n">
        <v>60200</v>
      </c>
      <c r="W625" s="35" t="n">
        <v>-0.1590759075907591</v>
      </c>
      <c r="X625" s="35" t="n">
        <v>1.116279069767442</v>
      </c>
      <c r="Y625" s="30" t="n">
        <v>95312200</v>
      </c>
      <c r="Z625" s="30" t="n">
        <v>12142774280000</v>
      </c>
      <c r="AA625" s="30" t="n">
        <v>202496439600</v>
      </c>
      <c r="AB625" s="30" t="n">
        <v>147069087145</v>
      </c>
      <c r="AC625" s="35" t="n">
        <v>0.01667629117783453</v>
      </c>
      <c r="AD625" s="24" t="inlineStr">
        <is>
          <t>yfinance_download</t>
        </is>
      </c>
      <c r="AE625" s="24" t="inlineStr">
        <is>
          <t>042700.KS</t>
        </is>
      </c>
    </row>
    <row r="626" ht="24" customHeight="1">
      <c r="A626" s="29" t="inlineStr">
        <is>
          <t>2026-01-02</t>
        </is>
      </c>
      <c r="B626" s="31" t="n">
        <v>127600</v>
      </c>
      <c r="C626" s="31" t="n">
        <v>144700</v>
      </c>
      <c r="D626" s="31" t="n">
        <v>127600</v>
      </c>
      <c r="E626" s="31" t="n">
        <v>144500</v>
      </c>
      <c r="F626" s="31" t="n">
        <v>144053.65625</v>
      </c>
      <c r="G626" s="31" t="n">
        <v>3357195</v>
      </c>
      <c r="H626" s="36" t="n">
        <v>0.1342229199372056</v>
      </c>
      <c r="I626" s="36" t="n">
        <v>-0.2354497354497355</v>
      </c>
      <c r="J626" s="31" t="n">
        <v>123135</v>
      </c>
      <c r="K626" s="31" t="n">
        <v>128813.3333333333</v>
      </c>
      <c r="L626" s="31" t="n">
        <v>109003.3333333333</v>
      </c>
      <c r="M626" s="36" t="n">
        <v>0.68227598127077</v>
      </c>
      <c r="N626" s="36" t="n">
        <v>0.7246741115272174</v>
      </c>
      <c r="O626" s="36" t="n">
        <v>0.1991701244813278</v>
      </c>
      <c r="P626" s="36" t="n">
        <v>0.4974093264248705</v>
      </c>
      <c r="Q626" s="36" t="n">
        <v>0.5323435843054083</v>
      </c>
      <c r="R626" s="36" t="n">
        <v>0.1735087505583304</v>
      </c>
      <c r="S626" s="36" t="n">
        <v>0.1217782838215506</v>
      </c>
      <c r="T626" s="36" t="n">
        <v>0.3256475337145655</v>
      </c>
      <c r="U626" s="31" t="n">
        <v>151500</v>
      </c>
      <c r="V626" s="31" t="n">
        <v>60200</v>
      </c>
      <c r="W626" s="36" t="n">
        <v>-0.04620462046204621</v>
      </c>
      <c r="X626" s="36" t="n">
        <v>1.400332225913621</v>
      </c>
      <c r="Y626" s="31" t="n">
        <v>95312200</v>
      </c>
      <c r="Z626" s="31" t="n">
        <v>13772612900000</v>
      </c>
      <c r="AA626" s="31" t="n">
        <v>485114677500</v>
      </c>
      <c r="AB626" s="31" t="n">
        <v>166244848295</v>
      </c>
      <c r="AC626" s="36" t="n">
        <v>0.03522314037447462</v>
      </c>
      <c r="AD626" s="29" t="inlineStr">
        <is>
          <t>yfinance_download</t>
        </is>
      </c>
      <c r="AE626" s="29" t="inlineStr">
        <is>
          <t>042700.KS</t>
        </is>
      </c>
    </row>
    <row r="627" ht="24" customHeight="1">
      <c r="A627" s="24" t="inlineStr">
        <is>
          <t>2026-01-05</t>
        </is>
      </c>
      <c r="B627" s="30" t="n">
        <v>154900</v>
      </c>
      <c r="C627" s="30" t="n">
        <v>168400</v>
      </c>
      <c r="D627" s="30" t="n">
        <v>153200</v>
      </c>
      <c r="E627" s="30" t="n">
        <v>167300</v>
      </c>
      <c r="F627" s="30" t="n">
        <v>166783.234375</v>
      </c>
      <c r="G627" s="30" t="n">
        <v>6479709</v>
      </c>
      <c r="H627" s="35" t="n">
        <v>0.1577854671280277</v>
      </c>
      <c r="I627" s="35" t="n">
        <v>-0.1148148148148148</v>
      </c>
      <c r="J627" s="30" t="n">
        <v>125425</v>
      </c>
      <c r="K627" s="30" t="n">
        <v>130020</v>
      </c>
      <c r="L627" s="30" t="n">
        <v>109611.6666666667</v>
      </c>
      <c r="M627" s="35" t="n">
        <v>0.8605151159815437</v>
      </c>
      <c r="N627" s="35" t="n">
        <v>0.7852648386799242</v>
      </c>
      <c r="O627" s="35" t="n">
        <v>0.376954732510288</v>
      </c>
      <c r="P627" s="35" t="n">
        <v>0.7629083245521602</v>
      </c>
      <c r="Q627" s="35" t="n">
        <v>0.7741251325556733</v>
      </c>
      <c r="R627" s="35" t="n">
        <v>0.3338648594777756</v>
      </c>
      <c r="S627" s="35" t="n">
        <v>0.2867251192124289</v>
      </c>
      <c r="T627" s="35" t="n">
        <v>0.5262973831860962</v>
      </c>
      <c r="U627" s="30" t="n">
        <v>167300</v>
      </c>
      <c r="V627" s="30" t="n">
        <v>60200</v>
      </c>
      <c r="W627" s="35" t="n">
        <v>0</v>
      </c>
      <c r="X627" s="35" t="n">
        <v>1.779069767441861</v>
      </c>
      <c r="Y627" s="30" t="n">
        <v>95312200</v>
      </c>
      <c r="Z627" s="30" t="n">
        <v>15945731060000</v>
      </c>
      <c r="AA627" s="30" t="n">
        <v>1084055315700</v>
      </c>
      <c r="AB627" s="30" t="n">
        <v>215296062680</v>
      </c>
      <c r="AC627" s="35" t="n">
        <v>0.06798404611371892</v>
      </c>
      <c r="AD627" s="24" t="inlineStr">
        <is>
          <t>yfinance_download</t>
        </is>
      </c>
      <c r="AE627" s="24" t="inlineStr">
        <is>
          <t>042700.KS</t>
        </is>
      </c>
    </row>
    <row r="628" ht="24" customHeight="1">
      <c r="A628" s="29" t="inlineStr">
        <is>
          <t>2026-01-06</t>
        </is>
      </c>
      <c r="B628" s="31" t="n">
        <v>169000</v>
      </c>
      <c r="C628" s="31" t="n">
        <v>183700</v>
      </c>
      <c r="D628" s="31" t="n">
        <v>167300</v>
      </c>
      <c r="E628" s="31" t="n">
        <v>183700</v>
      </c>
      <c r="F628" s="31" t="n">
        <v>183132.578125</v>
      </c>
      <c r="G628" s="31" t="n">
        <v>6073528</v>
      </c>
      <c r="H628" s="36" t="n">
        <v>0.09802749551703527</v>
      </c>
      <c r="I628" s="36" t="n">
        <v>-0.02804232804232809</v>
      </c>
      <c r="J628" s="31" t="n">
        <v>128805</v>
      </c>
      <c r="K628" s="31" t="n">
        <v>131411.6666666667</v>
      </c>
      <c r="L628" s="31" t="n">
        <v>110342.5</v>
      </c>
      <c r="M628" s="36" t="n">
        <v>0.8731541132914411</v>
      </c>
      <c r="N628" s="36" t="n">
        <v>0.8002527396891209</v>
      </c>
      <c r="O628" s="36" t="n">
        <v>0.5822566752799312</v>
      </c>
      <c r="P628" s="36" t="n">
        <v>0.8333333333333333</v>
      </c>
      <c r="Q628" s="36" t="n">
        <v>0.9135416666666667</v>
      </c>
      <c r="R628" s="36" t="n">
        <v>0.4261868716276542</v>
      </c>
      <c r="S628" s="36" t="n">
        <v>0.3978971932984134</v>
      </c>
      <c r="T628" s="36" t="n">
        <v>0.6648163672202461</v>
      </c>
      <c r="U628" s="31" t="n">
        <v>183700</v>
      </c>
      <c r="V628" s="31" t="n">
        <v>60200</v>
      </c>
      <c r="W628" s="36" t="n">
        <v>0</v>
      </c>
      <c r="X628" s="36" t="n">
        <v>2.051495016611296</v>
      </c>
      <c r="Y628" s="31" t="n">
        <v>95312200</v>
      </c>
      <c r="Z628" s="31" t="n">
        <v>17508851140000</v>
      </c>
      <c r="AA628" s="31" t="n">
        <v>1115707093600</v>
      </c>
      <c r="AB628" s="31" t="n">
        <v>263657849845</v>
      </c>
      <c r="AC628" s="36" t="n">
        <v>0.06372246155266587</v>
      </c>
      <c r="AD628" s="29" t="inlineStr">
        <is>
          <t>yfinance_download</t>
        </is>
      </c>
      <c r="AE628" s="29" t="inlineStr">
        <is>
          <t>042700.KS</t>
        </is>
      </c>
    </row>
    <row r="629" ht="24" customHeight="1">
      <c r="A629" s="24" t="inlineStr">
        <is>
          <t>2026-01-07</t>
        </is>
      </c>
      <c r="B629" s="30" t="n">
        <v>194300</v>
      </c>
      <c r="C629" s="30" t="n">
        <v>197100</v>
      </c>
      <c r="D629" s="30" t="n">
        <v>180500</v>
      </c>
      <c r="E629" s="30" t="n">
        <v>186500</v>
      </c>
      <c r="F629" s="30" t="n">
        <v>185923.9375</v>
      </c>
      <c r="G629" s="30" t="n">
        <v>4801481</v>
      </c>
      <c r="H629" s="35" t="n">
        <v>0.01524224278715303</v>
      </c>
      <c r="I629" s="35" t="n">
        <v>-0.01322751322751325</v>
      </c>
      <c r="J629" s="30" t="n">
        <v>132175</v>
      </c>
      <c r="K629" s="30" t="n">
        <v>132535</v>
      </c>
      <c r="L629" s="30" t="n">
        <v>111108.3333333333</v>
      </c>
      <c r="M629" s="35" t="n">
        <v>0.8737574756018107</v>
      </c>
      <c r="N629" s="35" t="n">
        <v>0.7099889447781823</v>
      </c>
      <c r="O629" s="35" t="n">
        <v>0.5659109991603695</v>
      </c>
      <c r="P629" s="35" t="n">
        <v>0.5659109991603695</v>
      </c>
      <c r="Q629" s="35" t="n">
        <v>0.9714587737843552</v>
      </c>
      <c r="R629" s="35" t="n">
        <v>0.4110081331567996</v>
      </c>
      <c r="S629" s="35" t="n">
        <v>0.4071754630852227</v>
      </c>
      <c r="T629" s="35" t="n">
        <v>0.6785419635490888</v>
      </c>
      <c r="U629" s="30" t="n">
        <v>186500</v>
      </c>
      <c r="V629" s="30" t="n">
        <v>60200</v>
      </c>
      <c r="W629" s="35" t="n">
        <v>0</v>
      </c>
      <c r="X629" s="35" t="n">
        <v>2.098006644518272</v>
      </c>
      <c r="Y629" s="30" t="n">
        <v>95312200</v>
      </c>
      <c r="Z629" s="30" t="n">
        <v>17775725300000</v>
      </c>
      <c r="AA629" s="30" t="n">
        <v>895476206500</v>
      </c>
      <c r="AB629" s="30" t="n">
        <v>303250107480</v>
      </c>
      <c r="AC629" s="35" t="n">
        <v>0.05037635265999526</v>
      </c>
      <c r="AD629" s="24" t="inlineStr">
        <is>
          <t>yfinance_download</t>
        </is>
      </c>
      <c r="AE629" s="24" t="inlineStr">
        <is>
          <t>042700.KS</t>
        </is>
      </c>
    </row>
    <row r="630" ht="24" customHeight="1">
      <c r="A630" s="29" t="inlineStr">
        <is>
          <t>2026-01-08</t>
        </is>
      </c>
      <c r="B630" s="31" t="n">
        <v>182700</v>
      </c>
      <c r="C630" s="31" t="n">
        <v>201000</v>
      </c>
      <c r="D630" s="31" t="n">
        <v>181800</v>
      </c>
      <c r="E630" s="31" t="n">
        <v>185700</v>
      </c>
      <c r="F630" s="31" t="n">
        <v>185126.40625</v>
      </c>
      <c r="G630" s="31" t="n">
        <v>5532705</v>
      </c>
      <c r="H630" s="36" t="n">
        <v>-0.00428954423592498</v>
      </c>
      <c r="I630" s="36" t="n">
        <v>-0.01746031746031751</v>
      </c>
      <c r="J630" s="31" t="n">
        <v>135390</v>
      </c>
      <c r="K630" s="31" t="n">
        <v>133496.6666666667</v>
      </c>
      <c r="L630" s="31" t="n">
        <v>111843.3333333333</v>
      </c>
      <c r="M630" s="36" t="n">
        <v>0.8794439440960183</v>
      </c>
      <c r="N630" s="36" t="n">
        <v>0.6968277692689638</v>
      </c>
      <c r="O630" s="36" t="n">
        <v>0.529654036243822</v>
      </c>
      <c r="P630" s="36" t="n">
        <v>0.4507812499999999</v>
      </c>
      <c r="Q630" s="36" t="n">
        <v>0.9046153846153846</v>
      </c>
      <c r="R630" s="36" t="n">
        <v>0.3715931752714381</v>
      </c>
      <c r="S630" s="36" t="n">
        <v>0.3910459686883569</v>
      </c>
      <c r="T630" s="36" t="n">
        <v>0.660358239203648</v>
      </c>
      <c r="U630" s="31" t="n">
        <v>186500</v>
      </c>
      <c r="V630" s="31" t="n">
        <v>60200</v>
      </c>
      <c r="W630" s="36" t="n">
        <v>-0.00428954423592498</v>
      </c>
      <c r="X630" s="36" t="n">
        <v>2.084717607973422</v>
      </c>
      <c r="Y630" s="31" t="n">
        <v>95312200</v>
      </c>
      <c r="Z630" s="31" t="n">
        <v>17699475540000</v>
      </c>
      <c r="AA630" s="31" t="n">
        <v>1027423318500</v>
      </c>
      <c r="AB630" s="31" t="n">
        <v>349888227325</v>
      </c>
      <c r="AC630" s="36" t="n">
        <v>0.05804823516821561</v>
      </c>
      <c r="AD630" s="29" t="inlineStr">
        <is>
          <t>yfinance_download</t>
        </is>
      </c>
      <c r="AE630" s="29" t="inlineStr">
        <is>
          <t>042700.KS</t>
        </is>
      </c>
    </row>
    <row r="631" ht="24" customHeight="1">
      <c r="A631" s="24" t="inlineStr">
        <is>
          <t>2026-01-09</t>
        </is>
      </c>
      <c r="B631" s="30" t="n">
        <v>181900</v>
      </c>
      <c r="C631" s="30" t="n">
        <v>182400</v>
      </c>
      <c r="D631" s="30" t="n">
        <v>173500</v>
      </c>
      <c r="E631" s="30" t="n">
        <v>176300</v>
      </c>
      <c r="F631" s="30" t="n">
        <v>175755.4375</v>
      </c>
      <c r="G631" s="30" t="n">
        <v>2622280</v>
      </c>
      <c r="H631" s="35" t="n">
        <v>-0.0506192784060312</v>
      </c>
      <c r="I631" s="35" t="n">
        <v>-0.06719576719576714</v>
      </c>
      <c r="J631" s="30" t="n">
        <v>138140</v>
      </c>
      <c r="K631" s="30" t="n">
        <v>134290</v>
      </c>
      <c r="L631" s="30" t="n">
        <v>112517.5</v>
      </c>
      <c r="M631" s="35" t="n">
        <v>0.9142915501237353</v>
      </c>
      <c r="N631" s="35" t="n">
        <v>0.7068078953198548</v>
      </c>
      <c r="O631" s="35" t="n">
        <v>0.4534212695795548</v>
      </c>
      <c r="P631" s="35" t="n">
        <v>0.3698523698523699</v>
      </c>
      <c r="Q631" s="35" t="n">
        <v>0.8480083857442349</v>
      </c>
      <c r="R631" s="35" t="n">
        <v>0.2762414941363833</v>
      </c>
      <c r="S631" s="35" t="n">
        <v>0.3128304415816516</v>
      </c>
      <c r="T631" s="35" t="n">
        <v>0.5668673761859266</v>
      </c>
      <c r="U631" s="30" t="n">
        <v>186500</v>
      </c>
      <c r="V631" s="30" t="n">
        <v>60200</v>
      </c>
      <c r="W631" s="35" t="n">
        <v>-0.05469168900804289</v>
      </c>
      <c r="X631" s="35" t="n">
        <v>1.928571428571428</v>
      </c>
      <c r="Y631" s="30" t="n">
        <v>95312200</v>
      </c>
      <c r="Z631" s="30" t="n">
        <v>16803540860000</v>
      </c>
      <c r="AA631" s="30" t="n">
        <v>462307964000</v>
      </c>
      <c r="AB631" s="30" t="n">
        <v>369333742545</v>
      </c>
      <c r="AC631" s="35" t="n">
        <v>0.02751253249846295</v>
      </c>
      <c r="AD631" s="24" t="inlineStr">
        <is>
          <t>yfinance_download</t>
        </is>
      </c>
      <c r="AE631" s="24" t="inlineStr">
        <is>
          <t>042700.KS</t>
        </is>
      </c>
    </row>
    <row r="632" ht="24" customHeight="1">
      <c r="A632" s="29" t="inlineStr">
        <is>
          <t>2026-01-12</t>
        </is>
      </c>
      <c r="B632" s="31" t="n">
        <v>177200</v>
      </c>
      <c r="C632" s="31" t="n">
        <v>179000</v>
      </c>
      <c r="D632" s="31" t="n">
        <v>164800</v>
      </c>
      <c r="E632" s="31" t="n">
        <v>167600</v>
      </c>
      <c r="F632" s="31" t="n">
        <v>167082.3125</v>
      </c>
      <c r="G632" s="31" t="n">
        <v>2436807</v>
      </c>
      <c r="H632" s="36" t="n">
        <v>-0.04934770277935341</v>
      </c>
      <c r="I632" s="36" t="n">
        <v>-0.1132275132275132</v>
      </c>
      <c r="J632" s="31" t="n">
        <v>140465</v>
      </c>
      <c r="K632" s="31" t="n">
        <v>134716.6666666667</v>
      </c>
      <c r="L632" s="31" t="n">
        <v>113167.5</v>
      </c>
      <c r="M632" s="36" t="n">
        <v>0.9446894355998906</v>
      </c>
      <c r="N632" s="36" t="n">
        <v>0.6861381155835423</v>
      </c>
      <c r="O632" s="36" t="n">
        <v>0.383980181668043</v>
      </c>
      <c r="P632" s="36" t="n">
        <v>0.1802816901408451</v>
      </c>
      <c r="Q632" s="36" t="n">
        <v>0.8705357142857142</v>
      </c>
      <c r="R632" s="36" t="n">
        <v>0.1931797956786387</v>
      </c>
      <c r="S632" s="36" t="n">
        <v>0.2440925398985525</v>
      </c>
      <c r="T632" s="36" t="n">
        <v>0.4809905670797712</v>
      </c>
      <c r="U632" s="31" t="n">
        <v>186500</v>
      </c>
      <c r="V632" s="31" t="n">
        <v>60200</v>
      </c>
      <c r="W632" s="36" t="n">
        <v>-0.1013404825737265</v>
      </c>
      <c r="X632" s="36" t="n">
        <v>1.784053156146179</v>
      </c>
      <c r="Y632" s="31" t="n">
        <v>95312200</v>
      </c>
      <c r="Z632" s="31" t="n">
        <v>15974324720000</v>
      </c>
      <c r="AA632" s="31" t="n">
        <v>408408853200</v>
      </c>
      <c r="AB632" s="31" t="n">
        <v>384943475595</v>
      </c>
      <c r="AC632" s="36" t="n">
        <v>0.02556658014398996</v>
      </c>
      <c r="AD632" s="29" t="inlineStr">
        <is>
          <t>yfinance_download</t>
        </is>
      </c>
      <c r="AE632" s="29" t="inlineStr">
        <is>
          <t>042700.KS</t>
        </is>
      </c>
    </row>
    <row r="633" ht="24" customHeight="1">
      <c r="A633" s="24" t="inlineStr">
        <is>
          <t>2026-01-13</t>
        </is>
      </c>
      <c r="B633" s="30" t="n">
        <v>171600</v>
      </c>
      <c r="C633" s="30" t="n">
        <v>174000</v>
      </c>
      <c r="D633" s="30" t="n">
        <v>168900</v>
      </c>
      <c r="E633" s="30" t="n">
        <v>173200</v>
      </c>
      <c r="F633" s="30" t="n">
        <v>172665.015625</v>
      </c>
      <c r="G633" s="30" t="n">
        <v>1392596</v>
      </c>
      <c r="H633" s="35" t="n">
        <v>0.03341288782816232</v>
      </c>
      <c r="I633" s="35" t="n">
        <v>-0.08359788359788356</v>
      </c>
      <c r="J633" s="30" t="n">
        <v>143075</v>
      </c>
      <c r="K633" s="30" t="n">
        <v>135161.6666666667</v>
      </c>
      <c r="L633" s="30" t="n">
        <v>113850</v>
      </c>
      <c r="M633" s="35" t="n">
        <v>0.9434709630368395</v>
      </c>
      <c r="N633" s="35" t="n">
        <v>0.6864478314504955</v>
      </c>
      <c r="O633" s="35" t="n">
        <v>0.431404958677686</v>
      </c>
      <c r="P633" s="35" t="n">
        <v>0.1822525597269624</v>
      </c>
      <c r="Q633" s="35" t="n">
        <v>0.8970427163198247</v>
      </c>
      <c r="R633" s="35" t="n">
        <v>0.2105539052944261</v>
      </c>
      <c r="S633" s="35" t="n">
        <v>0.2814284128882696</v>
      </c>
      <c r="T633" s="35" t="n">
        <v>0.5212999560825649</v>
      </c>
      <c r="U633" s="30" t="n">
        <v>186500</v>
      </c>
      <c r="V633" s="30" t="n">
        <v>60200</v>
      </c>
      <c r="W633" s="35" t="n">
        <v>-0.07131367292225199</v>
      </c>
      <c r="X633" s="35" t="n">
        <v>1.877076411960133</v>
      </c>
      <c r="Y633" s="30" t="n">
        <v>95312200</v>
      </c>
      <c r="Z633" s="30" t="n">
        <v>16508073040000</v>
      </c>
      <c r="AA633" s="30" t="n">
        <v>241197627200</v>
      </c>
      <c r="AB633" s="30" t="n">
        <v>387131813955</v>
      </c>
      <c r="AC633" s="35" t="n">
        <v>0.0146108892670613</v>
      </c>
      <c r="AD633" s="24" t="inlineStr">
        <is>
          <t>yfinance_download</t>
        </is>
      </c>
      <c r="AE633" s="24" t="inlineStr">
        <is>
          <t>042700.KS</t>
        </is>
      </c>
    </row>
    <row r="634" ht="24" customHeight="1">
      <c r="A634" s="29" t="inlineStr">
        <is>
          <t>2026-01-14</t>
        </is>
      </c>
      <c r="B634" s="31" t="n">
        <v>177800</v>
      </c>
      <c r="C634" s="31" t="n">
        <v>185900</v>
      </c>
      <c r="D634" s="31" t="n">
        <v>175200</v>
      </c>
      <c r="E634" s="31" t="n">
        <v>177800</v>
      </c>
      <c r="F634" s="31" t="n">
        <v>177250.8125</v>
      </c>
      <c r="G634" s="31" t="n">
        <v>3285414</v>
      </c>
      <c r="H634" s="36" t="n">
        <v>0.02655889145496526</v>
      </c>
      <c r="I634" s="36" t="n">
        <v>-0.05925925925925923</v>
      </c>
      <c r="J634" s="31" t="n">
        <v>145955</v>
      </c>
      <c r="K634" s="31" t="n">
        <v>135753.3333333333</v>
      </c>
      <c r="L634" s="31" t="n">
        <v>114572.5</v>
      </c>
      <c r="M634" s="36" t="n">
        <v>0.9385440476361226</v>
      </c>
      <c r="N634" s="36" t="n">
        <v>0.6846606265269031</v>
      </c>
      <c r="O634" s="36" t="n">
        <v>0.4792013311148087</v>
      </c>
      <c r="P634" s="36" t="n">
        <v>0.2494729444834856</v>
      </c>
      <c r="Q634" s="36" t="n">
        <v>0.9517014270032931</v>
      </c>
      <c r="R634" s="36" t="n">
        <v>0.2181836867527662</v>
      </c>
      <c r="S634" s="36" t="n">
        <v>0.3097284290134066</v>
      </c>
      <c r="T634" s="36" t="n">
        <v>0.5518558118222086</v>
      </c>
      <c r="U634" s="31" t="n">
        <v>186500</v>
      </c>
      <c r="V634" s="31" t="n">
        <v>60200</v>
      </c>
      <c r="W634" s="36" t="n">
        <v>-0.04664879356568363</v>
      </c>
      <c r="X634" s="36" t="n">
        <v>1.953488372093023</v>
      </c>
      <c r="Y634" s="31" t="n">
        <v>95312200</v>
      </c>
      <c r="Z634" s="31" t="n">
        <v>16946509160000</v>
      </c>
      <c r="AA634" s="31" t="n">
        <v>584146609200</v>
      </c>
      <c r="AB634" s="31" t="n">
        <v>411490937515</v>
      </c>
      <c r="AC634" s="36" t="n">
        <v>0.03447002587286832</v>
      </c>
      <c r="AD634" s="29" t="inlineStr">
        <is>
          <t>yfinance_download</t>
        </is>
      </c>
      <c r="AE634" s="29" t="inlineStr">
        <is>
          <t>042700.KS</t>
        </is>
      </c>
    </row>
    <row r="635" ht="24" customHeight="1">
      <c r="A635" s="24" t="inlineStr">
        <is>
          <t>2026-01-15</t>
        </is>
      </c>
      <c r="B635" s="30" t="n">
        <v>173500</v>
      </c>
      <c r="C635" s="30" t="n">
        <v>180000</v>
      </c>
      <c r="D635" s="30" t="n">
        <v>173000</v>
      </c>
      <c r="E635" s="30" t="n">
        <v>180000</v>
      </c>
      <c r="F635" s="30" t="n">
        <v>179444.015625</v>
      </c>
      <c r="G635" s="30" t="n">
        <v>1266591</v>
      </c>
      <c r="H635" s="35" t="n">
        <v>0.01237345331833528</v>
      </c>
      <c r="I635" s="35" t="n">
        <v>-0.04761904761904767</v>
      </c>
      <c r="J635" s="30" t="n">
        <v>149030</v>
      </c>
      <c r="K635" s="30" t="n">
        <v>136265</v>
      </c>
      <c r="L635" s="30" t="n">
        <v>115336.6666666667</v>
      </c>
      <c r="M635" s="35" t="n">
        <v>0.9299275048008306</v>
      </c>
      <c r="N635" s="35" t="n">
        <v>0.6785488769487107</v>
      </c>
      <c r="O635" s="35" t="n">
        <v>0.518987341772152</v>
      </c>
      <c r="P635" s="35" t="n">
        <v>0.2056262558606832</v>
      </c>
      <c r="Q635" s="35" t="n">
        <v>1.038505096262741</v>
      </c>
      <c r="R635" s="35" t="n">
        <v>0.2078105079514192</v>
      </c>
      <c r="S635" s="35" t="n">
        <v>0.3209554911385903</v>
      </c>
      <c r="T635" s="35" t="n">
        <v>0.5606485361694749</v>
      </c>
      <c r="U635" s="30" t="n">
        <v>186500</v>
      </c>
      <c r="V635" s="30" t="n">
        <v>60200</v>
      </c>
      <c r="W635" s="35" t="n">
        <v>-0.0348525469168901</v>
      </c>
      <c r="X635" s="35" t="n">
        <v>1.990033222591362</v>
      </c>
      <c r="Y635" s="30" t="n">
        <v>95312200</v>
      </c>
      <c r="Z635" s="30" t="n">
        <v>17156196000000</v>
      </c>
      <c r="AA635" s="30" t="n">
        <v>227986380000</v>
      </c>
      <c r="AB635" s="30" t="n">
        <v>419669586490</v>
      </c>
      <c r="AC635" s="35" t="n">
        <v>0.01328886543380596</v>
      </c>
      <c r="AD635" s="24" t="inlineStr">
        <is>
          <t>yfinance_download</t>
        </is>
      </c>
      <c r="AE635" s="24" t="inlineStr">
        <is>
          <t>042700.KS</t>
        </is>
      </c>
    </row>
    <row r="636" ht="24" customHeight="1">
      <c r="A636" s="29" t="inlineStr">
        <is>
          <t>2026-01-16</t>
        </is>
      </c>
      <c r="B636" s="31" t="n">
        <v>185700</v>
      </c>
      <c r="C636" s="31" t="n">
        <v>185700</v>
      </c>
      <c r="D636" s="31" t="n">
        <v>176900</v>
      </c>
      <c r="E636" s="31" t="n">
        <v>178500</v>
      </c>
      <c r="F636" s="31" t="n">
        <v>177948.640625</v>
      </c>
      <c r="G636" s="31" t="n">
        <v>1282769</v>
      </c>
      <c r="H636" s="36" t="n">
        <v>-0.008333333333333304</v>
      </c>
      <c r="I636" s="36" t="n">
        <v>-0.05555555555555558</v>
      </c>
      <c r="J636" s="31" t="n">
        <v>152140</v>
      </c>
      <c r="K636" s="31" t="n">
        <v>136746.6666666667</v>
      </c>
      <c r="L636" s="31" t="n">
        <v>116092.5</v>
      </c>
      <c r="M636" s="36" t="n">
        <v>0.9246042702187688</v>
      </c>
      <c r="N636" s="36" t="n">
        <v>0.6790084435427439</v>
      </c>
      <c r="O636" s="36" t="n">
        <v>0.5348237317282889</v>
      </c>
      <c r="P636" s="36" t="n">
        <v>0.1931818181818181</v>
      </c>
      <c r="Q636" s="36" t="n">
        <v>1.033029612756264</v>
      </c>
      <c r="R636" s="36" t="n">
        <v>0.1732614696989614</v>
      </c>
      <c r="S636" s="36" t="n">
        <v>0.3053334633385336</v>
      </c>
      <c r="T636" s="36" t="n">
        <v>0.5375670262936882</v>
      </c>
      <c r="U636" s="31" t="n">
        <v>186500</v>
      </c>
      <c r="V636" s="31" t="n">
        <v>60200</v>
      </c>
      <c r="W636" s="36" t="n">
        <v>-0.04289544235924936</v>
      </c>
      <c r="X636" s="36" t="n">
        <v>1.965116279069767</v>
      </c>
      <c r="Y636" s="31" t="n">
        <v>95312200</v>
      </c>
      <c r="Z636" s="31" t="n">
        <v>17013227700000</v>
      </c>
      <c r="AA636" s="31" t="n">
        <v>228974266500</v>
      </c>
      <c r="AB636" s="31" t="n">
        <v>427472236665</v>
      </c>
      <c r="AC636" s="36" t="n">
        <v>0.01345860236150252</v>
      </c>
      <c r="AD636" s="29" t="inlineStr">
        <is>
          <t>yfinance_download</t>
        </is>
      </c>
      <c r="AE636" s="29" t="inlineStr">
        <is>
          <t>042700.KS</t>
        </is>
      </c>
    </row>
    <row r="637" ht="24" customHeight="1">
      <c r="A637" s="24" t="inlineStr">
        <is>
          <t>2026-01-19</t>
        </is>
      </c>
      <c r="B637" s="30" t="n">
        <v>176500</v>
      </c>
      <c r="C637" s="30" t="n">
        <v>180500</v>
      </c>
      <c r="D637" s="30" t="n">
        <v>176000</v>
      </c>
      <c r="E637" s="30" t="n">
        <v>177500</v>
      </c>
      <c r="F637" s="30" t="n">
        <v>176951.734375</v>
      </c>
      <c r="G637" s="30" t="n">
        <v>968084</v>
      </c>
      <c r="H637" s="35" t="n">
        <v>-0.005602240896358524</v>
      </c>
      <c r="I637" s="35" t="n">
        <v>-0.06084656084656082</v>
      </c>
      <c r="J637" s="30" t="n">
        <v>155020</v>
      </c>
      <c r="K637" s="30" t="n">
        <v>137180</v>
      </c>
      <c r="L637" s="30" t="n">
        <v>116832.5</v>
      </c>
      <c r="M637" s="35" t="n">
        <v>0.9296188873318729</v>
      </c>
      <c r="N637" s="35" t="n">
        <v>0.6790212931474108</v>
      </c>
      <c r="O637" s="35" t="n">
        <v>0.4804003336113427</v>
      </c>
      <c r="P637" s="35" t="n">
        <v>0.1716171617161717</v>
      </c>
      <c r="Q637" s="35" t="n">
        <v>1.001127395715896</v>
      </c>
      <c r="R637" s="35" t="n">
        <v>0.1450135466391433</v>
      </c>
      <c r="S637" s="35" t="n">
        <v>0.2939203965592652</v>
      </c>
      <c r="T637" s="35" t="n">
        <v>0.5192690390088375</v>
      </c>
      <c r="U637" s="30" t="n">
        <v>186500</v>
      </c>
      <c r="V637" s="30" t="n">
        <v>60200</v>
      </c>
      <c r="W637" s="35" t="n">
        <v>-0.04825737265415553</v>
      </c>
      <c r="X637" s="35" t="n">
        <v>1.948504983388704</v>
      </c>
      <c r="Y637" s="30" t="n">
        <v>95312200</v>
      </c>
      <c r="Z637" s="30" t="n">
        <v>16917915500000</v>
      </c>
      <c r="AA637" s="30" t="n">
        <v>171834910000</v>
      </c>
      <c r="AB637" s="30" t="n">
        <v>432561715155</v>
      </c>
      <c r="AC637" s="35" t="n">
        <v>0.01015697885475312</v>
      </c>
      <c r="AD637" s="24" t="inlineStr">
        <is>
          <t>yfinance_download</t>
        </is>
      </c>
      <c r="AE637" s="24" t="inlineStr">
        <is>
          <t>042700.KS</t>
        </is>
      </c>
    </row>
    <row r="638" ht="24" customHeight="1">
      <c r="A638" s="29" t="inlineStr">
        <is>
          <t>2026-01-20</t>
        </is>
      </c>
      <c r="B638" s="31" t="n">
        <v>176400</v>
      </c>
      <c r="C638" s="31" t="n">
        <v>176400</v>
      </c>
      <c r="D638" s="31" t="n">
        <v>169600</v>
      </c>
      <c r="E638" s="31" t="n">
        <v>172100</v>
      </c>
      <c r="F638" s="31" t="n">
        <v>171568.40625</v>
      </c>
      <c r="G638" s="31" t="n">
        <v>974249</v>
      </c>
      <c r="H638" s="36" t="n">
        <v>-0.03042253521126759</v>
      </c>
      <c r="I638" s="36" t="n">
        <v>-0.0894179894179894</v>
      </c>
      <c r="J638" s="31" t="n">
        <v>157805</v>
      </c>
      <c r="K638" s="31" t="n">
        <v>137556.6666666667</v>
      </c>
      <c r="L638" s="31" t="n">
        <v>117545</v>
      </c>
      <c r="M638" s="36" t="n">
        <v>0.9305167919192028</v>
      </c>
      <c r="N638" s="36" t="n">
        <v>0.6817431002721029</v>
      </c>
      <c r="O638" s="36" t="n">
        <v>0.4785223367697595</v>
      </c>
      <c r="P638" s="36" t="n">
        <v>0.1511705685618729</v>
      </c>
      <c r="Q638" s="36" t="n">
        <v>0.9872979214780599</v>
      </c>
      <c r="R638" s="36" t="n">
        <v>0.090586483318019</v>
      </c>
      <c r="S638" s="36" t="n">
        <v>0.2511207502362665</v>
      </c>
      <c r="T638" s="36" t="n">
        <v>0.4641201242077502</v>
      </c>
      <c r="U638" s="31" t="n">
        <v>186500</v>
      </c>
      <c r="V638" s="31" t="n">
        <v>60200</v>
      </c>
      <c r="W638" s="36" t="n">
        <v>-0.07721179624664876</v>
      </c>
      <c r="X638" s="36" t="n">
        <v>1.858803986710964</v>
      </c>
      <c r="Y638" s="31" t="n">
        <v>95312200</v>
      </c>
      <c r="Z638" s="31" t="n">
        <v>16403229620000</v>
      </c>
      <c r="AA638" s="31" t="n">
        <v>167668252900</v>
      </c>
      <c r="AB638" s="31" t="n">
        <v>437517258380</v>
      </c>
      <c r="AC638" s="36" t="n">
        <v>0.01022166102555602</v>
      </c>
      <c r="AD638" s="29" t="inlineStr">
        <is>
          <t>yfinance_download</t>
        </is>
      </c>
      <c r="AE638" s="29" t="inlineStr">
        <is>
          <t>042700.KS</t>
        </is>
      </c>
    </row>
    <row r="639" ht="24" customHeight="1">
      <c r="A639" s="24" t="inlineStr">
        <is>
          <t>2026-01-21</t>
        </is>
      </c>
      <c r="B639" s="30" t="n">
        <v>167400</v>
      </c>
      <c r="C639" s="30" t="n">
        <v>173300</v>
      </c>
      <c r="D639" s="30" t="n">
        <v>165500</v>
      </c>
      <c r="E639" s="30" t="n">
        <v>172200</v>
      </c>
      <c r="F639" s="30" t="n">
        <v>171668.109375</v>
      </c>
      <c r="G639" s="30" t="n">
        <v>1012880</v>
      </c>
      <c r="H639" s="35" t="n">
        <v>0.0005810575246949501</v>
      </c>
      <c r="I639" s="35" t="n">
        <v>-0.08888888888888891</v>
      </c>
      <c r="J639" s="30" t="n">
        <v>160595</v>
      </c>
      <c r="K639" s="30" t="n">
        <v>137931.6666666667</v>
      </c>
      <c r="L639" s="30" t="n">
        <v>118262.5</v>
      </c>
      <c r="M639" s="35" t="n">
        <v>0.9303427414964677</v>
      </c>
      <c r="N639" s="35" t="n">
        <v>0.6817537934727036</v>
      </c>
      <c r="O639" s="35" t="n">
        <v>0.4793814432989691</v>
      </c>
      <c r="P639" s="35" t="n">
        <v>0.1503006012024048</v>
      </c>
      <c r="Q639" s="35" t="n">
        <v>1</v>
      </c>
      <c r="R639" s="35" t="n">
        <v>0.07226252373984243</v>
      </c>
      <c r="S639" s="35" t="n">
        <v>0.2484442779637261</v>
      </c>
      <c r="T639" s="35" t="n">
        <v>0.4560828665045977</v>
      </c>
      <c r="U639" s="30" t="n">
        <v>186500</v>
      </c>
      <c r="V639" s="30" t="n">
        <v>60200</v>
      </c>
      <c r="W639" s="35" t="n">
        <v>-0.07667560321715816</v>
      </c>
      <c r="X639" s="35" t="n">
        <v>1.86046511627907</v>
      </c>
      <c r="Y639" s="30" t="n">
        <v>95312200</v>
      </c>
      <c r="Z639" s="30" t="n">
        <v>16412760840000</v>
      </c>
      <c r="AA639" s="30" t="n">
        <v>174417936000</v>
      </c>
      <c r="AB639" s="30" t="n">
        <v>443189441300</v>
      </c>
      <c r="AC639" s="35" t="n">
        <v>0.01062697115374527</v>
      </c>
      <c r="AD639" s="24" t="inlineStr">
        <is>
          <t>yfinance_download</t>
        </is>
      </c>
      <c r="AE639" s="24" t="inlineStr">
        <is>
          <t>042700.KS</t>
        </is>
      </c>
    </row>
    <row r="640" ht="24" customHeight="1">
      <c r="A640" s="29" t="inlineStr">
        <is>
          <t>2026-01-22</t>
        </is>
      </c>
      <c r="B640" s="31" t="n">
        <v>178700</v>
      </c>
      <c r="C640" s="31" t="n">
        <v>178800</v>
      </c>
      <c r="D640" s="31" t="n">
        <v>169400</v>
      </c>
      <c r="E640" s="31" t="n">
        <v>170400</v>
      </c>
      <c r="F640" s="31" t="n">
        <v>169873.65625</v>
      </c>
      <c r="G640" s="31" t="n">
        <v>1034728</v>
      </c>
      <c r="H640" s="36" t="n">
        <v>-0.01045296167247389</v>
      </c>
      <c r="I640" s="36" t="n">
        <v>-0.0984126984126984</v>
      </c>
      <c r="J640" s="31" t="n">
        <v>162765</v>
      </c>
      <c r="K640" s="31" t="n">
        <v>138278.3333333333</v>
      </c>
      <c r="L640" s="31" t="n">
        <v>118977.5</v>
      </c>
      <c r="M640" s="36" t="n">
        <v>0.8986492931231216</v>
      </c>
      <c r="N640" s="36" t="n">
        <v>0.682286155874179</v>
      </c>
      <c r="O640" s="36" t="n">
        <v>0.3417322834645669</v>
      </c>
      <c r="P640" s="36" t="n">
        <v>0.1390374331550801</v>
      </c>
      <c r="Q640" s="36" t="n">
        <v>1.01418439716312</v>
      </c>
      <c r="R640" s="36" t="n">
        <v>0.04690811906736703</v>
      </c>
      <c r="S640" s="36" t="n">
        <v>0.2322971783962298</v>
      </c>
      <c r="T640" s="36" t="n">
        <v>0.4322035679014939</v>
      </c>
      <c r="U640" s="31" t="n">
        <v>186500</v>
      </c>
      <c r="V640" s="31" t="n">
        <v>60200</v>
      </c>
      <c r="W640" s="36" t="n">
        <v>-0.08632707774798931</v>
      </c>
      <c r="X640" s="36" t="n">
        <v>1.830564784053156</v>
      </c>
      <c r="Y640" s="31" t="n">
        <v>95312200</v>
      </c>
      <c r="Z640" s="31" t="n">
        <v>16241198880000</v>
      </c>
      <c r="AA640" s="31" t="n">
        <v>176317651200</v>
      </c>
      <c r="AB640" s="31" t="n">
        <v>436322163710</v>
      </c>
      <c r="AC640" s="36" t="n">
        <v>0.01085619679327515</v>
      </c>
      <c r="AD640" s="29" t="inlineStr">
        <is>
          <t>yfinance_download</t>
        </is>
      </c>
      <c r="AE640" s="29" t="inlineStr">
        <is>
          <t>042700.KS</t>
        </is>
      </c>
    </row>
    <row r="641" ht="24" customHeight="1">
      <c r="A641" s="24" t="inlineStr">
        <is>
          <t>2026-01-23</t>
        </is>
      </c>
      <c r="B641" s="30" t="n">
        <v>169800</v>
      </c>
      <c r="C641" s="30" t="n">
        <v>173800</v>
      </c>
      <c r="D641" s="30" t="n">
        <v>168900</v>
      </c>
      <c r="E641" s="30" t="n">
        <v>171100</v>
      </c>
      <c r="F641" s="30" t="n">
        <v>170571.5</v>
      </c>
      <c r="G641" s="30" t="n">
        <v>644666</v>
      </c>
      <c r="H641" s="35" t="n">
        <v>0.004107981220657253</v>
      </c>
      <c r="I641" s="35" t="n">
        <v>-0.09470899470899474</v>
      </c>
      <c r="J641" s="30" t="n">
        <v>164970</v>
      </c>
      <c r="K641" s="30" t="n">
        <v>138745</v>
      </c>
      <c r="L641" s="30" t="n">
        <v>119689.1666666667</v>
      </c>
      <c r="M641" s="35" t="n">
        <v>0.8977824121595869</v>
      </c>
      <c r="N641" s="35" t="n">
        <v>0.6753702275520431</v>
      </c>
      <c r="O641" s="35" t="n">
        <v>0.3472440944881889</v>
      </c>
      <c r="P641" s="35" t="n">
        <v>0.1956673654786862</v>
      </c>
      <c r="Q641" s="35" t="n">
        <v>0.9964994165694283</v>
      </c>
      <c r="R641" s="35" t="n">
        <v>0.03715827120082449</v>
      </c>
      <c r="S641" s="35" t="n">
        <v>0.2331975927060435</v>
      </c>
      <c r="T641" s="35" t="n">
        <v>0.4295362292605149</v>
      </c>
      <c r="U641" s="30" t="n">
        <v>186500</v>
      </c>
      <c r="V641" s="30" t="n">
        <v>60200</v>
      </c>
      <c r="W641" s="35" t="n">
        <v>-0.08257372654155493</v>
      </c>
      <c r="X641" s="35" t="n">
        <v>1.8421926910299</v>
      </c>
      <c r="Y641" s="30" t="n">
        <v>95312200</v>
      </c>
      <c r="Z641" s="30" t="n">
        <v>16307917420000</v>
      </c>
      <c r="AA641" s="30" t="n">
        <v>110302352600</v>
      </c>
      <c r="AB641" s="30" t="n">
        <v>432399917690</v>
      </c>
      <c r="AC641" s="35" t="n">
        <v>0.006763730141576839</v>
      </c>
      <c r="AD641" s="24" t="inlineStr">
        <is>
          <t>yfinance_download</t>
        </is>
      </c>
      <c r="AE641" s="24" t="inlineStr">
        <is>
          <t>042700.KS</t>
        </is>
      </c>
    </row>
    <row r="642" ht="24" customHeight="1">
      <c r="A642" s="29" t="inlineStr">
        <is>
          <t>2026-01-26</t>
        </is>
      </c>
      <c r="B642" s="31" t="n">
        <v>171200</v>
      </c>
      <c r="C642" s="31" t="n">
        <v>171400</v>
      </c>
      <c r="D642" s="31" t="n">
        <v>168400</v>
      </c>
      <c r="E642" s="31" t="n">
        <v>169500</v>
      </c>
      <c r="F642" s="31" t="n">
        <v>168976.4375</v>
      </c>
      <c r="G642" s="31" t="n">
        <v>753397</v>
      </c>
      <c r="H642" s="36" t="n">
        <v>-0.009351256575102274</v>
      </c>
      <c r="I642" s="36" t="n">
        <v>-0.1031746031746031</v>
      </c>
      <c r="J642" s="31" t="n">
        <v>167215</v>
      </c>
      <c r="K642" s="31" t="n">
        <v>139266.6666666667</v>
      </c>
      <c r="L642" s="31" t="n">
        <v>120391.6666666667</v>
      </c>
      <c r="M642" s="36" t="n">
        <v>0.8934265573835858</v>
      </c>
      <c r="N642" s="36" t="n">
        <v>0.6712900207531863</v>
      </c>
      <c r="O642" s="36" t="n">
        <v>0.3603531300160514</v>
      </c>
      <c r="P642" s="36" t="n">
        <v>0.2264833574529668</v>
      </c>
      <c r="Q642" s="36" t="n">
        <v>0.9894366197183098</v>
      </c>
      <c r="R642" s="36" t="n">
        <v>0.0136650420117812</v>
      </c>
      <c r="S642" s="36" t="n">
        <v>0.217089516515079</v>
      </c>
      <c r="T642" s="36" t="n">
        <v>0.4079047553125217</v>
      </c>
      <c r="U642" s="31" t="n">
        <v>186500</v>
      </c>
      <c r="V642" s="31" t="n">
        <v>60200</v>
      </c>
      <c r="W642" s="36" t="n">
        <v>-0.09115281501340478</v>
      </c>
      <c r="X642" s="36" t="n">
        <v>1.8156146179402</v>
      </c>
      <c r="Y642" s="31" t="n">
        <v>95312200</v>
      </c>
      <c r="Z642" s="31" t="n">
        <v>16155417900000</v>
      </c>
      <c r="AA642" s="31" t="n">
        <v>127700791500</v>
      </c>
      <c r="AB642" s="31" t="n">
        <v>431607698225</v>
      </c>
      <c r="AC642" s="36" t="n">
        <v>0.007904517994548442</v>
      </c>
      <c r="AD642" s="29" t="inlineStr">
        <is>
          <t>yfinance_download</t>
        </is>
      </c>
      <c r="AE642" s="29" t="inlineStr">
        <is>
          <t>042700.KS</t>
        </is>
      </c>
    </row>
    <row r="643" ht="24" customHeight="1">
      <c r="A643" s="24" t="inlineStr">
        <is>
          <t>2026-01-27</t>
        </is>
      </c>
      <c r="B643" s="30" t="n">
        <v>169800</v>
      </c>
      <c r="C643" s="30" t="n">
        <v>175800</v>
      </c>
      <c r="D643" s="30" t="n">
        <v>164700</v>
      </c>
      <c r="E643" s="30" t="n">
        <v>174800</v>
      </c>
      <c r="F643" s="30" t="n">
        <v>174260.078125</v>
      </c>
      <c r="G643" s="30" t="n">
        <v>1620819</v>
      </c>
      <c r="H643" s="35" t="n">
        <v>0.03126843657817102</v>
      </c>
      <c r="I643" s="35" t="n">
        <v>-0.07513227513227516</v>
      </c>
      <c r="J643" s="30" t="n">
        <v>169325</v>
      </c>
      <c r="K643" s="30" t="n">
        <v>139788.3333333333</v>
      </c>
      <c r="L643" s="30" t="n">
        <v>121145</v>
      </c>
      <c r="M643" s="35" t="n">
        <v>0.8778219227260772</v>
      </c>
      <c r="N643" s="35" t="n">
        <v>0.6699091052352354</v>
      </c>
      <c r="O643" s="35" t="n">
        <v>0.3182503770739065</v>
      </c>
      <c r="P643" s="35" t="n">
        <v>0.2181184668989546</v>
      </c>
      <c r="Q643" s="35" t="n">
        <v>1.071090047393365</v>
      </c>
      <c r="R643" s="35" t="n">
        <v>0.03233426841872133</v>
      </c>
      <c r="S643" s="35" t="n">
        <v>0.250462008035959</v>
      </c>
      <c r="T643" s="35" t="n">
        <v>0.4428990053241983</v>
      </c>
      <c r="U643" s="30" t="n">
        <v>186500</v>
      </c>
      <c r="V643" s="30" t="n">
        <v>60200</v>
      </c>
      <c r="W643" s="35" t="n">
        <v>-0.06273458445040214</v>
      </c>
      <c r="X643" s="35" t="n">
        <v>1.903654485049834</v>
      </c>
      <c r="Y643" s="30" t="n">
        <v>95312200</v>
      </c>
      <c r="Z643" s="30" t="n">
        <v>16660572560000</v>
      </c>
      <c r="AA643" s="30" t="n">
        <v>283319161200</v>
      </c>
      <c r="AB643" s="30" t="n">
        <v>421521925145</v>
      </c>
      <c r="AC643" s="35" t="n">
        <v>0.01700536762345219</v>
      </c>
      <c r="AD643" s="24" t="inlineStr">
        <is>
          <t>yfinance_download</t>
        </is>
      </c>
      <c r="AE643" s="24" t="inlineStr">
        <is>
          <t>042700.KS</t>
        </is>
      </c>
    </row>
    <row r="644" ht="24" customHeight="1">
      <c r="A644" s="29" t="inlineStr">
        <is>
          <t>2026-01-28</t>
        </is>
      </c>
      <c r="B644" s="31" t="n">
        <v>182000</v>
      </c>
      <c r="C644" s="31" t="n">
        <v>184900</v>
      </c>
      <c r="D644" s="31" t="n">
        <v>177600</v>
      </c>
      <c r="E644" s="31" t="n">
        <v>182000</v>
      </c>
      <c r="F644" s="31" t="n">
        <v>181437.828125</v>
      </c>
      <c r="G644" s="31" t="n">
        <v>2220792</v>
      </c>
      <c r="H644" s="36" t="n">
        <v>0.04118993135011451</v>
      </c>
      <c r="I644" s="36" t="n">
        <v>-0.03703703703703709</v>
      </c>
      <c r="J644" s="31" t="n">
        <v>171905</v>
      </c>
      <c r="K644" s="31" t="n">
        <v>140426.6666666667</v>
      </c>
      <c r="L644" s="31" t="n">
        <v>121945.8333333333</v>
      </c>
      <c r="M644" s="36" t="n">
        <v>0.8739516325269978</v>
      </c>
      <c r="N644" s="36" t="n">
        <v>0.67416468189856</v>
      </c>
      <c r="O644" s="36" t="n">
        <v>0.3957055214723926</v>
      </c>
      <c r="P644" s="36" t="n">
        <v>0.2665274878218511</v>
      </c>
      <c r="Q644" s="36" t="n">
        <v>1.118742724097788</v>
      </c>
      <c r="R644" s="36" t="n">
        <v>0.05872429539571278</v>
      </c>
      <c r="S644" s="36" t="n">
        <v>0.2960501329282188</v>
      </c>
      <c r="T644" s="36" t="n">
        <v>0.4924659172446784</v>
      </c>
      <c r="U644" s="31" t="n">
        <v>186500</v>
      </c>
      <c r="V644" s="31" t="n">
        <v>60200</v>
      </c>
      <c r="W644" s="36" t="n">
        <v>-0.02412868632707776</v>
      </c>
      <c r="X644" s="36" t="n">
        <v>2.023255813953488</v>
      </c>
      <c r="Y644" s="31" t="n">
        <v>95312200</v>
      </c>
      <c r="Z644" s="31" t="n">
        <v>17346820400000</v>
      </c>
      <c r="AA644" s="31" t="n">
        <v>404184144000</v>
      </c>
      <c r="AB644" s="31" t="n">
        <v>428951997545</v>
      </c>
      <c r="AC644" s="36" t="n">
        <v>0.023300186125176</v>
      </c>
      <c r="AD644" s="29" t="inlineStr">
        <is>
          <t>yfinance_download</t>
        </is>
      </c>
      <c r="AE644" s="29" t="inlineStr">
        <is>
          <t>042700.KS</t>
        </is>
      </c>
    </row>
    <row r="645" ht="24" customHeight="1">
      <c r="A645" s="24" t="inlineStr">
        <is>
          <t>2026-01-29</t>
        </is>
      </c>
      <c r="B645" s="30" t="n">
        <v>198900</v>
      </c>
      <c r="C645" s="30" t="n">
        <v>210000</v>
      </c>
      <c r="D645" s="30" t="n">
        <v>189000</v>
      </c>
      <c r="E645" s="30" t="n">
        <v>203500</v>
      </c>
      <c r="F645" s="30" t="n">
        <v>202871.421875</v>
      </c>
      <c r="G645" s="30" t="n">
        <v>7160116</v>
      </c>
      <c r="H645" s="35" t="n">
        <v>0.1181318681318682</v>
      </c>
      <c r="I645" s="35" t="n">
        <v>0</v>
      </c>
      <c r="J645" s="30" t="n">
        <v>175710</v>
      </c>
      <c r="K645" s="30" t="n">
        <v>141458.3333333333</v>
      </c>
      <c r="L645" s="30" t="n">
        <v>122875.8333333333</v>
      </c>
      <c r="M645" s="35" t="n">
        <v>0.9277039675275224</v>
      </c>
      <c r="N645" s="35" t="n">
        <v>0.7116849309086408</v>
      </c>
      <c r="O645" s="35" t="n">
        <v>0.597331240188383</v>
      </c>
      <c r="P645" s="35" t="n">
        <v>0.4371468926553672</v>
      </c>
      <c r="Q645" s="35" t="n">
        <v>1.214363438520131</v>
      </c>
      <c r="R645" s="35" t="n">
        <v>0.1581583290649367</v>
      </c>
      <c r="S645" s="35" t="n">
        <v>0.4385861561119293</v>
      </c>
      <c r="T645" s="35" t="n">
        <v>0.6561433967894419</v>
      </c>
      <c r="U645" s="30" t="n">
        <v>203500</v>
      </c>
      <c r="V645" s="30" t="n">
        <v>60200</v>
      </c>
      <c r="W645" s="35" t="n">
        <v>0</v>
      </c>
      <c r="X645" s="35" t="n">
        <v>2.380398671096346</v>
      </c>
      <c r="Y645" s="30" t="n">
        <v>95312200</v>
      </c>
      <c r="Z645" s="30" t="n">
        <v>19396032700000</v>
      </c>
      <c r="AA645" s="30" t="n">
        <v>1457083606000</v>
      </c>
      <c r="AB645" s="30" t="n">
        <v>491681355865</v>
      </c>
      <c r="AC645" s="35" t="n">
        <v>0.07512276497657173</v>
      </c>
      <c r="AD645" s="24" t="inlineStr">
        <is>
          <t>yfinance_download</t>
        </is>
      </c>
      <c r="AE645" s="24" t="inlineStr">
        <is>
          <t>042700.KS</t>
        </is>
      </c>
    </row>
    <row r="646" ht="24" customHeight="1">
      <c r="A646" s="29" t="inlineStr">
        <is>
          <t>2026-01-30</t>
        </is>
      </c>
      <c r="B646" s="31" t="n">
        <v>199900</v>
      </c>
      <c r="C646" s="31" t="n">
        <v>220000</v>
      </c>
      <c r="D646" s="31" t="n">
        <v>198400</v>
      </c>
      <c r="E646" s="31" t="n">
        <v>211000</v>
      </c>
      <c r="F646" s="31" t="n">
        <v>210348.25</v>
      </c>
      <c r="G646" s="31" t="n">
        <v>4364912</v>
      </c>
      <c r="H646" s="36" t="n">
        <v>0.03685503685503688</v>
      </c>
      <c r="I646" s="36" t="n">
        <v>0</v>
      </c>
      <c r="J646" s="31" t="n">
        <v>179035</v>
      </c>
      <c r="K646" s="31" t="n">
        <v>142646.6666666667</v>
      </c>
      <c r="L646" s="31" t="n">
        <v>123910.8333333333</v>
      </c>
      <c r="M646" s="36" t="n">
        <v>0.8358025277352958</v>
      </c>
      <c r="N646" s="36" t="n">
        <v>0.7129777773879555</v>
      </c>
      <c r="O646" s="36" t="n">
        <v>0.4602076124567474</v>
      </c>
      <c r="P646" s="36" t="n">
        <v>0.5103793843951325</v>
      </c>
      <c r="Q646" s="36" t="n">
        <v>1.430875576036867</v>
      </c>
      <c r="R646" s="36" t="n">
        <v>0.1785405088390539</v>
      </c>
      <c r="S646" s="36" t="n">
        <v>0.4791793242043279</v>
      </c>
      <c r="T646" s="36" t="n">
        <v>0.7028373897897009</v>
      </c>
      <c r="U646" s="31" t="n">
        <v>211000</v>
      </c>
      <c r="V646" s="31" t="n">
        <v>60200</v>
      </c>
      <c r="W646" s="36" t="n">
        <v>0</v>
      </c>
      <c r="X646" s="36" t="n">
        <v>2.504983388704319</v>
      </c>
      <c r="Y646" s="31" t="n">
        <v>95312200</v>
      </c>
      <c r="Z646" s="31" t="n">
        <v>20110874200000</v>
      </c>
      <c r="AA646" s="31" t="n">
        <v>920996432000</v>
      </c>
      <c r="AB646" s="31" t="n">
        <v>513475443590</v>
      </c>
      <c r="AC646" s="36" t="n">
        <v>0.04579594217739177</v>
      </c>
      <c r="AD646" s="29" t="inlineStr">
        <is>
          <t>yfinance_download</t>
        </is>
      </c>
      <c r="AE646" s="29" t="inlineStr">
        <is>
          <t>042700.KS</t>
        </is>
      </c>
    </row>
    <row r="647" ht="24" customHeight="1">
      <c r="A647" s="24" t="inlineStr">
        <is>
          <t>2026-02-02</t>
        </is>
      </c>
      <c r="B647" s="30" t="n">
        <v>205000</v>
      </c>
      <c r="C647" s="30" t="n">
        <v>205000</v>
      </c>
      <c r="D647" s="30" t="n">
        <v>186100</v>
      </c>
      <c r="E647" s="30" t="n">
        <v>187100</v>
      </c>
      <c r="F647" s="30" t="n">
        <v>186522.078125</v>
      </c>
      <c r="G647" s="30" t="n">
        <v>2807793</v>
      </c>
      <c r="H647" s="35" t="n">
        <v>-0.1132701421800948</v>
      </c>
      <c r="I647" s="35" t="n">
        <v>-0.1132701421800948</v>
      </c>
      <c r="J647" s="30" t="n">
        <v>180025</v>
      </c>
      <c r="K647" s="30" t="n">
        <v>143546.6666666667</v>
      </c>
      <c r="L647" s="30" t="n">
        <v>124746.6666666667</v>
      </c>
      <c r="M647" s="35" t="n">
        <v>0.7976015705570362</v>
      </c>
      <c r="N647" s="35" t="n">
        <v>0.746806702149415</v>
      </c>
      <c r="O647" s="35" t="n">
        <v>0.1183502689778841</v>
      </c>
      <c r="P647" s="35" t="n">
        <v>0.4057099924868519</v>
      </c>
      <c r="Q647" s="35" t="n">
        <v>1.155529953917051</v>
      </c>
      <c r="R647" s="35" t="n">
        <v>0.03930009720872096</v>
      </c>
      <c r="S647" s="35" t="n">
        <v>0.3034088798067993</v>
      </c>
      <c r="T647" s="35" t="n">
        <v>0.4998396750748182</v>
      </c>
      <c r="U647" s="30" t="n">
        <v>211000</v>
      </c>
      <c r="V647" s="30" t="n">
        <v>60200</v>
      </c>
      <c r="W647" s="35" t="n">
        <v>-0.1132701421800948</v>
      </c>
      <c r="X647" s="35" t="n">
        <v>2.10797342192691</v>
      </c>
      <c r="Y647" s="30" t="n">
        <v>95312200</v>
      </c>
      <c r="Z647" s="30" t="n">
        <v>17832912620000</v>
      </c>
      <c r="AA647" s="30" t="n">
        <v>525338070300</v>
      </c>
      <c r="AB647" s="30" t="n">
        <v>485539581320</v>
      </c>
      <c r="AC647" s="35" t="n">
        <v>0.02945890452638802</v>
      </c>
      <c r="AD647" s="24" t="inlineStr">
        <is>
          <t>yfinance_download</t>
        </is>
      </c>
      <c r="AE647" s="24" t="inlineStr">
        <is>
          <t>042700.KS</t>
        </is>
      </c>
    </row>
    <row r="648" ht="24" customHeight="1">
      <c r="A648" s="29" t="inlineStr">
        <is>
          <t>2026-02-03</t>
        </is>
      </c>
      <c r="B648" s="31" t="n">
        <v>197500</v>
      </c>
      <c r="C648" s="31" t="n">
        <v>199300</v>
      </c>
      <c r="D648" s="31" t="n">
        <v>191300</v>
      </c>
      <c r="E648" s="31" t="n">
        <v>199300</v>
      </c>
      <c r="F648" s="31" t="n">
        <v>198684.390625</v>
      </c>
      <c r="G648" s="31" t="n">
        <v>1841243</v>
      </c>
      <c r="H648" s="36" t="n">
        <v>0.06520577231427049</v>
      </c>
      <c r="I648" s="36" t="n">
        <v>-0.05545023696682461</v>
      </c>
      <c r="J648" s="31" t="n">
        <v>180805</v>
      </c>
      <c r="K648" s="31" t="n">
        <v>144718.3333333333</v>
      </c>
      <c r="L648" s="31" t="n">
        <v>125675</v>
      </c>
      <c r="M648" s="36" t="n">
        <v>0.755194136499279</v>
      </c>
      <c r="N648" s="36" t="n">
        <v>0.7520883990343803</v>
      </c>
      <c r="O648" s="36" t="n">
        <v>0.08492106695699508</v>
      </c>
      <c r="P648" s="36" t="n">
        <v>0.5449612403100774</v>
      </c>
      <c r="Q648" s="36" t="n">
        <v>1.267349260523322</v>
      </c>
      <c r="R648" s="36" t="n">
        <v>0.102292525096098</v>
      </c>
      <c r="S648" s="36" t="n">
        <v>0.3771579274683003</v>
      </c>
      <c r="T648" s="36" t="n">
        <v>0.5858364829918441</v>
      </c>
      <c r="U648" s="31" t="n">
        <v>211000</v>
      </c>
      <c r="V648" s="31" t="n">
        <v>60200</v>
      </c>
      <c r="W648" s="36" t="n">
        <v>-0.05545023696682461</v>
      </c>
      <c r="X648" s="36" t="n">
        <v>2.31063122923588</v>
      </c>
      <c r="Y648" s="31" t="n">
        <v>95312200</v>
      </c>
      <c r="Z648" s="31" t="n">
        <v>18995721460000</v>
      </c>
      <c r="AA648" s="31" t="n">
        <v>366959729900</v>
      </c>
      <c r="AB648" s="31" t="n">
        <v>448102213135</v>
      </c>
      <c r="AC648" s="36" t="n">
        <v>0.01931802014852244</v>
      </c>
      <c r="AD648" s="29" t="inlineStr">
        <is>
          <t>yfinance_download</t>
        </is>
      </c>
      <c r="AE648" s="29" t="inlineStr">
        <is>
          <t>042700.KS</t>
        </is>
      </c>
    </row>
    <row r="649" ht="24" customHeight="1">
      <c r="A649" s="24" t="inlineStr">
        <is>
          <t>2026-02-04</t>
        </is>
      </c>
      <c r="B649" s="30" t="n">
        <v>194000</v>
      </c>
      <c r="C649" s="30" t="n">
        <v>208000</v>
      </c>
      <c r="D649" s="30" t="n">
        <v>191900</v>
      </c>
      <c r="E649" s="30" t="n">
        <v>202500</v>
      </c>
      <c r="F649" s="30" t="n">
        <v>201874.515625</v>
      </c>
      <c r="G649" s="30" t="n">
        <v>1487504</v>
      </c>
      <c r="H649" s="35" t="n">
        <v>0.01605619668840941</v>
      </c>
      <c r="I649" s="35" t="n">
        <v>-0.04028436018957349</v>
      </c>
      <c r="J649" s="30" t="n">
        <v>181605</v>
      </c>
      <c r="K649" s="30" t="n">
        <v>145973.3333333333</v>
      </c>
      <c r="L649" s="30" t="n">
        <v>126625.8333333333</v>
      </c>
      <c r="M649" s="35" t="n">
        <v>0.7553437479963835</v>
      </c>
      <c r="N649" s="35" t="n">
        <v>0.7508010789450678</v>
      </c>
      <c r="O649" s="35" t="n">
        <v>0.08579088471849872</v>
      </c>
      <c r="P649" s="35" t="n">
        <v>0.5919811320754718</v>
      </c>
      <c r="Q649" s="35" t="n">
        <v>1.290723981900452</v>
      </c>
      <c r="R649" s="35" t="n">
        <v>0.1150574048071364</v>
      </c>
      <c r="S649" s="35" t="n">
        <v>0.3872396784800876</v>
      </c>
      <c r="T649" s="35" t="n">
        <v>0.5991997420220994</v>
      </c>
      <c r="U649" s="30" t="n">
        <v>211000</v>
      </c>
      <c r="V649" s="30" t="n">
        <v>60200</v>
      </c>
      <c r="W649" s="35" t="n">
        <v>-0.04028436018957349</v>
      </c>
      <c r="X649" s="35" t="n">
        <v>2.363787375415282</v>
      </c>
      <c r="Y649" s="30" t="n">
        <v>95312200</v>
      </c>
      <c r="Z649" s="30" t="n">
        <v>19300720500000</v>
      </c>
      <c r="AA649" s="30" t="n">
        <v>301219560000</v>
      </c>
      <c r="AB649" s="30" t="n">
        <v>418389380810</v>
      </c>
      <c r="AC649" s="35" t="n">
        <v>0.01560664846682796</v>
      </c>
      <c r="AD649" s="24" t="inlineStr">
        <is>
          <t>yfinance_download</t>
        </is>
      </c>
      <c r="AE649" s="24" t="inlineStr">
        <is>
          <t>042700.KS</t>
        </is>
      </c>
    </row>
    <row r="650" ht="24" customHeight="1">
      <c r="A650" s="29" t="inlineStr">
        <is>
          <t>2026-02-05</t>
        </is>
      </c>
      <c r="B650" s="31" t="n">
        <v>197100</v>
      </c>
      <c r="C650" s="31" t="n">
        <v>200500</v>
      </c>
      <c r="D650" s="31" t="n">
        <v>191700</v>
      </c>
      <c r="E650" s="31" t="n">
        <v>193500</v>
      </c>
      <c r="F650" s="31" t="n">
        <v>192902.3125</v>
      </c>
      <c r="G650" s="31" t="n">
        <v>1211016</v>
      </c>
      <c r="H650" s="36" t="n">
        <v>-0.0444444444444444</v>
      </c>
      <c r="I650" s="36" t="n">
        <v>-0.08293838862559244</v>
      </c>
      <c r="J650" s="31" t="n">
        <v>181995</v>
      </c>
      <c r="K650" s="31" t="n">
        <v>147038.3333333333</v>
      </c>
      <c r="L650" s="31" t="n">
        <v>127509.1666666667</v>
      </c>
      <c r="M650" s="36" t="n">
        <v>0.7752233962888981</v>
      </c>
      <c r="N650" s="36" t="n">
        <v>0.7583659073616558</v>
      </c>
      <c r="O650" s="36" t="n">
        <v>0.0420032310177707</v>
      </c>
      <c r="P650" s="36" t="n">
        <v>0.4930555555555556</v>
      </c>
      <c r="Q650" s="36" t="n">
        <v>1.211428571428571</v>
      </c>
      <c r="R650" s="36" t="n">
        <v>0.06321602241819835</v>
      </c>
      <c r="S650" s="36" t="n">
        <v>0.3159833603482085</v>
      </c>
      <c r="T650" s="36" t="n">
        <v>0.5175379547875643</v>
      </c>
      <c r="U650" s="31" t="n">
        <v>211000</v>
      </c>
      <c r="V650" s="31" t="n">
        <v>60200</v>
      </c>
      <c r="W650" s="36" t="n">
        <v>-0.08293838862559244</v>
      </c>
      <c r="X650" s="36" t="n">
        <v>2.214285714285714</v>
      </c>
      <c r="Y650" s="31" t="n">
        <v>95312200</v>
      </c>
      <c r="Z650" s="31" t="n">
        <v>18442910700000</v>
      </c>
      <c r="AA650" s="31" t="n">
        <v>234331596000</v>
      </c>
      <c r="AB650" s="31" t="n">
        <v>378734794685</v>
      </c>
      <c r="AC650" s="36" t="n">
        <v>0.01270578163131268</v>
      </c>
      <c r="AD650" s="29" t="inlineStr">
        <is>
          <t>yfinance_download</t>
        </is>
      </c>
      <c r="AE650" s="29" t="inlineStr">
        <is>
          <t>042700.KS</t>
        </is>
      </c>
    </row>
    <row r="651" ht="24" customHeight="1">
      <c r="A651" s="24" t="inlineStr">
        <is>
          <t>2026-02-06</t>
        </is>
      </c>
      <c r="B651" s="30" t="n">
        <v>190800</v>
      </c>
      <c r="C651" s="30" t="n">
        <v>199400</v>
      </c>
      <c r="D651" s="30" t="n">
        <v>180400</v>
      </c>
      <c r="E651" s="30" t="n">
        <v>196000</v>
      </c>
      <c r="F651" s="30" t="n">
        <v>195394.59375</v>
      </c>
      <c r="G651" s="30" t="n">
        <v>1470302</v>
      </c>
      <c r="H651" s="35" t="n">
        <v>0.01291989664082682</v>
      </c>
      <c r="I651" s="35" t="n">
        <v>-0.07109004739336489</v>
      </c>
      <c r="J651" s="30" t="n">
        <v>182980</v>
      </c>
      <c r="K651" s="30" t="n">
        <v>148143.3333333333</v>
      </c>
      <c r="L651" s="30" t="n">
        <v>128417.5</v>
      </c>
      <c r="M651" s="35" t="n">
        <v>0.7490919479702107</v>
      </c>
      <c r="N651" s="35" t="n">
        <v>0.7582941515255017</v>
      </c>
      <c r="O651" s="35" t="n">
        <v>0.1117413499716393</v>
      </c>
      <c r="P651" s="35" t="n">
        <v>0.5111796453353894</v>
      </c>
      <c r="Q651" s="35" t="n">
        <v>1.252873563218391</v>
      </c>
      <c r="R651" s="35" t="n">
        <v>0.07115531752104065</v>
      </c>
      <c r="S651" s="35" t="n">
        <v>0.3230429988974641</v>
      </c>
      <c r="T651" s="35" t="n">
        <v>0.5262717308778009</v>
      </c>
      <c r="U651" s="30" t="n">
        <v>211000</v>
      </c>
      <c r="V651" s="30" t="n">
        <v>60200</v>
      </c>
      <c r="W651" s="35" t="n">
        <v>-0.07109004739336489</v>
      </c>
      <c r="X651" s="35" t="n">
        <v>2.255813953488372</v>
      </c>
      <c r="Y651" s="30" t="n">
        <v>95312200</v>
      </c>
      <c r="Z651" s="30" t="n">
        <v>18681191200000</v>
      </c>
      <c r="AA651" s="30" t="n">
        <v>288179192000</v>
      </c>
      <c r="AB651" s="30" t="n">
        <v>370028356085</v>
      </c>
      <c r="AC651" s="35" t="n">
        <v>0.01542616789875798</v>
      </c>
      <c r="AD651" s="24" t="inlineStr">
        <is>
          <t>yfinance_download</t>
        </is>
      </c>
      <c r="AE651" s="24" t="inlineStr">
        <is>
          <t>042700.KS</t>
        </is>
      </c>
    </row>
    <row r="652" ht="24" customHeight="1">
      <c r="A652" s="29" t="inlineStr">
        <is>
          <t>2026-02-09</t>
        </is>
      </c>
      <c r="B652" s="31" t="n">
        <v>202500</v>
      </c>
      <c r="C652" s="31" t="n">
        <v>203000</v>
      </c>
      <c r="D652" s="31" t="n">
        <v>193700</v>
      </c>
      <c r="E652" s="31" t="n">
        <v>197800</v>
      </c>
      <c r="F652" s="31" t="n">
        <v>197189.03125</v>
      </c>
      <c r="G652" s="31" t="n">
        <v>1365865</v>
      </c>
      <c r="H652" s="36" t="n">
        <v>0.009183673469387754</v>
      </c>
      <c r="I652" s="36" t="n">
        <v>-0.06255924170616112</v>
      </c>
      <c r="J652" s="31" t="n">
        <v>184490</v>
      </c>
      <c r="K652" s="31" t="n">
        <v>149255</v>
      </c>
      <c r="L652" s="31" t="n">
        <v>129310.8333333333</v>
      </c>
      <c r="M652" s="36" t="n">
        <v>0.7195790361107851</v>
      </c>
      <c r="N652" s="36" t="n">
        <v>0.7582759487657159</v>
      </c>
      <c r="O652" s="36" t="n">
        <v>0.1801909307875895</v>
      </c>
      <c r="P652" s="36" t="n">
        <v>0.5087719298245614</v>
      </c>
      <c r="Q652" s="36" t="n">
        <v>1.183222958057395</v>
      </c>
      <c r="R652" s="36" t="n">
        <v>0.07214483169819497</v>
      </c>
      <c r="S652" s="36" t="n">
        <v>0.3252487353857492</v>
      </c>
      <c r="T652" s="36" t="n">
        <v>0.5296475546647936</v>
      </c>
      <c r="U652" s="31" t="n">
        <v>211000</v>
      </c>
      <c r="V652" s="31" t="n">
        <v>60200</v>
      </c>
      <c r="W652" s="36" t="n">
        <v>-0.06255924170616112</v>
      </c>
      <c r="X652" s="36" t="n">
        <v>2.285714285714286</v>
      </c>
      <c r="Y652" s="31" t="n">
        <v>95312200</v>
      </c>
      <c r="Z652" s="31" t="n">
        <v>18852753160000</v>
      </c>
      <c r="AA652" s="31" t="n">
        <v>270168097000</v>
      </c>
      <c r="AB652" s="31" t="n">
        <v>363116318275</v>
      </c>
      <c r="AC652" s="36" t="n">
        <v>0.01433043199086791</v>
      </c>
      <c r="AD652" s="29" t="inlineStr">
        <is>
          <t>yfinance_download</t>
        </is>
      </c>
      <c r="AE652" s="29" t="inlineStr">
        <is>
          <t>042700.KS</t>
        </is>
      </c>
    </row>
    <row r="653" ht="24" customHeight="1">
      <c r="A653" s="24" t="inlineStr">
        <is>
          <t>2026-02-10</t>
        </is>
      </c>
      <c r="B653" s="30" t="n">
        <v>197000</v>
      </c>
      <c r="C653" s="30" t="n">
        <v>201000</v>
      </c>
      <c r="D653" s="30" t="n">
        <v>194000</v>
      </c>
      <c r="E653" s="30" t="n">
        <v>194900</v>
      </c>
      <c r="F653" s="30" t="n">
        <v>194297.984375</v>
      </c>
      <c r="G653" s="30" t="n">
        <v>825009</v>
      </c>
      <c r="H653" s="35" t="n">
        <v>-0.01466127401415573</v>
      </c>
      <c r="I653" s="35" t="n">
        <v>-0.07630331753554498</v>
      </c>
      <c r="J653" s="30" t="n">
        <v>185575</v>
      </c>
      <c r="K653" s="30" t="n">
        <v>150278.3333333333</v>
      </c>
      <c r="L653" s="30" t="n">
        <v>130189.1666666667</v>
      </c>
      <c r="M653" s="35" t="n">
        <v>0.7184446029688079</v>
      </c>
      <c r="N653" s="35" t="n">
        <v>0.7593654930082431</v>
      </c>
      <c r="O653" s="35" t="n">
        <v>0.1252886836027713</v>
      </c>
      <c r="P653" s="35" t="n">
        <v>0.4599250936329589</v>
      </c>
      <c r="Q653" s="35" t="n">
        <v>1.177653631284916</v>
      </c>
      <c r="R653" s="35" t="n">
        <v>0.05024922538057397</v>
      </c>
      <c r="S653" s="35" t="n">
        <v>0.2969268135792473</v>
      </c>
      <c r="T653" s="35" t="n">
        <v>0.4970523661082911</v>
      </c>
      <c r="U653" s="30" t="n">
        <v>211000</v>
      </c>
      <c r="V653" s="30" t="n">
        <v>60200</v>
      </c>
      <c r="W653" s="35" t="n">
        <v>-0.07630331753554498</v>
      </c>
      <c r="X653" s="35" t="n">
        <v>2.237541528239203</v>
      </c>
      <c r="Y653" s="30" t="n">
        <v>95312200</v>
      </c>
      <c r="Z653" s="30" t="n">
        <v>18576347780000</v>
      </c>
      <c r="AA653" s="30" t="n">
        <v>160794254100</v>
      </c>
      <c r="AB653" s="30" t="n">
        <v>359096149620</v>
      </c>
      <c r="AC653" s="35" t="n">
        <v>0.008655859375819674</v>
      </c>
      <c r="AD653" s="24" t="inlineStr">
        <is>
          <t>yfinance_download</t>
        </is>
      </c>
      <c r="AE653" s="24" t="inlineStr">
        <is>
          <t>042700.KS</t>
        </is>
      </c>
    </row>
    <row r="654" ht="24" customHeight="1">
      <c r="A654" s="29" t="inlineStr">
        <is>
          <t>2026-02-11</t>
        </is>
      </c>
      <c r="B654" s="31" t="n">
        <v>192700</v>
      </c>
      <c r="C654" s="31" t="n">
        <v>193900</v>
      </c>
      <c r="D654" s="31" t="n">
        <v>187500</v>
      </c>
      <c r="E654" s="31" t="n">
        <v>190500</v>
      </c>
      <c r="F654" s="31" t="n">
        <v>189911.578125</v>
      </c>
      <c r="G654" s="31" t="n">
        <v>670835</v>
      </c>
      <c r="H654" s="36" t="n">
        <v>-0.02257567983581321</v>
      </c>
      <c r="I654" s="36" t="n">
        <v>-0.09715639810426535</v>
      </c>
      <c r="J654" s="31" t="n">
        <v>186210</v>
      </c>
      <c r="K654" s="31" t="n">
        <v>151360</v>
      </c>
      <c r="L654" s="31" t="n">
        <v>131014.1666666667</v>
      </c>
      <c r="M654" s="36" t="n">
        <v>0.7217701440698692</v>
      </c>
      <c r="N654" s="36" t="n">
        <v>0.7492936010866919</v>
      </c>
      <c r="O654" s="36" t="n">
        <v>0.0714285714285714</v>
      </c>
      <c r="P654" s="36" t="n">
        <v>0.51671974522293</v>
      </c>
      <c r="Q654" s="36" t="n">
        <v>1.081967213114754</v>
      </c>
      <c r="R654" s="36" t="n">
        <v>0.0230385049138071</v>
      </c>
      <c r="S654" s="36" t="n">
        <v>0.2585887949260042</v>
      </c>
      <c r="T654" s="36" t="n">
        <v>0.4540412296380163</v>
      </c>
      <c r="U654" s="31" t="n">
        <v>211000</v>
      </c>
      <c r="V654" s="31" t="n">
        <v>60200</v>
      </c>
      <c r="W654" s="36" t="n">
        <v>-0.09715639810426535</v>
      </c>
      <c r="X654" s="36" t="n">
        <v>2.164451827242525</v>
      </c>
      <c r="Y654" s="31" t="n">
        <v>95312200</v>
      </c>
      <c r="Z654" s="31" t="n">
        <v>18156974100000</v>
      </c>
      <c r="AA654" s="31" t="n">
        <v>127794067500</v>
      </c>
      <c r="AB654" s="31" t="n">
        <v>336278522535</v>
      </c>
      <c r="AC654" s="36" t="n">
        <v>0.007038291005768411</v>
      </c>
      <c r="AD654" s="29" t="inlineStr">
        <is>
          <t>yfinance_download</t>
        </is>
      </c>
      <c r="AE654" s="29" t="inlineStr">
        <is>
          <t>042700.KS</t>
        </is>
      </c>
    </row>
    <row r="655" ht="24" customHeight="1">
      <c r="A655" s="24" t="inlineStr">
        <is>
          <t>2026-02-12</t>
        </is>
      </c>
      <c r="B655" s="30" t="n">
        <v>200500</v>
      </c>
      <c r="C655" s="30" t="n">
        <v>224500</v>
      </c>
      <c r="D655" s="30" t="n">
        <v>199400</v>
      </c>
      <c r="E655" s="30" t="n">
        <v>209500</v>
      </c>
      <c r="F655" s="30" t="n">
        <v>208852.890625</v>
      </c>
      <c r="G655" s="30" t="n">
        <v>5790612</v>
      </c>
      <c r="H655" s="35" t="n">
        <v>0.09973753280839892</v>
      </c>
      <c r="I655" s="35" t="n">
        <v>-0.007109004739336511</v>
      </c>
      <c r="J655" s="30" t="n">
        <v>187685</v>
      </c>
      <c r="K655" s="30" t="n">
        <v>152646.6666666667</v>
      </c>
      <c r="L655" s="30" t="n">
        <v>131985</v>
      </c>
      <c r="M655" s="35" t="n">
        <v>0.7971897377972454</v>
      </c>
      <c r="N655" s="35" t="n">
        <v>0.7670981061976132</v>
      </c>
      <c r="O655" s="35" t="n">
        <v>0.163888888888889</v>
      </c>
      <c r="P655" s="35" t="n">
        <v>0.5835222978080121</v>
      </c>
      <c r="Q655" s="35" t="n">
        <v>1.252688172043011</v>
      </c>
      <c r="R655" s="35" t="n">
        <v>0.1162319844420172</v>
      </c>
      <c r="S655" s="35" t="n">
        <v>0.3724505393719701</v>
      </c>
      <c r="T655" s="35" t="n">
        <v>0.5873015873015872</v>
      </c>
      <c r="U655" s="30" t="n">
        <v>211000</v>
      </c>
      <c r="V655" s="30" t="n">
        <v>60200</v>
      </c>
      <c r="W655" s="35" t="n">
        <v>-0.007109004739336511</v>
      </c>
      <c r="X655" s="35" t="n">
        <v>2.480066445182724</v>
      </c>
      <c r="Y655" s="30" t="n">
        <v>95312200</v>
      </c>
      <c r="Z655" s="30" t="n">
        <v>19967905900000</v>
      </c>
      <c r="AA655" s="30" t="n">
        <v>1213133214000</v>
      </c>
      <c r="AB655" s="30" t="n">
        <v>385535864235</v>
      </c>
      <c r="AC655" s="35" t="n">
        <v>0.06075415319340022</v>
      </c>
      <c r="AD655" s="24" t="inlineStr">
        <is>
          <t>yfinance_download</t>
        </is>
      </c>
      <c r="AE655" s="24" t="inlineStr">
        <is>
          <t>042700.KS</t>
        </is>
      </c>
    </row>
    <row r="656" ht="24" customHeight="1">
      <c r="A656" s="29" t="inlineStr">
        <is>
          <t>2026-02-13</t>
        </is>
      </c>
      <c r="B656" s="31" t="n">
        <v>205500</v>
      </c>
      <c r="C656" s="31" t="n">
        <v>208500</v>
      </c>
      <c r="D656" s="31" t="n">
        <v>200000</v>
      </c>
      <c r="E656" s="31" t="n">
        <v>202500</v>
      </c>
      <c r="F656" s="31" t="n">
        <v>201874.515625</v>
      </c>
      <c r="G656" s="31" t="n">
        <v>1093939</v>
      </c>
      <c r="H656" s="36" t="n">
        <v>-0.03341288782816232</v>
      </c>
      <c r="I656" s="36" t="n">
        <v>-0.04028436018957349</v>
      </c>
      <c r="J656" s="31" t="n">
        <v>188885</v>
      </c>
      <c r="K656" s="31" t="n">
        <v>153993.3333333333</v>
      </c>
      <c r="L656" s="31" t="n">
        <v>132932.5</v>
      </c>
      <c r="M656" s="36" t="n">
        <v>0.8092212597270216</v>
      </c>
      <c r="N656" s="36" t="n">
        <v>0.7497480371942111</v>
      </c>
      <c r="O656" s="36" t="n">
        <v>0.134453781512605</v>
      </c>
      <c r="P656" s="36" t="n">
        <v>0.6639276910435497</v>
      </c>
      <c r="Q656" s="36" t="n">
        <v>1.280405405405405</v>
      </c>
      <c r="R656" s="36" t="n">
        <v>0.07208089578314847</v>
      </c>
      <c r="S656" s="36" t="n">
        <v>0.3149919909952812</v>
      </c>
      <c r="T656" s="36" t="n">
        <v>0.5233295093374457</v>
      </c>
      <c r="U656" s="31" t="n">
        <v>211000</v>
      </c>
      <c r="V656" s="31" t="n">
        <v>60200</v>
      </c>
      <c r="W656" s="36" t="n">
        <v>-0.04028436018957349</v>
      </c>
      <c r="X656" s="36" t="n">
        <v>2.363787375415282</v>
      </c>
      <c r="Y656" s="31" t="n">
        <v>95312200</v>
      </c>
      <c r="Z656" s="31" t="n">
        <v>19300720500000</v>
      </c>
      <c r="AA656" s="31" t="n">
        <v>221522647500</v>
      </c>
      <c r="AB656" s="31" t="n">
        <v>385163283285</v>
      </c>
      <c r="AC656" s="36" t="n">
        <v>0.01147742891256313</v>
      </c>
      <c r="AD656" s="29" t="inlineStr">
        <is>
          <t>yfinance_download</t>
        </is>
      </c>
      <c r="AE656" s="29" t="inlineStr">
        <is>
          <t>042700.KS</t>
        </is>
      </c>
    </row>
    <row r="657" ht="24" customHeight="1">
      <c r="A657" s="24" t="inlineStr">
        <is>
          <t>2026-02-19</t>
        </is>
      </c>
      <c r="B657" s="30" t="n">
        <v>207000</v>
      </c>
      <c r="C657" s="30" t="n">
        <v>207500</v>
      </c>
      <c r="D657" s="30" t="n">
        <v>200000</v>
      </c>
      <c r="E657" s="30" t="n">
        <v>201500</v>
      </c>
      <c r="F657" s="30" t="n">
        <v>200877.59375</v>
      </c>
      <c r="G657" s="30" t="n">
        <v>817087</v>
      </c>
      <c r="H657" s="35" t="n">
        <v>-0.004938271604938316</v>
      </c>
      <c r="I657" s="35" t="n">
        <v>-0.04502369668246442</v>
      </c>
      <c r="J657" s="30" t="n">
        <v>190085</v>
      </c>
      <c r="K657" s="30" t="n">
        <v>155340</v>
      </c>
      <c r="L657" s="30" t="n">
        <v>133862.5</v>
      </c>
      <c r="M657" s="35" t="n">
        <v>0.8090815269929408</v>
      </c>
      <c r="N657" s="35" t="n">
        <v>0.7494456550538862</v>
      </c>
      <c r="O657" s="35" t="n">
        <v>0.1352112676056338</v>
      </c>
      <c r="P657" s="35" t="n">
        <v>0.6694283347141674</v>
      </c>
      <c r="Q657" s="35" t="n">
        <v>1.241379310344827</v>
      </c>
      <c r="R657" s="35" t="n">
        <v>0.06005208196333212</v>
      </c>
      <c r="S657" s="35" t="n">
        <v>0.2971546285567144</v>
      </c>
      <c r="T657" s="35" t="n">
        <v>0.50527593612849</v>
      </c>
      <c r="U657" s="30" t="n">
        <v>211000</v>
      </c>
      <c r="V657" s="30" t="n">
        <v>60200</v>
      </c>
      <c r="W657" s="35" t="n">
        <v>-0.04502369668246442</v>
      </c>
      <c r="X657" s="35" t="n">
        <v>2.347176079734219</v>
      </c>
      <c r="Y657" s="30" t="n">
        <v>95312200</v>
      </c>
      <c r="Z657" s="30" t="n">
        <v>19205408300000</v>
      </c>
      <c r="AA657" s="30" t="n">
        <v>164643030500</v>
      </c>
      <c r="AB657" s="30" t="n">
        <v>384803689310</v>
      </c>
      <c r="AC657" s="35" t="n">
        <v>0.008572743048633858</v>
      </c>
      <c r="AD657" s="24" t="inlineStr">
        <is>
          <t>yfinance_download</t>
        </is>
      </c>
      <c r="AE657" s="24" t="inlineStr">
        <is>
          <t>042700.KS</t>
        </is>
      </c>
    </row>
    <row r="658" ht="24" customHeight="1">
      <c r="A658" s="29" t="inlineStr">
        <is>
          <t>2026-02-20</t>
        </is>
      </c>
      <c r="B658" s="31" t="n">
        <v>200500</v>
      </c>
      <c r="C658" s="31" t="n">
        <v>202000</v>
      </c>
      <c r="D658" s="31" t="n">
        <v>197300</v>
      </c>
      <c r="E658" s="31" t="n">
        <v>200500</v>
      </c>
      <c r="F658" s="31" t="n">
        <v>199880.6875</v>
      </c>
      <c r="G658" s="31" t="n">
        <v>836127</v>
      </c>
      <c r="H658" s="36" t="n">
        <v>-0.00496277915632759</v>
      </c>
      <c r="I658" s="36" t="n">
        <v>-0.04976303317535546</v>
      </c>
      <c r="J658" s="31" t="n">
        <v>191505</v>
      </c>
      <c r="K658" s="31" t="n">
        <v>156623.3333333333</v>
      </c>
      <c r="L658" s="31" t="n">
        <v>134807.5</v>
      </c>
      <c r="M658" s="36" t="n">
        <v>0.7981926059222367</v>
      </c>
      <c r="N658" s="36" t="n">
        <v>0.7494911428536303</v>
      </c>
      <c r="O658" s="36" t="n">
        <v>0.1650203370133643</v>
      </c>
      <c r="P658" s="36" t="n">
        <v>0.6234817813765183</v>
      </c>
      <c r="Q658" s="36" t="n">
        <v>1.30195177956372</v>
      </c>
      <c r="R658" s="36" t="n">
        <v>0.04697005300122714</v>
      </c>
      <c r="S658" s="36" t="n">
        <v>0.2801413156830612</v>
      </c>
      <c r="T658" s="36" t="n">
        <v>0.4873059733323444</v>
      </c>
      <c r="U658" s="31" t="n">
        <v>211000</v>
      </c>
      <c r="V658" s="31" t="n">
        <v>60200</v>
      </c>
      <c r="W658" s="36" t="n">
        <v>-0.04976303317535546</v>
      </c>
      <c r="X658" s="36" t="n">
        <v>2.330564784053156</v>
      </c>
      <c r="Y658" s="31" t="n">
        <v>95312200</v>
      </c>
      <c r="Z658" s="31" t="n">
        <v>19110096100000</v>
      </c>
      <c r="AA658" s="31" t="n">
        <v>167643463500</v>
      </c>
      <c r="AB658" s="31" t="n">
        <v>384802449840</v>
      </c>
      <c r="AC658" s="36" t="n">
        <v>0.008772507611827237</v>
      </c>
      <c r="AD658" s="29" t="inlineStr">
        <is>
          <t>yfinance_download</t>
        </is>
      </c>
      <c r="AE658" s="29" t="inlineStr">
        <is>
          <t>042700.KS</t>
        </is>
      </c>
    </row>
    <row r="659" ht="24" customHeight="1">
      <c r="A659" s="24" t="inlineStr">
        <is>
          <t>2026-02-23</t>
        </is>
      </c>
      <c r="B659" s="30" t="n">
        <v>201500</v>
      </c>
      <c r="C659" s="30" t="n">
        <v>208500</v>
      </c>
      <c r="D659" s="30" t="n">
        <v>200500</v>
      </c>
      <c r="E659" s="30" t="n">
        <v>204000</v>
      </c>
      <c r="F659" s="30" t="n">
        <v>203369.875</v>
      </c>
      <c r="G659" s="30" t="n">
        <v>939820</v>
      </c>
      <c r="H659" s="35" t="n">
        <v>0.0174563591022443</v>
      </c>
      <c r="I659" s="35" t="n">
        <v>-0.03317535545023698</v>
      </c>
      <c r="J659" s="30" t="n">
        <v>193095</v>
      </c>
      <c r="K659" s="30" t="n">
        <v>158021.6666666667</v>
      </c>
      <c r="L659" s="30" t="n">
        <v>135783.3333333333</v>
      </c>
      <c r="M659" s="35" t="n">
        <v>0.798119259380773</v>
      </c>
      <c r="N659" s="35" t="n">
        <v>0.7457443532609398</v>
      </c>
      <c r="O659" s="35" t="n">
        <v>0.1846689895470384</v>
      </c>
      <c r="P659" s="35" t="n">
        <v>0.6985845129059118</v>
      </c>
      <c r="Q659" s="35" t="n">
        <v>1.347525891829689</v>
      </c>
      <c r="R659" s="35" t="n">
        <v>0.05647479220073026</v>
      </c>
      <c r="S659" s="35" t="n">
        <v>0.2909622098235476</v>
      </c>
      <c r="T659" s="35" t="n">
        <v>0.5023935190867803</v>
      </c>
      <c r="U659" s="30" t="n">
        <v>211000</v>
      </c>
      <c r="V659" s="30" t="n">
        <v>60200</v>
      </c>
      <c r="W659" s="35" t="n">
        <v>-0.03317535545023698</v>
      </c>
      <c r="X659" s="35" t="n">
        <v>2.388704318936877</v>
      </c>
      <c r="Y659" s="30" t="n">
        <v>95312200</v>
      </c>
      <c r="Z659" s="30" t="n">
        <v>19443688800000</v>
      </c>
      <c r="AA659" s="30" t="n">
        <v>191723280000</v>
      </c>
      <c r="AB659" s="30" t="n">
        <v>385667717040</v>
      </c>
      <c r="AC659" s="35" t="n">
        <v>0.00986043759350849</v>
      </c>
      <c r="AD659" s="24" t="inlineStr">
        <is>
          <t>yfinance_download</t>
        </is>
      </c>
      <c r="AE659" s="24" t="inlineStr">
        <is>
          <t>042700.KS</t>
        </is>
      </c>
    </row>
    <row r="660" ht="24" customHeight="1">
      <c r="A660" s="29" t="inlineStr">
        <is>
          <t>2026-02-24</t>
        </is>
      </c>
      <c r="B660" s="31" t="n">
        <v>203500</v>
      </c>
      <c r="C660" s="31" t="n">
        <v>214000</v>
      </c>
      <c r="D660" s="31" t="n">
        <v>196800</v>
      </c>
      <c r="E660" s="31" t="n">
        <v>210000</v>
      </c>
      <c r="F660" s="31" t="n">
        <v>209351.34375</v>
      </c>
      <c r="G660" s="31" t="n">
        <v>1645860</v>
      </c>
      <c r="H660" s="36" t="n">
        <v>0.02941176470588225</v>
      </c>
      <c r="I660" s="36" t="n">
        <v>-0.004739336492891044</v>
      </c>
      <c r="J660" s="31" t="n">
        <v>195075</v>
      </c>
      <c r="K660" s="31" t="n">
        <v>159528.3333333333</v>
      </c>
      <c r="L660" s="31" t="n">
        <v>136810</v>
      </c>
      <c r="M660" s="36" t="n">
        <v>0.7973110535533678</v>
      </c>
      <c r="N660" s="36" t="n">
        <v>0.7462111703321636</v>
      </c>
      <c r="O660" s="36" t="n">
        <v>0.232394366197183</v>
      </c>
      <c r="P660" s="36" t="n">
        <v>0.7558528428093645</v>
      </c>
      <c r="Q660" s="36" t="n">
        <v>1.419354838709677</v>
      </c>
      <c r="R660" s="36" t="n">
        <v>0.0765090349865436</v>
      </c>
      <c r="S660" s="36" t="n">
        <v>0.3163805802522017</v>
      </c>
      <c r="T660" s="36" t="n">
        <v>0.5349755134858563</v>
      </c>
      <c r="U660" s="31" t="n">
        <v>211000</v>
      </c>
      <c r="V660" s="31" t="n">
        <v>60200</v>
      </c>
      <c r="W660" s="36" t="n">
        <v>-0.004739336492891044</v>
      </c>
      <c r="X660" s="36" t="n">
        <v>2.488372093023256</v>
      </c>
      <c r="Y660" s="31" t="n">
        <v>95312200</v>
      </c>
      <c r="Z660" s="31" t="n">
        <v>20015562000000</v>
      </c>
      <c r="AA660" s="31" t="n">
        <v>345630600000</v>
      </c>
      <c r="AB660" s="31" t="n">
        <v>394133364480</v>
      </c>
      <c r="AC660" s="36" t="n">
        <v>0.01726809369629491</v>
      </c>
      <c r="AD660" s="29" t="inlineStr">
        <is>
          <t>yfinance_download</t>
        </is>
      </c>
      <c r="AE660" s="29" t="inlineStr">
        <is>
          <t>042700.KS</t>
        </is>
      </c>
    </row>
    <row r="661" ht="24" customHeight="1">
      <c r="A661" s="24" t="inlineStr">
        <is>
          <t>2026-02-25</t>
        </is>
      </c>
      <c r="B661" s="30" t="n">
        <v>210500</v>
      </c>
      <c r="C661" s="30" t="n">
        <v>215500</v>
      </c>
      <c r="D661" s="30" t="n">
        <v>208000</v>
      </c>
      <c r="E661" s="30" t="n">
        <v>214500</v>
      </c>
      <c r="F661" s="30" t="n">
        <v>213837.453125</v>
      </c>
      <c r="G661" s="30" t="n">
        <v>1064978</v>
      </c>
      <c r="H661" s="35" t="n">
        <v>0.02142857142857135</v>
      </c>
      <c r="I661" s="35" t="n">
        <v>0</v>
      </c>
      <c r="J661" s="30" t="n">
        <v>197245</v>
      </c>
      <c r="K661" s="30" t="n">
        <v>161101.6666666667</v>
      </c>
      <c r="L661" s="30" t="n">
        <v>137855.8333333333</v>
      </c>
      <c r="M661" s="35" t="n">
        <v>0.7974953968558929</v>
      </c>
      <c r="N661" s="35" t="n">
        <v>0.7464268632878738</v>
      </c>
      <c r="O661" s="35" t="n">
        <v>0.2536528345996494</v>
      </c>
      <c r="P661" s="35" t="n">
        <v>0.7860116569525395</v>
      </c>
      <c r="Q661" s="35" t="n">
        <v>1.410112359550562</v>
      </c>
      <c r="R661" s="35" t="n">
        <v>0.0874800375167939</v>
      </c>
      <c r="S661" s="35" t="n">
        <v>0.3314573612935932</v>
      </c>
      <c r="T661" s="35" t="n">
        <v>0.5559733296257563</v>
      </c>
      <c r="U661" s="30" t="n">
        <v>214500</v>
      </c>
      <c r="V661" s="30" t="n">
        <v>60200</v>
      </c>
      <c r="W661" s="35" t="n">
        <v>0</v>
      </c>
      <c r="X661" s="35" t="n">
        <v>2.56312292358804</v>
      </c>
      <c r="Y661" s="30" t="n">
        <v>95312200</v>
      </c>
      <c r="Z661" s="30" t="n">
        <v>20444466900000</v>
      </c>
      <c r="AA661" s="30" t="n">
        <v>228437781000</v>
      </c>
      <c r="AB661" s="30" t="n">
        <v>400040135900</v>
      </c>
      <c r="AC661" s="35" t="n">
        <v>0.01117357484141589</v>
      </c>
      <c r="AD661" s="24" t="inlineStr">
        <is>
          <t>yfinance_download</t>
        </is>
      </c>
      <c r="AE661" s="24" t="inlineStr">
        <is>
          <t>042700.KS</t>
        </is>
      </c>
    </row>
    <row r="662" ht="24" customHeight="1">
      <c r="A662" s="29" t="inlineStr">
        <is>
          <t>2026-02-26</t>
        </is>
      </c>
      <c r="B662" s="31" t="n">
        <v>233000</v>
      </c>
      <c r="C662" s="31" t="n">
        <v>277500</v>
      </c>
      <c r="D662" s="31" t="n">
        <v>228000</v>
      </c>
      <c r="E662" s="31" t="n">
        <v>275500</v>
      </c>
      <c r="F662" s="31" t="n">
        <v>274649.03125</v>
      </c>
      <c r="G662" s="31" t="n">
        <v>6002195</v>
      </c>
      <c r="H662" s="36" t="n">
        <v>0.2843822843822843</v>
      </c>
      <c r="I662" s="36" t="n">
        <v>0</v>
      </c>
      <c r="J662" s="31" t="n">
        <v>202545</v>
      </c>
      <c r="K662" s="31" t="n">
        <v>163551.6666666667</v>
      </c>
      <c r="L662" s="31" t="n">
        <v>139408.3333333333</v>
      </c>
      <c r="M662" s="36" t="n">
        <v>1.245946621104784</v>
      </c>
      <c r="N662" s="36" t="n">
        <v>0.9266574822268887</v>
      </c>
      <c r="O662" s="36" t="n">
        <v>0.6253687315634218</v>
      </c>
      <c r="P662" s="36" t="n">
        <v>1.143968871595331</v>
      </c>
      <c r="Q662" s="36" t="n">
        <v>2.088565022421525</v>
      </c>
      <c r="R662" s="36" t="n">
        <v>0.3601915623688563</v>
      </c>
      <c r="S662" s="36" t="n">
        <v>0.6844829870275448</v>
      </c>
      <c r="T662" s="36" t="n">
        <v>0.9762089784207064</v>
      </c>
      <c r="U662" s="31" t="n">
        <v>275500</v>
      </c>
      <c r="V662" s="31" t="n">
        <v>60200</v>
      </c>
      <c r="W662" s="36" t="n">
        <v>0</v>
      </c>
      <c r="X662" s="36" t="n">
        <v>3.576411960132891</v>
      </c>
      <c r="Y662" s="31" t="n">
        <v>95312200</v>
      </c>
      <c r="Z662" s="31" t="n">
        <v>26258511100000</v>
      </c>
      <c r="AA662" s="31" t="n">
        <v>1653604722500</v>
      </c>
      <c r="AB662" s="31" t="n">
        <v>476335332450</v>
      </c>
      <c r="AC662" s="36" t="n">
        <v>0.06297404739372295</v>
      </c>
      <c r="AD662" s="29" t="inlineStr">
        <is>
          <t>yfinance_download</t>
        </is>
      </c>
      <c r="AE662" s="29" t="inlineStr">
        <is>
          <t>042700.KS</t>
        </is>
      </c>
    </row>
    <row r="663" ht="24" customHeight="1">
      <c r="A663" s="24" t="inlineStr">
        <is>
          <t>2026-02-27</t>
        </is>
      </c>
      <c r="B663" s="30" t="n">
        <v>263500</v>
      </c>
      <c r="C663" s="30" t="n">
        <v>332500</v>
      </c>
      <c r="D663" s="30" t="n">
        <v>261500</v>
      </c>
      <c r="E663" s="30" t="n">
        <v>323500</v>
      </c>
      <c r="F663" s="30" t="n">
        <v>322500.75</v>
      </c>
      <c r="G663" s="30" t="n">
        <v>6701641</v>
      </c>
      <c r="H663" s="35" t="n">
        <v>0.1742286751361162</v>
      </c>
      <c r="I663" s="35" t="n">
        <v>0</v>
      </c>
      <c r="J663" s="30" t="n">
        <v>209980</v>
      </c>
      <c r="K663" s="30" t="n">
        <v>166871.6666666667</v>
      </c>
      <c r="L663" s="30" t="n">
        <v>141361.6666666667</v>
      </c>
      <c r="M663" s="35" t="n">
        <v>1.350978571932959</v>
      </c>
      <c r="N663" s="35" t="n">
        <v>0.9774438807328854</v>
      </c>
      <c r="O663" s="35" t="n">
        <v>0.8506864988558351</v>
      </c>
      <c r="P663" s="35" t="n">
        <v>1.602574416733709</v>
      </c>
      <c r="Q663" s="35" t="n">
        <v>2.630751964085297</v>
      </c>
      <c r="R663" s="35" t="n">
        <v>0.540622916468235</v>
      </c>
      <c r="S663" s="35" t="n">
        <v>0.9386155029313945</v>
      </c>
      <c r="T663" s="35" t="n">
        <v>1.28845632361437</v>
      </c>
      <c r="U663" s="30" t="n">
        <v>323500</v>
      </c>
      <c r="V663" s="30" t="n">
        <v>60200</v>
      </c>
      <c r="W663" s="35" t="n">
        <v>0</v>
      </c>
      <c r="X663" s="35" t="n">
        <v>4.373754152823921</v>
      </c>
      <c r="Y663" s="30" t="n">
        <v>95312200</v>
      </c>
      <c r="Z663" s="30" t="n">
        <v>30833496700000</v>
      </c>
      <c r="AA663" s="30" t="n">
        <v>2167980863500</v>
      </c>
      <c r="AB663" s="30" t="n">
        <v>570568417565</v>
      </c>
      <c r="AC663" s="35" t="n">
        <v>0.07031252032793284</v>
      </c>
      <c r="AD663" s="24" t="inlineStr">
        <is>
          <t>yfinance_download</t>
        </is>
      </c>
      <c r="AE663" s="24" t="inlineStr">
        <is>
          <t>042700.KS</t>
        </is>
      </c>
    </row>
    <row r="664" ht="24" customHeight="1">
      <c r="A664" s="29" t="inlineStr">
        <is>
          <t>2026-03-03</t>
        </is>
      </c>
      <c r="B664" s="31" t="n">
        <v>314000</v>
      </c>
      <c r="C664" s="31" t="n">
        <v>319500</v>
      </c>
      <c r="D664" s="31" t="n">
        <v>280000</v>
      </c>
      <c r="E664" s="31" t="n">
        <v>282000</v>
      </c>
      <c r="F664" s="31" t="n">
        <v>281128.9375</v>
      </c>
      <c r="G664" s="31" t="n">
        <v>2299627</v>
      </c>
      <c r="H664" s="36" t="n">
        <v>-0.1282843894899537</v>
      </c>
      <c r="I664" s="36" t="n">
        <v>-0.1282843894899537</v>
      </c>
      <c r="J664" s="31" t="n">
        <v>214980</v>
      </c>
      <c r="K664" s="31" t="n">
        <v>169511.6666666667</v>
      </c>
      <c r="L664" s="31" t="n">
        <v>142975</v>
      </c>
      <c r="M664" s="36" t="n">
        <v>1.468500161656223</v>
      </c>
      <c r="N664" s="36" t="n">
        <v>1.021330297705334</v>
      </c>
      <c r="O664" s="36" t="n">
        <v>0.5494505494505495</v>
      </c>
      <c r="P664" s="36" t="n">
        <v>1.281553398058252</v>
      </c>
      <c r="Q664" s="36" t="n">
        <v>2.190045248868778</v>
      </c>
      <c r="R664" s="36" t="n">
        <v>0.3117499302260676</v>
      </c>
      <c r="S664" s="36" t="n">
        <v>0.663602308592329</v>
      </c>
      <c r="T664" s="36" t="n">
        <v>0.9723727924462318</v>
      </c>
      <c r="U664" s="31" t="n">
        <v>323500</v>
      </c>
      <c r="V664" s="31" t="n">
        <v>60200</v>
      </c>
      <c r="W664" s="36" t="n">
        <v>-0.1282843894899537</v>
      </c>
      <c r="X664" s="36" t="n">
        <v>3.6843853820598</v>
      </c>
      <c r="Y664" s="31" t="n">
        <v>95312200</v>
      </c>
      <c r="Z664" s="31" t="n">
        <v>26878040400000</v>
      </c>
      <c r="AA664" s="31" t="n">
        <v>648494814000</v>
      </c>
      <c r="AB664" s="31" t="n">
        <v>582783951065</v>
      </c>
      <c r="AC664" s="36" t="n">
        <v>0.02412731004005783</v>
      </c>
      <c r="AD664" s="29" t="inlineStr">
        <is>
          <t>yfinance_download</t>
        </is>
      </c>
      <c r="AE664" s="29" t="inlineStr">
        <is>
          <t>042700.KS</t>
        </is>
      </c>
    </row>
    <row r="665" ht="24" customHeight="1">
      <c r="A665" s="24" t="inlineStr">
        <is>
          <t>2026-03-04</t>
        </is>
      </c>
      <c r="B665" s="30" t="n">
        <v>261500</v>
      </c>
      <c r="C665" s="30" t="n">
        <v>300000</v>
      </c>
      <c r="D665" s="30" t="n">
        <v>251500</v>
      </c>
      <c r="E665" s="30" t="n">
        <v>259000</v>
      </c>
      <c r="F665" s="30" t="n">
        <v>258200</v>
      </c>
      <c r="G665" s="30" t="n">
        <v>4796391</v>
      </c>
      <c r="H665" s="35" t="n">
        <v>-0.08156028368794321</v>
      </c>
      <c r="I665" s="35" t="n">
        <v>-0.1993817619783617</v>
      </c>
      <c r="J665" s="30" t="n">
        <v>217755</v>
      </c>
      <c r="K665" s="30" t="n">
        <v>171800</v>
      </c>
      <c r="L665" s="30" t="n">
        <v>144408.3333333333</v>
      </c>
      <c r="M665" s="35" t="n">
        <v>1.473261618636315</v>
      </c>
      <c r="N665" s="35" t="n">
        <v>1.038800765141249</v>
      </c>
      <c r="O665" s="35" t="n">
        <v>0.2727272727272727</v>
      </c>
      <c r="P665" s="35" t="n">
        <v>1.128184059161873</v>
      </c>
      <c r="Q665" s="35" t="n">
        <v>1.977011494252873</v>
      </c>
      <c r="R665" s="35" t="n">
        <v>0.1894101168744691</v>
      </c>
      <c r="S665" s="35" t="n">
        <v>0.5075669383003492</v>
      </c>
      <c r="T665" s="35" t="n">
        <v>0.7935253044030237</v>
      </c>
      <c r="U665" s="30" t="n">
        <v>323500</v>
      </c>
      <c r="V665" s="30" t="n">
        <v>60200</v>
      </c>
      <c r="W665" s="35" t="n">
        <v>-0.1993817619783617</v>
      </c>
      <c r="X665" s="35" t="n">
        <v>3.302325581395348</v>
      </c>
      <c r="Y665" s="30" t="n">
        <v>95312200</v>
      </c>
      <c r="Z665" s="30" t="n">
        <v>24685859800000</v>
      </c>
      <c r="AA665" s="30" t="n">
        <v>1242265269000</v>
      </c>
      <c r="AB665" s="30" t="n">
        <v>572043034215</v>
      </c>
      <c r="AC665" s="35" t="n">
        <v>0.05032294921321719</v>
      </c>
      <c r="AD665" s="24" t="inlineStr">
        <is>
          <t>yfinance_download</t>
        </is>
      </c>
      <c r="AE665" s="24" t="inlineStr">
        <is>
          <t>042700.KS</t>
        </is>
      </c>
    </row>
    <row r="666" ht="24" customHeight="1">
      <c r="A666" s="29" t="inlineStr">
        <is>
          <t>2026-03-05</t>
        </is>
      </c>
      <c r="B666" s="31" t="n">
        <v>302000</v>
      </c>
      <c r="C666" s="31" t="n">
        <v>323000</v>
      </c>
      <c r="D666" s="31" t="n">
        <v>301000</v>
      </c>
      <c r="E666" s="31" t="n">
        <v>315000</v>
      </c>
      <c r="F666" s="31" t="n">
        <v>315000</v>
      </c>
      <c r="G666" s="31" t="n">
        <v>3089855</v>
      </c>
      <c r="H666" s="36" t="n">
        <v>0.2162162162162162</v>
      </c>
      <c r="I666" s="36" t="n">
        <v>-0.02627511591962906</v>
      </c>
      <c r="J666" s="31" t="n">
        <v>222955</v>
      </c>
      <c r="K666" s="31" t="n">
        <v>175041.6666666667</v>
      </c>
      <c r="L666" s="31" t="n">
        <v>146354.1666666667</v>
      </c>
      <c r="M666" s="36" t="n">
        <v>1.635654972221415</v>
      </c>
      <c r="N666" s="36" t="n">
        <v>1.116449210568279</v>
      </c>
      <c r="O666" s="36" t="n">
        <v>0.4928909952606635</v>
      </c>
      <c r="P666" s="36" t="n">
        <v>1.614107883817427</v>
      </c>
      <c r="Q666" s="36" t="n">
        <v>2.865030674846626</v>
      </c>
      <c r="R666" s="36" t="n">
        <v>0.4128411562871432</v>
      </c>
      <c r="S666" s="36" t="n">
        <v>0.7995715305879554</v>
      </c>
      <c r="T666" s="36" t="n">
        <v>1.152313167259787</v>
      </c>
      <c r="U666" s="31" t="n">
        <v>323500</v>
      </c>
      <c r="V666" s="31" t="n">
        <v>60200</v>
      </c>
      <c r="W666" s="36" t="n">
        <v>-0.02627511591962906</v>
      </c>
      <c r="X666" s="36" t="n">
        <v>4.232558139534884</v>
      </c>
      <c r="Y666" s="31" t="n">
        <v>95312200</v>
      </c>
      <c r="Z666" s="31" t="n">
        <v>30023343000000</v>
      </c>
      <c r="AA666" s="31" t="n">
        <v>973304325000</v>
      </c>
      <c r="AB666" s="31" t="n">
        <v>574658428865</v>
      </c>
      <c r="AC666" s="36" t="n">
        <v>0.03241825285745162</v>
      </c>
      <c r="AD666" s="29" t="inlineStr">
        <is>
          <t>yfinance_download</t>
        </is>
      </c>
      <c r="AE666" s="29" t="inlineStr">
        <is>
          <t>042700.KS</t>
        </is>
      </c>
    </row>
    <row r="667" ht="24" customHeight="1">
      <c r="A667" s="24" t="inlineStr">
        <is>
          <t>2026-03-06</t>
        </is>
      </c>
      <c r="B667" s="30" t="n">
        <v>326000</v>
      </c>
      <c r="C667" s="30" t="n">
        <v>334000</v>
      </c>
      <c r="D667" s="30" t="n">
        <v>305000</v>
      </c>
      <c r="E667" s="30" t="n">
        <v>333500</v>
      </c>
      <c r="F667" s="30" t="n">
        <v>333500</v>
      </c>
      <c r="G667" s="30" t="n">
        <v>2232244</v>
      </c>
      <c r="H667" s="35" t="n">
        <v>0.05873015873015874</v>
      </c>
      <c r="I667" s="35" t="n">
        <v>0</v>
      </c>
      <c r="J667" s="30" t="n">
        <v>230275</v>
      </c>
      <c r="K667" s="30" t="n">
        <v>178575</v>
      </c>
      <c r="L667" s="30" t="n">
        <v>148442.5</v>
      </c>
      <c r="M667" s="35" t="n">
        <v>1.554893641609926</v>
      </c>
      <c r="N667" s="35" t="n">
        <v>1.119279416777277</v>
      </c>
      <c r="O667" s="35" t="n">
        <v>0.7824692677712453</v>
      </c>
      <c r="P667" s="35" t="n">
        <v>1.744855967078189</v>
      </c>
      <c r="Q667" s="35" t="n">
        <v>3.02291917973462</v>
      </c>
      <c r="R667" s="35" t="n">
        <v>0.4482683747692975</v>
      </c>
      <c r="S667" s="35" t="n">
        <v>0.8675626487470252</v>
      </c>
      <c r="T667" s="35" t="n">
        <v>1.246661165097597</v>
      </c>
      <c r="U667" s="30" t="n">
        <v>333500</v>
      </c>
      <c r="V667" s="30" t="n">
        <v>60200</v>
      </c>
      <c r="W667" s="35" t="n">
        <v>0</v>
      </c>
      <c r="X667" s="35" t="n">
        <v>4.539867109634551</v>
      </c>
      <c r="Y667" s="30" t="n">
        <v>95312200</v>
      </c>
      <c r="Z667" s="30" t="n">
        <v>31786618700000</v>
      </c>
      <c r="AA667" s="30" t="n">
        <v>744453374000</v>
      </c>
      <c r="AB667" s="30" t="n">
        <v>585614194050</v>
      </c>
      <c r="AC667" s="35" t="n">
        <v>0.02342033863450849</v>
      </c>
      <c r="AD667" s="24" t="inlineStr">
        <is>
          <t>yfinance_download</t>
        </is>
      </c>
      <c r="AE667" s="24" t="inlineStr">
        <is>
          <t>042700.KS</t>
        </is>
      </c>
    </row>
    <row r="668" ht="24" customHeight="1">
      <c r="A668" s="29" t="inlineStr">
        <is>
          <t>2026-03-09</t>
        </is>
      </c>
      <c r="B668" s="31" t="n">
        <v>303500</v>
      </c>
      <c r="C668" s="31" t="n">
        <v>313500</v>
      </c>
      <c r="D668" s="31" t="n">
        <v>293000</v>
      </c>
      <c r="E668" s="31" t="n">
        <v>305000</v>
      </c>
      <c r="F668" s="31" t="n">
        <v>305000</v>
      </c>
      <c r="G668" s="31" t="n">
        <v>1519978</v>
      </c>
      <c r="H668" s="36" t="n">
        <v>-0.0854572713643178</v>
      </c>
      <c r="I668" s="36" t="n">
        <v>-0.0854572713643178</v>
      </c>
      <c r="J668" s="31" t="n">
        <v>235560</v>
      </c>
      <c r="K668" s="31" t="n">
        <v>181723.3333333333</v>
      </c>
      <c r="L668" s="31" t="n">
        <v>150287.5</v>
      </c>
      <c r="M668" s="36" t="n">
        <v>1.605308766360598</v>
      </c>
      <c r="N668" s="36" t="n">
        <v>1.132327289384981</v>
      </c>
      <c r="O668" s="36" t="n">
        <v>0.5303562468640242</v>
      </c>
      <c r="P668" s="36" t="n">
        <v>1.627045650301464</v>
      </c>
      <c r="Q668" s="36" t="n">
        <v>2.648325358851675</v>
      </c>
      <c r="R668" s="36" t="n">
        <v>0.2947868908133808</v>
      </c>
      <c r="S668" s="36" t="n">
        <v>0.6783755525799291</v>
      </c>
      <c r="T668" s="36" t="n">
        <v>1.029443566497546</v>
      </c>
      <c r="U668" s="31" t="n">
        <v>333500</v>
      </c>
      <c r="V668" s="31" t="n">
        <v>60200</v>
      </c>
      <c r="W668" s="36" t="n">
        <v>-0.0854572713643178</v>
      </c>
      <c r="X668" s="36" t="n">
        <v>4.066445182724252</v>
      </c>
      <c r="Y668" s="31" t="n">
        <v>95312200</v>
      </c>
      <c r="Z668" s="31" t="n">
        <v>29070221000000</v>
      </c>
      <c r="AA668" s="31" t="n">
        <v>463593290000</v>
      </c>
      <c r="AB668" s="31" t="n">
        <v>590445872055</v>
      </c>
      <c r="AC668" s="36" t="n">
        <v>0.01594736035890474</v>
      </c>
      <c r="AD668" s="29" t="inlineStr">
        <is>
          <t>yfinance_download</t>
        </is>
      </c>
      <c r="AE668" s="29" t="inlineStr">
        <is>
          <t>042700.KS</t>
        </is>
      </c>
    </row>
    <row r="669" ht="24" customHeight="1">
      <c r="A669" s="24" t="inlineStr">
        <is>
          <t>2026-03-10</t>
        </is>
      </c>
      <c r="B669" s="30" t="n">
        <v>334500</v>
      </c>
      <c r="C669" s="30" t="n">
        <v>335500</v>
      </c>
      <c r="D669" s="30" t="n">
        <v>306500</v>
      </c>
      <c r="E669" s="30" t="n">
        <v>324000</v>
      </c>
      <c r="F669" s="30" t="n">
        <v>324000</v>
      </c>
      <c r="G669" s="30" t="n">
        <v>1602070</v>
      </c>
      <c r="H669" s="35" t="n">
        <v>0.06229508196721301</v>
      </c>
      <c r="I669" s="35" t="n">
        <v>-0.0284857571214393</v>
      </c>
      <c r="J669" s="30" t="n">
        <v>241635</v>
      </c>
      <c r="K669" s="30" t="n">
        <v>185138.3333333333</v>
      </c>
      <c r="L669" s="30" t="n">
        <v>152299.1666666667</v>
      </c>
      <c r="M669" s="35" t="n">
        <v>1.609904471444052</v>
      </c>
      <c r="N669" s="35" t="n">
        <v>1.135787318770962</v>
      </c>
      <c r="O669" s="35" t="n">
        <v>0.6000000000000001</v>
      </c>
      <c r="P669" s="35" t="n">
        <v>1.720403022670025</v>
      </c>
      <c r="Q669" s="35" t="n">
        <v>2.922518159806295</v>
      </c>
      <c r="R669" s="35" t="n">
        <v>0.3408653547706251</v>
      </c>
      <c r="S669" s="35" t="n">
        <v>0.750042760818487</v>
      </c>
      <c r="T669" s="35" t="n">
        <v>1.1273918110736</v>
      </c>
      <c r="U669" s="30" t="n">
        <v>333500</v>
      </c>
      <c r="V669" s="30" t="n">
        <v>60200</v>
      </c>
      <c r="W669" s="35" t="n">
        <v>-0.0284857571214393</v>
      </c>
      <c r="X669" s="35" t="n">
        <v>4.382059800664452</v>
      </c>
      <c r="Y669" s="30" t="n">
        <v>95312200</v>
      </c>
      <c r="Z669" s="30" t="n">
        <v>30881152800000</v>
      </c>
      <c r="AA669" s="30" t="n">
        <v>519070680000</v>
      </c>
      <c r="AB669" s="30" t="n">
        <v>601338428055</v>
      </c>
      <c r="AC669" s="35" t="n">
        <v>0.01680865618462275</v>
      </c>
      <c r="AD669" s="24" t="inlineStr">
        <is>
          <t>yfinance_download</t>
        </is>
      </c>
      <c r="AE669" s="24" t="inlineStr">
        <is>
          <t>042700.KS</t>
        </is>
      </c>
    </row>
    <row r="670" ht="24" customHeight="1">
      <c r="A670" s="29" t="inlineStr">
        <is>
          <t>2026-03-11</t>
        </is>
      </c>
      <c r="B670" s="31" t="n">
        <v>326500</v>
      </c>
      <c r="C670" s="31" t="n">
        <v>327500</v>
      </c>
      <c r="D670" s="31" t="n">
        <v>303500</v>
      </c>
      <c r="E670" s="31" t="n">
        <v>312500</v>
      </c>
      <c r="F670" s="31" t="n">
        <v>312500</v>
      </c>
      <c r="G670" s="31" t="n">
        <v>1091554</v>
      </c>
      <c r="H670" s="36" t="n">
        <v>-0.03549382716049387</v>
      </c>
      <c r="I670" s="36" t="n">
        <v>-0.06296851574212892</v>
      </c>
      <c r="J670" s="31" t="n">
        <v>247585</v>
      </c>
      <c r="K670" s="31" t="n">
        <v>188323.3333333333</v>
      </c>
      <c r="L670" s="31" t="n">
        <v>154212.5</v>
      </c>
      <c r="M670" s="36" t="n">
        <v>1.60484703171977</v>
      </c>
      <c r="N670" s="36" t="n">
        <v>1.141298490362786</v>
      </c>
      <c r="O670" s="36" t="n">
        <v>0.6149870801033592</v>
      </c>
      <c r="P670" s="36" t="n">
        <v>1.574135090609555</v>
      </c>
      <c r="Q670" s="36" t="n">
        <v>2.769601930036188</v>
      </c>
      <c r="R670" s="36" t="n">
        <v>0.2621927822767938</v>
      </c>
      <c r="S670" s="36" t="n">
        <v>0.6593801440784466</v>
      </c>
      <c r="T670" s="36" t="n">
        <v>1.026424576477264</v>
      </c>
      <c r="U670" s="31" t="n">
        <v>333500</v>
      </c>
      <c r="V670" s="31" t="n">
        <v>60200</v>
      </c>
      <c r="W670" s="36" t="n">
        <v>-0.06296851574212892</v>
      </c>
      <c r="X670" s="36" t="n">
        <v>4.191029900332226</v>
      </c>
      <c r="Y670" s="31" t="n">
        <v>95312200</v>
      </c>
      <c r="Z670" s="31" t="n">
        <v>29785062500000</v>
      </c>
      <c r="AA670" s="31" t="n">
        <v>341110625000</v>
      </c>
      <c r="AB670" s="31" t="n">
        <v>606677379505</v>
      </c>
      <c r="AC670" s="36" t="n">
        <v>0.01145240588298245</v>
      </c>
      <c r="AD670" s="29" t="inlineStr">
        <is>
          <t>yfinance_download</t>
        </is>
      </c>
      <c r="AE670" s="29" t="inlineStr">
        <is>
          <t>042700.KS</t>
        </is>
      </c>
    </row>
    <row r="671" ht="24" customHeight="1">
      <c r="A671" s="24" t="inlineStr">
        <is>
          <t>2026-03-12</t>
        </is>
      </c>
      <c r="B671" s="30" t="n">
        <v>305000</v>
      </c>
      <c r="C671" s="30" t="n">
        <v>317000</v>
      </c>
      <c r="D671" s="30" t="n">
        <v>303500</v>
      </c>
      <c r="E671" s="30" t="n">
        <v>317000</v>
      </c>
      <c r="F671" s="30" t="n">
        <v>317000</v>
      </c>
      <c r="G671" s="30" t="n">
        <v>790870</v>
      </c>
      <c r="H671" s="35" t="n">
        <v>0.01439999999999997</v>
      </c>
      <c r="I671" s="35" t="n">
        <v>-0.04947526236881561</v>
      </c>
      <c r="J671" s="30" t="n">
        <v>253635</v>
      </c>
      <c r="K671" s="30" t="n">
        <v>191585</v>
      </c>
      <c r="L671" s="30" t="n">
        <v>156164.1666666667</v>
      </c>
      <c r="M671" s="35" t="n">
        <v>1.604662201604669</v>
      </c>
      <c r="N671" s="35" t="n">
        <v>1.140637625080549</v>
      </c>
      <c r="O671" s="35" t="n">
        <v>0.6173469387755102</v>
      </c>
      <c r="P671" s="35" t="n">
        <v>1.613355317394889</v>
      </c>
      <c r="Q671" s="35" t="n">
        <v>2.828502415458937</v>
      </c>
      <c r="R671" s="35" t="n">
        <v>0.2498275080331973</v>
      </c>
      <c r="S671" s="35" t="n">
        <v>0.6546180546493723</v>
      </c>
      <c r="T671" s="35" t="n">
        <v>1.029915100028282</v>
      </c>
      <c r="U671" s="30" t="n">
        <v>333500</v>
      </c>
      <c r="V671" s="30" t="n">
        <v>60200</v>
      </c>
      <c r="W671" s="35" t="n">
        <v>-0.04947526236881561</v>
      </c>
      <c r="X671" s="35" t="n">
        <v>4.26578073089701</v>
      </c>
      <c r="Y671" s="30" t="n">
        <v>95312200</v>
      </c>
      <c r="Z671" s="30" t="n">
        <v>30213967400000</v>
      </c>
      <c r="AA671" s="30" t="n">
        <v>250705790000</v>
      </c>
      <c r="AB671" s="30" t="n">
        <v>604803709405</v>
      </c>
      <c r="AC671" s="35" t="n">
        <v>0.008297678576299782</v>
      </c>
      <c r="AD671" s="24" t="inlineStr">
        <is>
          <t>yfinance_download</t>
        </is>
      </c>
      <c r="AE671" s="24" t="inlineStr">
        <is>
          <t>042700.KS</t>
        </is>
      </c>
    </row>
    <row r="672" ht="24" customHeight="1">
      <c r="A672" s="29" t="inlineStr">
        <is>
          <t>2026-03-13</t>
        </is>
      </c>
      <c r="B672" s="31" t="n">
        <v>303000</v>
      </c>
      <c r="C672" s="31" t="n">
        <v>313000</v>
      </c>
      <c r="D672" s="31" t="n">
        <v>299000</v>
      </c>
      <c r="E672" s="31" t="n">
        <v>305500</v>
      </c>
      <c r="F672" s="31" t="n">
        <v>305500</v>
      </c>
      <c r="G672" s="31" t="n">
        <v>830276</v>
      </c>
      <c r="H672" s="36" t="n">
        <v>-0.0362776025236593</v>
      </c>
      <c r="I672" s="36" t="n">
        <v>-0.08395802098950522</v>
      </c>
      <c r="J672" s="31" t="n">
        <v>259020</v>
      </c>
      <c r="K672" s="31" t="n">
        <v>194658.3333333333</v>
      </c>
      <c r="L672" s="31" t="n">
        <v>158010</v>
      </c>
      <c r="M672" s="36" t="n">
        <v>1.620075531797314</v>
      </c>
      <c r="N672" s="36" t="n">
        <v>1.145449353599159</v>
      </c>
      <c r="O672" s="36" t="n">
        <v>0.544489383215369</v>
      </c>
      <c r="P672" s="36" t="n">
        <v>1.522708505367465</v>
      </c>
      <c r="Q672" s="36" t="n">
        <v>2.636904761904762</v>
      </c>
      <c r="R672" s="36" t="n">
        <v>0.1794456026561655</v>
      </c>
      <c r="S672" s="36" t="n">
        <v>0.5694164989939636</v>
      </c>
      <c r="T672" s="36" t="n">
        <v>0.9334219353205493</v>
      </c>
      <c r="U672" s="31" t="n">
        <v>333500</v>
      </c>
      <c r="V672" s="31" t="n">
        <v>60200</v>
      </c>
      <c r="W672" s="36" t="n">
        <v>-0.08395802098950522</v>
      </c>
      <c r="X672" s="36" t="n">
        <v>4.074750830564784</v>
      </c>
      <c r="Y672" s="31" t="n">
        <v>95312200</v>
      </c>
      <c r="Z672" s="31" t="n">
        <v>29117877100000</v>
      </c>
      <c r="AA672" s="31" t="n">
        <v>253649318000</v>
      </c>
      <c r="AB672" s="31" t="n">
        <v>603977770455</v>
      </c>
      <c r="AC672" s="36" t="n">
        <v>0.008711119877623222</v>
      </c>
      <c r="AD672" s="29" t="inlineStr">
        <is>
          <t>yfinance_download</t>
        </is>
      </c>
      <c r="AE672" s="29" t="inlineStr">
        <is>
          <t>042700.KS</t>
        </is>
      </c>
    </row>
    <row r="673" ht="24" customHeight="1">
      <c r="A673" s="24" t="inlineStr">
        <is>
          <t>2026-03-16</t>
        </is>
      </c>
      <c r="B673" s="30" t="n">
        <v>304500</v>
      </c>
      <c r="C673" s="30" t="n">
        <v>305000</v>
      </c>
      <c r="D673" s="30" t="n">
        <v>290000</v>
      </c>
      <c r="E673" s="30" t="n">
        <v>300000</v>
      </c>
      <c r="F673" s="30" t="n">
        <v>300000</v>
      </c>
      <c r="G673" s="30" t="n">
        <v>879249</v>
      </c>
      <c r="H673" s="35" t="n">
        <v>-0.01800327332242224</v>
      </c>
      <c r="I673" s="35" t="n">
        <v>-0.1004497751124438</v>
      </c>
      <c r="J673" s="30" t="n">
        <v>264275</v>
      </c>
      <c r="K673" s="30" t="n">
        <v>197641.6666666667</v>
      </c>
      <c r="L673" s="30" t="n">
        <v>159782.5</v>
      </c>
      <c r="M673" s="35" t="n">
        <v>1.621245625689667</v>
      </c>
      <c r="N673" s="35" t="n">
        <v>1.147190595073834</v>
      </c>
      <c r="O673" s="35" t="n">
        <v>0.5392508978963571</v>
      </c>
      <c r="P673" s="35" t="n">
        <v>1.479338842975207</v>
      </c>
      <c r="Q673" s="35" t="n">
        <v>2.436426116838488</v>
      </c>
      <c r="R673" s="35" t="n">
        <v>0.1351811559928104</v>
      </c>
      <c r="S673" s="35" t="n">
        <v>0.5178985537799892</v>
      </c>
      <c r="T673" s="35" t="n">
        <v>0.8775522976546242</v>
      </c>
      <c r="U673" s="30" t="n">
        <v>333500</v>
      </c>
      <c r="V673" s="30" t="n">
        <v>60200</v>
      </c>
      <c r="W673" s="35" t="n">
        <v>-0.1004497751124438</v>
      </c>
      <c r="X673" s="35" t="n">
        <v>3.983388704318937</v>
      </c>
      <c r="Y673" s="30" t="n">
        <v>95312200</v>
      </c>
      <c r="Z673" s="30" t="n">
        <v>28593660000000</v>
      </c>
      <c r="AA673" s="30" t="n">
        <v>263774700000</v>
      </c>
      <c r="AB673" s="30" t="n">
        <v>609126792750</v>
      </c>
      <c r="AC673" s="35" t="n">
        <v>0.009224936576849554</v>
      </c>
      <c r="AD673" s="24" t="inlineStr">
        <is>
          <t>yfinance_download</t>
        </is>
      </c>
      <c r="AE673" s="24" t="inlineStr">
        <is>
          <t>042700.KS</t>
        </is>
      </c>
    </row>
    <row r="674" ht="24" customHeight="1">
      <c r="A674" s="29" t="inlineStr">
        <is>
          <t>2026-03-17</t>
        </is>
      </c>
      <c r="B674" s="31" t="n">
        <v>317500</v>
      </c>
      <c r="C674" s="31" t="n">
        <v>318000</v>
      </c>
      <c r="D674" s="31" t="n">
        <v>300000</v>
      </c>
      <c r="E674" s="31" t="n">
        <v>301000</v>
      </c>
      <c r="F674" s="31" t="n">
        <v>301000</v>
      </c>
      <c r="G674" s="31" t="n">
        <v>656744</v>
      </c>
      <c r="H674" s="36" t="n">
        <v>0.00333333333333341</v>
      </c>
      <c r="I674" s="36" t="n">
        <v>-0.09745127436281864</v>
      </c>
      <c r="J674" s="31" t="n">
        <v>269800</v>
      </c>
      <c r="K674" s="31" t="n">
        <v>200655</v>
      </c>
      <c r="L674" s="31" t="n">
        <v>161540.8333333333</v>
      </c>
      <c r="M674" s="36" t="n">
        <v>1.613461891306155</v>
      </c>
      <c r="N674" s="36" t="n">
        <v>1.146473173706839</v>
      </c>
      <c r="O674" s="36" t="n">
        <v>0.5800524934383202</v>
      </c>
      <c r="P674" s="36" t="n">
        <v>1.504159733777038</v>
      </c>
      <c r="Q674" s="36" t="n">
        <v>2.344444444444445</v>
      </c>
      <c r="R674" s="36" t="n">
        <v>0.1156412157153448</v>
      </c>
      <c r="S674" s="36" t="n">
        <v>0.5000872143729287</v>
      </c>
      <c r="T674" s="36" t="n">
        <v>0.8633059752694106</v>
      </c>
      <c r="U674" s="31" t="n">
        <v>333500</v>
      </c>
      <c r="V674" s="31" t="n">
        <v>60200</v>
      </c>
      <c r="W674" s="36" t="n">
        <v>-0.09745127436281864</v>
      </c>
      <c r="X674" s="36" t="n">
        <v>4</v>
      </c>
      <c r="Y674" s="31" t="n">
        <v>95312200</v>
      </c>
      <c r="Z674" s="31" t="n">
        <v>28688972200000</v>
      </c>
      <c r="AA674" s="31" t="n">
        <v>197679944000</v>
      </c>
      <c r="AB674" s="31" t="n">
        <v>612621086575</v>
      </c>
      <c r="AC674" s="36" t="n">
        <v>0.006890450540434488</v>
      </c>
      <c r="AD674" s="29" t="inlineStr">
        <is>
          <t>yfinance_download</t>
        </is>
      </c>
      <c r="AE674" s="29" t="inlineStr">
        <is>
          <t>042700.KS</t>
        </is>
      </c>
    </row>
    <row r="675" ht="24" customHeight="1">
      <c r="A675" s="24" t="inlineStr">
        <is>
          <t>2026-03-18</t>
        </is>
      </c>
      <c r="B675" s="30" t="n">
        <v>308500</v>
      </c>
      <c r="C675" s="30" t="n">
        <v>312500</v>
      </c>
      <c r="D675" s="30" t="n">
        <v>302000</v>
      </c>
      <c r="E675" s="30" t="n">
        <v>311000</v>
      </c>
      <c r="F675" s="30" t="n">
        <v>311000</v>
      </c>
      <c r="G675" s="30" t="n">
        <v>920505</v>
      </c>
      <c r="H675" s="35" t="n">
        <v>0.03322259136212624</v>
      </c>
      <c r="I675" s="35" t="n">
        <v>-0.06746626686656676</v>
      </c>
      <c r="J675" s="30" t="n">
        <v>274875</v>
      </c>
      <c r="K675" s="30" t="n">
        <v>203863.3333333333</v>
      </c>
      <c r="L675" s="30" t="n">
        <v>163375</v>
      </c>
      <c r="M675" s="35" t="n">
        <v>1.591173756734528</v>
      </c>
      <c r="N675" s="35" t="n">
        <v>1.14494249825669</v>
      </c>
      <c r="O675" s="35" t="n">
        <v>0.4844868735083532</v>
      </c>
      <c r="P675" s="35" t="n">
        <v>1.624472573839662</v>
      </c>
      <c r="Q675" s="35" t="n">
        <v>2.421342134213421</v>
      </c>
      <c r="R675" s="35" t="n">
        <v>0.1314233742610278</v>
      </c>
      <c r="S675" s="35" t="n">
        <v>0.52553181052666</v>
      </c>
      <c r="T675" s="35" t="n">
        <v>0.9035960214231062</v>
      </c>
      <c r="U675" s="30" t="n">
        <v>333500</v>
      </c>
      <c r="V675" s="30" t="n">
        <v>60200</v>
      </c>
      <c r="W675" s="35" t="n">
        <v>-0.06746626686656676</v>
      </c>
      <c r="X675" s="35" t="n">
        <v>4.166112956810632</v>
      </c>
      <c r="Y675" s="30" t="n">
        <v>95312200</v>
      </c>
      <c r="Z675" s="30" t="n">
        <v>29642094200000</v>
      </c>
      <c r="AA675" s="30" t="n">
        <v>286277055000</v>
      </c>
      <c r="AB675" s="30" t="n">
        <v>566278278625</v>
      </c>
      <c r="AC675" s="35" t="n">
        <v>0.009657787775332015</v>
      </c>
      <c r="AD675" s="24" t="inlineStr">
        <is>
          <t>yfinance_download</t>
        </is>
      </c>
      <c r="AE675" s="24" t="inlineStr">
        <is>
          <t>042700.KS</t>
        </is>
      </c>
    </row>
    <row r="676" ht="24" customHeight="1">
      <c r="A676" s="29" t="inlineStr">
        <is>
          <t>2026-03-19</t>
        </is>
      </c>
      <c r="B676" s="31" t="n">
        <v>301000</v>
      </c>
      <c r="C676" s="31" t="n">
        <v>313500</v>
      </c>
      <c r="D676" s="31" t="n">
        <v>300000</v>
      </c>
      <c r="E676" s="31" t="n">
        <v>307000</v>
      </c>
      <c r="F676" s="31" t="n">
        <v>307000</v>
      </c>
      <c r="G676" s="31" t="n">
        <v>788358</v>
      </c>
      <c r="H676" s="36" t="n">
        <v>-0.01286173633440513</v>
      </c>
      <c r="I676" s="36" t="n">
        <v>-0.07946026986506749</v>
      </c>
      <c r="J676" s="31" t="n">
        <v>280100</v>
      </c>
      <c r="K676" s="31" t="n">
        <v>207041.6666666667</v>
      </c>
      <c r="L676" s="31" t="n">
        <v>165174.1666666667</v>
      </c>
      <c r="M676" s="36" t="n">
        <v>1.582932117530298</v>
      </c>
      <c r="N676" s="36" t="n">
        <v>1.144211086014614</v>
      </c>
      <c r="O676" s="36" t="n">
        <v>0.5160493827160493</v>
      </c>
      <c r="P676" s="36" t="n">
        <v>1.639724849527085</v>
      </c>
      <c r="Q676" s="36" t="n">
        <v>2.369923161361142</v>
      </c>
      <c r="R676" s="36" t="n">
        <v>0.09603712959657273</v>
      </c>
      <c r="S676" s="36" t="n">
        <v>0.4827933185751661</v>
      </c>
      <c r="T676" s="36" t="n">
        <v>0.8586441584388198</v>
      </c>
      <c r="U676" s="31" t="n">
        <v>333500</v>
      </c>
      <c r="V676" s="31" t="n">
        <v>60200</v>
      </c>
      <c r="W676" s="36" t="n">
        <v>-0.07946026986506749</v>
      </c>
      <c r="X676" s="36" t="n">
        <v>4.099667774086379</v>
      </c>
      <c r="Y676" s="31" t="n">
        <v>95312200</v>
      </c>
      <c r="Z676" s="31" t="n">
        <v>29260845400000</v>
      </c>
      <c r="AA676" s="31" t="n">
        <v>242025906000</v>
      </c>
      <c r="AB676" s="31" t="n">
        <v>567303441550</v>
      </c>
      <c r="AC676" s="36" t="n">
        <v>0.008271323083508721</v>
      </c>
      <c r="AD676" s="29" t="inlineStr">
        <is>
          <t>yfinance_download</t>
        </is>
      </c>
      <c r="AE676" s="29" t="inlineStr">
        <is>
          <t>042700.KS</t>
        </is>
      </c>
    </row>
    <row r="677" ht="24" customHeight="1">
      <c r="A677" s="24" t="inlineStr">
        <is>
          <t>2026-03-20</t>
        </is>
      </c>
      <c r="B677" s="30" t="n">
        <v>310000</v>
      </c>
      <c r="C677" s="30" t="n">
        <v>318500</v>
      </c>
      <c r="D677" s="30" t="n">
        <v>307500</v>
      </c>
      <c r="E677" s="30" t="n">
        <v>309500</v>
      </c>
      <c r="F677" s="30" t="n">
        <v>309500</v>
      </c>
      <c r="G677" s="30" t="n">
        <v>680315</v>
      </c>
      <c r="H677" s="35" t="n">
        <v>0.008143322475570036</v>
      </c>
      <c r="I677" s="35" t="n">
        <v>-0.07196401799100449</v>
      </c>
      <c r="J677" s="30" t="n">
        <v>285500</v>
      </c>
      <c r="K677" s="30" t="n">
        <v>210201.6666666667</v>
      </c>
      <c r="L677" s="30" t="n">
        <v>166975.8333333333</v>
      </c>
      <c r="M677" s="35" t="n">
        <v>1.580289678366476</v>
      </c>
      <c r="N677" s="35" t="n">
        <v>1.144122446490521</v>
      </c>
      <c r="O677" s="35" t="n">
        <v>0.5359801488833746</v>
      </c>
      <c r="P677" s="35" t="n">
        <v>1.581317764804004</v>
      </c>
      <c r="Q677" s="35" t="n">
        <v>2.317256162915327</v>
      </c>
      <c r="R677" s="35" t="n">
        <v>0.08406304728546399</v>
      </c>
      <c r="S677" s="35" t="n">
        <v>0.4723955566479809</v>
      </c>
      <c r="T677" s="35" t="n">
        <v>0.853561643151953</v>
      </c>
      <c r="U677" s="30" t="n">
        <v>333500</v>
      </c>
      <c r="V677" s="30" t="n">
        <v>60200</v>
      </c>
      <c r="W677" s="35" t="n">
        <v>-0.07196401799100449</v>
      </c>
      <c r="X677" s="35" t="n">
        <v>4.141196013289036</v>
      </c>
      <c r="Y677" s="30" t="n">
        <v>95312200</v>
      </c>
      <c r="Z677" s="30" t="n">
        <v>29499125900000</v>
      </c>
      <c r="AA677" s="30" t="n">
        <v>210557492500</v>
      </c>
      <c r="AB677" s="30" t="n">
        <v>569599164650</v>
      </c>
      <c r="AC677" s="35" t="n">
        <v>0.007137753613913014</v>
      </c>
      <c r="AD677" s="24" t="inlineStr">
        <is>
          <t>yfinance_download</t>
        </is>
      </c>
      <c r="AE677" s="24" t="inlineStr">
        <is>
          <t>042700.KS</t>
        </is>
      </c>
    </row>
    <row r="678" ht="24" customHeight="1">
      <c r="A678" s="29" t="inlineStr">
        <is>
          <t>2026-03-23</t>
        </is>
      </c>
      <c r="B678" s="31" t="n">
        <v>301500</v>
      </c>
      <c r="C678" s="31" t="n">
        <v>313000</v>
      </c>
      <c r="D678" s="31" t="n">
        <v>296000</v>
      </c>
      <c r="E678" s="31" t="n">
        <v>297000</v>
      </c>
      <c r="F678" s="31" t="n">
        <v>297000</v>
      </c>
      <c r="G678" s="31" t="n">
        <v>788575</v>
      </c>
      <c r="H678" s="36" t="n">
        <v>-0.04038772213247177</v>
      </c>
      <c r="I678" s="36" t="n">
        <v>-0.1094452773613194</v>
      </c>
      <c r="J678" s="31" t="n">
        <v>290325</v>
      </c>
      <c r="K678" s="31" t="n">
        <v>213211.6666666667</v>
      </c>
      <c r="L678" s="31" t="n">
        <v>168692.5</v>
      </c>
      <c r="M678" s="36" t="n">
        <v>1.594440142863266</v>
      </c>
      <c r="N678" s="36" t="n">
        <v>1.146336239615558</v>
      </c>
      <c r="O678" s="36" t="n">
        <v>0.4812967581047383</v>
      </c>
      <c r="P678" s="36" t="n">
        <v>1.551546391752577</v>
      </c>
      <c r="Q678" s="36" t="n">
        <v>2.263736263736264</v>
      </c>
      <c r="R678" s="36" t="n">
        <v>0.02299147507104116</v>
      </c>
      <c r="S678" s="36" t="n">
        <v>0.3929819350098103</v>
      </c>
      <c r="T678" s="36" t="n">
        <v>0.7605999081168398</v>
      </c>
      <c r="U678" s="31" t="n">
        <v>333500</v>
      </c>
      <c r="V678" s="31" t="n">
        <v>60200</v>
      </c>
      <c r="W678" s="36" t="n">
        <v>-0.1094452773613194</v>
      </c>
      <c r="X678" s="36" t="n">
        <v>3.933554817275748</v>
      </c>
      <c r="Y678" s="31" t="n">
        <v>95312200</v>
      </c>
      <c r="Z678" s="31" t="n">
        <v>28307723400000</v>
      </c>
      <c r="AA678" s="31" t="n">
        <v>234206775000</v>
      </c>
      <c r="AB678" s="31" t="n">
        <v>572927330225</v>
      </c>
      <c r="AC678" s="36" t="n">
        <v>0.008273599811986294</v>
      </c>
      <c r="AD678" s="29" t="inlineStr">
        <is>
          <t>yfinance_download</t>
        </is>
      </c>
      <c r="AE678" s="29" t="inlineStr">
        <is>
          <t>042700.KS</t>
        </is>
      </c>
    </row>
    <row r="679" ht="24" customHeight="1">
      <c r="A679" s="24" t="inlineStr">
        <is>
          <t>2026-03-24</t>
        </is>
      </c>
      <c r="B679" s="30" t="n">
        <v>309500</v>
      </c>
      <c r="C679" s="30" t="n">
        <v>309500</v>
      </c>
      <c r="D679" s="30" t="n">
        <v>286500</v>
      </c>
      <c r="E679" s="30" t="n">
        <v>296500</v>
      </c>
      <c r="F679" s="30" t="n">
        <v>296500</v>
      </c>
      <c r="G679" s="30" t="n">
        <v>853963</v>
      </c>
      <c r="H679" s="35" t="n">
        <v>-0.001683501683501731</v>
      </c>
      <c r="I679" s="35" t="n">
        <v>-0.1109445277361319</v>
      </c>
      <c r="J679" s="30" t="n">
        <v>294950</v>
      </c>
      <c r="K679" s="30" t="n">
        <v>216213.3333333333</v>
      </c>
      <c r="L679" s="30" t="n">
        <v>170378.3333333333</v>
      </c>
      <c r="M679" s="35" t="n">
        <v>1.596966626670015</v>
      </c>
      <c r="N679" s="35" t="n">
        <v>1.146455156105043</v>
      </c>
      <c r="O679" s="35" t="n">
        <v>0.4534313725490196</v>
      </c>
      <c r="P679" s="35" t="n">
        <v>1.547250859106529</v>
      </c>
      <c r="Q679" s="35" t="n">
        <v>2.14755838641189</v>
      </c>
      <c r="R679" s="35" t="n">
        <v>0.005255127987794594</v>
      </c>
      <c r="S679" s="35" t="n">
        <v>0.3713307844104587</v>
      </c>
      <c r="T679" s="35" t="n">
        <v>0.7402447494301896</v>
      </c>
      <c r="U679" s="30" t="n">
        <v>333500</v>
      </c>
      <c r="V679" s="30" t="n">
        <v>60200</v>
      </c>
      <c r="W679" s="35" t="n">
        <v>-0.1109445277361319</v>
      </c>
      <c r="X679" s="35" t="n">
        <v>3.925249169435216</v>
      </c>
      <c r="Y679" s="30" t="n">
        <v>95312200</v>
      </c>
      <c r="Z679" s="30" t="n">
        <v>28260067300000</v>
      </c>
      <c r="AA679" s="30" t="n">
        <v>253200029500</v>
      </c>
      <c r="AB679" s="30" t="n">
        <v>576001167700</v>
      </c>
      <c r="AC679" s="35" t="n">
        <v>0.0089596400041128</v>
      </c>
      <c r="AD679" s="24" t="inlineStr">
        <is>
          <t>yfinance_download</t>
        </is>
      </c>
      <c r="AE679" s="24" t="inlineStr">
        <is>
          <t>042700.KS</t>
        </is>
      </c>
    </row>
    <row r="680" ht="24" customHeight="1">
      <c r="A680" s="29" t="inlineStr">
        <is>
          <t>2026-03-25</t>
        </is>
      </c>
      <c r="B680" s="31" t="n">
        <v>300500</v>
      </c>
      <c r="C680" s="31" t="n">
        <v>304000</v>
      </c>
      <c r="D680" s="31" t="n">
        <v>296500</v>
      </c>
      <c r="E680" s="31" t="n">
        <v>300000</v>
      </c>
      <c r="F680" s="31" t="n">
        <v>300000</v>
      </c>
      <c r="G680" s="31" t="n">
        <v>675633</v>
      </c>
      <c r="H680" s="36" t="n">
        <v>0.01180438448566612</v>
      </c>
      <c r="I680" s="36" t="n">
        <v>-0.1004497751124438</v>
      </c>
      <c r="J680" s="31" t="n">
        <v>299450</v>
      </c>
      <c r="K680" s="31" t="n">
        <v>219096.6666666667</v>
      </c>
      <c r="L680" s="31" t="n">
        <v>172101.6666666667</v>
      </c>
      <c r="M680" s="36" t="n">
        <v>1.597294281152008</v>
      </c>
      <c r="N680" s="36" t="n">
        <v>1.13637323907906</v>
      </c>
      <c r="O680" s="36" t="n">
        <v>0.4285714285714286</v>
      </c>
      <c r="P680" s="36" t="n">
        <v>1.362204724409449</v>
      </c>
      <c r="Q680" s="36" t="n">
        <v>2.218884120171674</v>
      </c>
      <c r="R680" s="36" t="n">
        <v>0.001836700617799281</v>
      </c>
      <c r="S680" s="36" t="n">
        <v>0.3692586225258259</v>
      </c>
      <c r="T680" s="36" t="n">
        <v>0.7431556928559671</v>
      </c>
      <c r="U680" s="31" t="n">
        <v>333500</v>
      </c>
      <c r="V680" s="31" t="n">
        <v>60200</v>
      </c>
      <c r="W680" s="36" t="n">
        <v>-0.1004497751124438</v>
      </c>
      <c r="X680" s="36" t="n">
        <v>3.983388704318937</v>
      </c>
      <c r="Y680" s="31" t="n">
        <v>95312200</v>
      </c>
      <c r="Z680" s="31" t="n">
        <v>28593660000000</v>
      </c>
      <c r="AA680" s="31" t="n">
        <v>202689900000</v>
      </c>
      <c r="AB680" s="31" t="n">
        <v>568854132700</v>
      </c>
      <c r="AC680" s="36" t="n">
        <v>0.007088630836346239</v>
      </c>
      <c r="AD680" s="29" t="inlineStr">
        <is>
          <t>yfinance_download</t>
        </is>
      </c>
      <c r="AE680" s="29" t="inlineStr">
        <is>
          <t>042700.KS</t>
        </is>
      </c>
    </row>
    <row r="681" ht="24" customHeight="1">
      <c r="A681" s="24" t="inlineStr">
        <is>
          <t>2026-03-26</t>
        </is>
      </c>
      <c r="B681" s="30" t="n">
        <v>296000</v>
      </c>
      <c r="C681" s="30" t="n">
        <v>298500</v>
      </c>
      <c r="D681" s="30" t="n">
        <v>277000</v>
      </c>
      <c r="E681" s="30" t="n">
        <v>278000</v>
      </c>
      <c r="F681" s="30" t="n">
        <v>278000</v>
      </c>
      <c r="G681" s="30" t="n">
        <v>650141</v>
      </c>
      <c r="H681" s="35" t="n">
        <v>-0.07333333333333336</v>
      </c>
      <c r="I681" s="35" t="n">
        <v>-0.1664167916041979</v>
      </c>
      <c r="J681" s="30" t="n">
        <v>302625</v>
      </c>
      <c r="K681" s="30" t="n">
        <v>221613.3333333333</v>
      </c>
      <c r="L681" s="30" t="n">
        <v>173618.3333333333</v>
      </c>
      <c r="M681" s="35" t="n">
        <v>1.633082544077448</v>
      </c>
      <c r="N681" s="35" t="n">
        <v>1.150844836107164</v>
      </c>
      <c r="O681" s="35" t="n">
        <v>0.2960372960372961</v>
      </c>
      <c r="P681" s="35" t="n">
        <v>1.188976377952756</v>
      </c>
      <c r="Q681" s="35" t="n">
        <v>1.895833333333333</v>
      </c>
      <c r="R681" s="35" t="n">
        <v>-0.0813713341594382</v>
      </c>
      <c r="S681" s="35" t="n">
        <v>0.2544371578124058</v>
      </c>
      <c r="T681" s="35" t="n">
        <v>0.6012133895229959</v>
      </c>
      <c r="U681" s="30" t="n">
        <v>333500</v>
      </c>
      <c r="V681" s="30" t="n">
        <v>60200</v>
      </c>
      <c r="W681" s="35" t="n">
        <v>-0.1664167916041979</v>
      </c>
      <c r="X681" s="35" t="n">
        <v>3.617940199335548</v>
      </c>
      <c r="Y681" s="30" t="n">
        <v>95312200</v>
      </c>
      <c r="Z681" s="30" t="n">
        <v>26496791600000</v>
      </c>
      <c r="AA681" s="30" t="n">
        <v>180739198000</v>
      </c>
      <c r="AB681" s="30" t="n">
        <v>566469203550</v>
      </c>
      <c r="AC681" s="35" t="n">
        <v>0.006821172945331238</v>
      </c>
      <c r="AD681" s="24" t="inlineStr">
        <is>
          <t>yfinance_download</t>
        </is>
      </c>
      <c r="AE681" s="24" t="inlineStr">
        <is>
          <t>042700.KS</t>
        </is>
      </c>
    </row>
    <row r="682" ht="24" customHeight="1">
      <c r="A682" s="29" t="inlineStr">
        <is>
          <t>2026-03-27</t>
        </is>
      </c>
      <c r="B682" s="31" t="n">
        <v>269000</v>
      </c>
      <c r="C682" s="31" t="n">
        <v>281000</v>
      </c>
      <c r="D682" s="31" t="n">
        <v>257000</v>
      </c>
      <c r="E682" s="31" t="n">
        <v>278000</v>
      </c>
      <c r="F682" s="31" t="n">
        <v>278000</v>
      </c>
      <c r="G682" s="31" t="n">
        <v>773071</v>
      </c>
      <c r="H682" s="36" t="n">
        <v>0</v>
      </c>
      <c r="I682" s="36" t="n">
        <v>-0.1664167916041979</v>
      </c>
      <c r="J682" s="31" t="n">
        <v>302750</v>
      </c>
      <c r="K682" s="31" t="n">
        <v>224170</v>
      </c>
      <c r="L682" s="31" t="n">
        <v>175133.3333333333</v>
      </c>
      <c r="M682" s="36" t="n">
        <v>1.293828549889074</v>
      </c>
      <c r="N682" s="36" t="n">
        <v>1.149078427834189</v>
      </c>
      <c r="O682" s="36" t="n">
        <v>0.009074410163339319</v>
      </c>
      <c r="P682" s="36" t="n">
        <v>1.231139646869984</v>
      </c>
      <c r="Q682" s="36" t="n">
        <v>1.88981288981289</v>
      </c>
      <c r="R682" s="36" t="n">
        <v>-0.08175061932287364</v>
      </c>
      <c r="S682" s="36" t="n">
        <v>0.2401302582861222</v>
      </c>
      <c r="T682" s="36" t="n">
        <v>0.587362009897221</v>
      </c>
      <c r="U682" s="31" t="n">
        <v>333500</v>
      </c>
      <c r="V682" s="31" t="n">
        <v>60200</v>
      </c>
      <c r="W682" s="36" t="n">
        <v>-0.1664167916041979</v>
      </c>
      <c r="X682" s="36" t="n">
        <v>3.617940199335548</v>
      </c>
      <c r="Y682" s="31" t="n">
        <v>95312200</v>
      </c>
      <c r="Z682" s="31" t="n">
        <v>26496791600000</v>
      </c>
      <c r="AA682" s="31" t="n">
        <v>214913738000</v>
      </c>
      <c r="AB682" s="31" t="n">
        <v>494534654325</v>
      </c>
      <c r="AC682" s="36" t="n">
        <v>0.008110934381957398</v>
      </c>
      <c r="AD682" s="29" t="inlineStr">
        <is>
          <t>yfinance_download</t>
        </is>
      </c>
      <c r="AE682" s="29" t="inlineStr">
        <is>
          <t>042700.KS</t>
        </is>
      </c>
    </row>
    <row r="683" ht="24" customHeight="1">
      <c r="A683" s="24" t="inlineStr">
        <is>
          <t>2026-03-30</t>
        </is>
      </c>
      <c r="B683" s="30" t="n">
        <v>259500</v>
      </c>
      <c r="C683" s="30" t="n">
        <v>264500</v>
      </c>
      <c r="D683" s="30" t="n">
        <v>253500</v>
      </c>
      <c r="E683" s="30" t="n">
        <v>260500</v>
      </c>
      <c r="F683" s="30" t="n">
        <v>260500</v>
      </c>
      <c r="G683" s="30" t="n">
        <v>596465</v>
      </c>
      <c r="H683" s="35" t="n">
        <v>-0.06294964028776984</v>
      </c>
      <c r="I683" s="35" t="n">
        <v>-0.2188905547226386</v>
      </c>
      <c r="J683" s="30" t="n">
        <v>299600</v>
      </c>
      <c r="K683" s="30" t="n">
        <v>226301.6666666667</v>
      </c>
      <c r="L683" s="30" t="n">
        <v>176520</v>
      </c>
      <c r="M683" s="35" t="n">
        <v>1.14383058337451</v>
      </c>
      <c r="N683" s="35" t="n">
        <v>1.155764527804561</v>
      </c>
      <c r="O683" s="35" t="n">
        <v>-0.1947449768160742</v>
      </c>
      <c r="P683" s="35" t="n">
        <v>0.9645550527903468</v>
      </c>
      <c r="Q683" s="35" t="n">
        <v>1.768331562167906</v>
      </c>
      <c r="R683" s="35" t="n">
        <v>-0.1305073431241656</v>
      </c>
      <c r="S683" s="35" t="n">
        <v>0.1511183449819931</v>
      </c>
      <c r="T683" s="35" t="n">
        <v>0.475753455699071</v>
      </c>
      <c r="U683" s="30" t="n">
        <v>333500</v>
      </c>
      <c r="V683" s="30" t="n">
        <v>60200</v>
      </c>
      <c r="W683" s="35" t="n">
        <v>-0.2188905547226386</v>
      </c>
      <c r="X683" s="35" t="n">
        <v>3.327242524916944</v>
      </c>
      <c r="Y683" s="30" t="n">
        <v>95312200</v>
      </c>
      <c r="Z683" s="30" t="n">
        <v>24828828100000</v>
      </c>
      <c r="AA683" s="30" t="n">
        <v>155379132500</v>
      </c>
      <c r="AB683" s="30" t="n">
        <v>393904567775</v>
      </c>
      <c r="AC683" s="35" t="n">
        <v>0.006258013139975785</v>
      </c>
      <c r="AD683" s="24" t="inlineStr">
        <is>
          <t>yfinance_download</t>
        </is>
      </c>
      <c r="AE683" s="24" t="inlineStr">
        <is>
          <t>042700.KS</t>
        </is>
      </c>
    </row>
    <row r="684" ht="24" customHeight="1">
      <c r="A684" s="29" t="inlineStr">
        <is>
          <t>2026-03-31</t>
        </is>
      </c>
      <c r="B684" s="31" t="n">
        <v>251000</v>
      </c>
      <c r="C684" s="31" t="n">
        <v>265000</v>
      </c>
      <c r="D684" s="31" t="n">
        <v>242500</v>
      </c>
      <c r="E684" s="31" t="n">
        <v>251000</v>
      </c>
      <c r="F684" s="31" t="n">
        <v>251000</v>
      </c>
      <c r="G684" s="31" t="n">
        <v>886467</v>
      </c>
      <c r="H684" s="36" t="n">
        <v>-0.03646833013435702</v>
      </c>
      <c r="I684" s="36" t="n">
        <v>-0.2473763118440779</v>
      </c>
      <c r="J684" s="31" t="n">
        <v>298050</v>
      </c>
      <c r="K684" s="31" t="n">
        <v>228311.6666666667</v>
      </c>
      <c r="L684" s="31" t="n">
        <v>177863.3333333333</v>
      </c>
      <c r="M684" s="36" t="n">
        <v>1.059529755621663</v>
      </c>
      <c r="N684" s="36" t="n">
        <v>1.158707850292417</v>
      </c>
      <c r="O684" s="36" t="n">
        <v>-0.1099290780141844</v>
      </c>
      <c r="P684" s="36" t="n">
        <v>0.9248466257668713</v>
      </c>
      <c r="Q684" s="36" t="n">
        <v>1.795100222717149</v>
      </c>
      <c r="R684" s="36" t="n">
        <v>-0.1578594195604764</v>
      </c>
      <c r="S684" s="36" t="n">
        <v>0.09937439319059482</v>
      </c>
      <c r="T684" s="36" t="n">
        <v>0.4111958619914164</v>
      </c>
      <c r="U684" s="31" t="n">
        <v>333500</v>
      </c>
      <c r="V684" s="31" t="n">
        <v>60200</v>
      </c>
      <c r="W684" s="36" t="n">
        <v>-0.2473763118440779</v>
      </c>
      <c r="X684" s="36" t="n">
        <v>3.169435215946844</v>
      </c>
      <c r="Y684" s="31" t="n">
        <v>95312200</v>
      </c>
      <c r="Z684" s="31" t="n">
        <v>23923362200000</v>
      </c>
      <c r="AA684" s="31" t="n">
        <v>222503217000</v>
      </c>
      <c r="AB684" s="31" t="n">
        <v>372604987925</v>
      </c>
      <c r="AC684" s="36" t="n">
        <v>0.009300666651278639</v>
      </c>
      <c r="AD684" s="29" t="inlineStr">
        <is>
          <t>yfinance_download</t>
        </is>
      </c>
      <c r="AE684" s="29" t="inlineStr">
        <is>
          <t>042700.KS</t>
        </is>
      </c>
    </row>
    <row r="685" ht="24" customHeight="1">
      <c r="A685" s="24" t="inlineStr">
        <is>
          <t>2026-04-01</t>
        </is>
      </c>
      <c r="B685" s="30" t="n">
        <v>265500</v>
      </c>
      <c r="C685" s="30" t="n">
        <v>275000</v>
      </c>
      <c r="D685" s="30" t="n">
        <v>260000</v>
      </c>
      <c r="E685" s="30" t="n">
        <v>273500</v>
      </c>
      <c r="F685" s="30" t="n">
        <v>273500</v>
      </c>
      <c r="G685" s="30" t="n">
        <v>815377</v>
      </c>
      <c r="H685" s="35" t="n">
        <v>0.08964143426294813</v>
      </c>
      <c r="I685" s="35" t="n">
        <v>-0.1799100449775113</v>
      </c>
      <c r="J685" s="30" t="n">
        <v>298775</v>
      </c>
      <c r="K685" s="30" t="n">
        <v>230746.6666666667</v>
      </c>
      <c r="L685" s="30" t="n">
        <v>179380</v>
      </c>
      <c r="M685" s="35" t="n">
        <v>1.067168303183717</v>
      </c>
      <c r="N685" s="35" t="n">
        <v>1.166551936904498</v>
      </c>
      <c r="O685" s="35" t="n">
        <v>0.05598455598455598</v>
      </c>
      <c r="P685" s="35" t="n">
        <v>1.146781789638932</v>
      </c>
      <c r="Q685" s="35" t="n">
        <v>1.989071038251366</v>
      </c>
      <c r="R685" s="35" t="n">
        <v>-0.0845954313446573</v>
      </c>
      <c r="S685" s="35" t="n">
        <v>0.1852825609615163</v>
      </c>
      <c r="T685" s="35" t="n">
        <v>0.5246961757163564</v>
      </c>
      <c r="U685" s="30" t="n">
        <v>333500</v>
      </c>
      <c r="V685" s="30" t="n">
        <v>60200</v>
      </c>
      <c r="W685" s="35" t="n">
        <v>-0.1799100449775113</v>
      </c>
      <c r="X685" s="35" t="n">
        <v>3.543189368770764</v>
      </c>
      <c r="Y685" s="30" t="n">
        <v>95312200</v>
      </c>
      <c r="Z685" s="30" t="n">
        <v>26067886700000</v>
      </c>
      <c r="AA685" s="30" t="n">
        <v>223005609500</v>
      </c>
      <c r="AB685" s="30" t="n">
        <v>321642004950</v>
      </c>
      <c r="AC685" s="35" t="n">
        <v>0.008554802008557141</v>
      </c>
      <c r="AD685" s="24" t="inlineStr">
        <is>
          <t>yfinance_download</t>
        </is>
      </c>
      <c r="AE685" s="24" t="inlineStr">
        <is>
          <t>042700.KS</t>
        </is>
      </c>
    </row>
    <row r="686" ht="24" customHeight="1">
      <c r="A686" s="29" t="inlineStr">
        <is>
          <t>2026-04-02</t>
        </is>
      </c>
      <c r="B686" s="31" t="n">
        <v>280500</v>
      </c>
      <c r="C686" s="31" t="n">
        <v>282500</v>
      </c>
      <c r="D686" s="31" t="n">
        <v>251500</v>
      </c>
      <c r="E686" s="31" t="n">
        <v>256000</v>
      </c>
      <c r="F686" s="31" t="n">
        <v>256000</v>
      </c>
      <c r="G686" s="31" t="n">
        <v>850313</v>
      </c>
      <c r="H686" s="36" t="n">
        <v>-0.06398537477148081</v>
      </c>
      <c r="I686" s="36" t="n">
        <v>-0.232383808095952</v>
      </c>
      <c r="J686" s="31" t="n">
        <v>295825</v>
      </c>
      <c r="K686" s="31" t="n">
        <v>232605</v>
      </c>
      <c r="L686" s="31" t="n">
        <v>180709.1666666667</v>
      </c>
      <c r="M686" s="36" t="n">
        <v>0.7458516029280403</v>
      </c>
      <c r="N686" s="36" t="n">
        <v>1.150866331866199</v>
      </c>
      <c r="O686" s="36" t="n">
        <v>-0.1873015873015873</v>
      </c>
      <c r="P686" s="36" t="n">
        <v>0.7716262975778547</v>
      </c>
      <c r="Q686" s="36" t="n">
        <v>1.652849740932643</v>
      </c>
      <c r="R686" s="36" t="n">
        <v>-0.1346235105214232</v>
      </c>
      <c r="S686" s="36" t="n">
        <v>0.1005782334859526</v>
      </c>
      <c r="T686" s="36" t="n">
        <v>0.4166409193409299</v>
      </c>
      <c r="U686" s="31" t="n">
        <v>333500</v>
      </c>
      <c r="V686" s="31" t="n">
        <v>60200</v>
      </c>
      <c r="W686" s="36" t="n">
        <v>-0.232383808095952</v>
      </c>
      <c r="X686" s="36" t="n">
        <v>3.25249169435216</v>
      </c>
      <c r="Y686" s="31" t="n">
        <v>95312200</v>
      </c>
      <c r="Z686" s="31" t="n">
        <v>24399923200000</v>
      </c>
      <c r="AA686" s="31" t="n">
        <v>217680128000</v>
      </c>
      <c r="AB686" s="31" t="n">
        <v>283860795100</v>
      </c>
      <c r="AC686" s="36" t="n">
        <v>0.008921344801609868</v>
      </c>
      <c r="AD686" s="29" t="inlineStr">
        <is>
          <t>yfinance_download</t>
        </is>
      </c>
      <c r="AE686" s="29" t="inlineStr">
        <is>
          <t>042700.KS</t>
        </is>
      </c>
    </row>
    <row r="687" ht="24" customHeight="1">
      <c r="A687" s="24" t="inlineStr">
        <is>
          <t>2026-04-03</t>
        </is>
      </c>
      <c r="B687" s="30" t="n">
        <v>264000</v>
      </c>
      <c r="C687" s="30" t="n">
        <v>264500</v>
      </c>
      <c r="D687" s="30" t="n">
        <v>252500</v>
      </c>
      <c r="E687" s="30" t="n">
        <v>260000</v>
      </c>
      <c r="F687" s="30" t="n">
        <v>260000</v>
      </c>
      <c r="G687" s="30" t="n">
        <v>528858</v>
      </c>
      <c r="H687" s="35" t="n">
        <v>0.015625</v>
      </c>
      <c r="I687" s="35" t="n">
        <v>-0.2203898050974513</v>
      </c>
      <c r="J687" s="30" t="n">
        <v>292150</v>
      </c>
      <c r="K687" s="30" t="n">
        <v>234150</v>
      </c>
      <c r="L687" s="30" t="n">
        <v>182085</v>
      </c>
      <c r="M687" s="35" t="n">
        <v>0.7084893909826239</v>
      </c>
      <c r="N687" s="35" t="n">
        <v>1.110104296997553</v>
      </c>
      <c r="O687" s="35" t="n">
        <v>-0.2203898050974513</v>
      </c>
      <c r="P687" s="35" t="n">
        <v>0.5540944411237299</v>
      </c>
      <c r="Q687" s="35" t="n">
        <v>1.73972602739726</v>
      </c>
      <c r="R687" s="35" t="n">
        <v>-0.1100462091391409</v>
      </c>
      <c r="S687" s="35" t="n">
        <v>0.1103993166773436</v>
      </c>
      <c r="T687" s="35" t="n">
        <v>0.4279045500727683</v>
      </c>
      <c r="U687" s="30" t="n">
        <v>333500</v>
      </c>
      <c r="V687" s="30" t="n">
        <v>60200</v>
      </c>
      <c r="W687" s="35" t="n">
        <v>-0.2203898050974513</v>
      </c>
      <c r="X687" s="35" t="n">
        <v>3.318936877076412</v>
      </c>
      <c r="Y687" s="30" t="n">
        <v>95312200</v>
      </c>
      <c r="Z687" s="30" t="n">
        <v>24781172000000</v>
      </c>
      <c r="AA687" s="30" t="n">
        <v>137503080000</v>
      </c>
      <c r="AB687" s="30" t="n">
        <v>253513280400</v>
      </c>
      <c r="AC687" s="35" t="n">
        <v>0.005548691563094756</v>
      </c>
      <c r="AD687" s="24" t="inlineStr">
        <is>
          <t>yfinance_download</t>
        </is>
      </c>
      <c r="AE687" s="24" t="inlineStr">
        <is>
          <t>042700.KS</t>
        </is>
      </c>
    </row>
    <row r="688" ht="24" customHeight="1">
      <c r="A688" s="29" t="inlineStr">
        <is>
          <t>2026-04-06</t>
        </is>
      </c>
      <c r="B688" s="31" t="n">
        <v>259500</v>
      </c>
      <c r="C688" s="31" t="n">
        <v>263500</v>
      </c>
      <c r="D688" s="31" t="n">
        <v>248500</v>
      </c>
      <c r="E688" s="31" t="n">
        <v>252000</v>
      </c>
      <c r="F688" s="31" t="n">
        <v>252000</v>
      </c>
      <c r="G688" s="31" t="n">
        <v>577342</v>
      </c>
      <c r="H688" s="36" t="n">
        <v>-0.03076923076923077</v>
      </c>
      <c r="I688" s="36" t="n">
        <v>-0.2443778110944528</v>
      </c>
      <c r="J688" s="31" t="n">
        <v>289500</v>
      </c>
      <c r="K688" s="31" t="n">
        <v>235288.3333333333</v>
      </c>
      <c r="L688" s="31" t="n">
        <v>183350</v>
      </c>
      <c r="M688" s="36" t="n">
        <v>0.6574495407719328</v>
      </c>
      <c r="N688" s="36" t="n">
        <v>1.097608776516411</v>
      </c>
      <c r="O688" s="36" t="n">
        <v>-0.1737704918032786</v>
      </c>
      <c r="P688" s="36" t="n">
        <v>0.371801850843767</v>
      </c>
      <c r="Q688" s="36" t="n">
        <v>1.514970059880239</v>
      </c>
      <c r="R688" s="36" t="n">
        <v>-0.1295336787564767</v>
      </c>
      <c r="S688" s="36" t="n">
        <v>0.07102632939726439</v>
      </c>
      <c r="T688" s="36" t="n">
        <v>0.3744205072266158</v>
      </c>
      <c r="U688" s="31" t="n">
        <v>333500</v>
      </c>
      <c r="V688" s="31" t="n">
        <v>60200</v>
      </c>
      <c r="W688" s="36" t="n">
        <v>-0.2443778110944528</v>
      </c>
      <c r="X688" s="36" t="n">
        <v>3.186046511627907</v>
      </c>
      <c r="Y688" s="31" t="n">
        <v>95312200</v>
      </c>
      <c r="Z688" s="31" t="n">
        <v>24018674400000</v>
      </c>
      <c r="AA688" s="31" t="n">
        <v>145490184000</v>
      </c>
      <c r="AB688" s="31" t="n">
        <v>237608125100</v>
      </c>
      <c r="AC688" s="36" t="n">
        <v>0.006057377754369325</v>
      </c>
      <c r="AD688" s="29" t="inlineStr">
        <is>
          <t>yfinance_download</t>
        </is>
      </c>
      <c r="AE688" s="29" t="inlineStr">
        <is>
          <t>042700.KS</t>
        </is>
      </c>
    </row>
    <row r="689" ht="24" customHeight="1">
      <c r="A689" s="24" t="inlineStr">
        <is>
          <t>2026-04-07</t>
        </is>
      </c>
      <c r="B689" s="30" t="n">
        <v>260500</v>
      </c>
      <c r="C689" s="30" t="n">
        <v>262000</v>
      </c>
      <c r="D689" s="30" t="n">
        <v>247500</v>
      </c>
      <c r="E689" s="30" t="n">
        <v>253500</v>
      </c>
      <c r="F689" s="30" t="n">
        <v>253500</v>
      </c>
      <c r="G689" s="30" t="n">
        <v>579361</v>
      </c>
      <c r="H689" s="35" t="n">
        <v>0.005952380952380931</v>
      </c>
      <c r="I689" s="35" t="n">
        <v>-0.239880059970015</v>
      </c>
      <c r="J689" s="30" t="n">
        <v>285975</v>
      </c>
      <c r="K689" s="30" t="n">
        <v>236405</v>
      </c>
      <c r="L689" s="30" t="n">
        <v>184470</v>
      </c>
      <c r="M689" s="35" t="n">
        <v>0.605103862471892</v>
      </c>
      <c r="N689" s="35" t="n">
        <v>1.097493367419035</v>
      </c>
      <c r="O689" s="35" t="n">
        <v>-0.2175925925925926</v>
      </c>
      <c r="P689" s="35" t="n">
        <v>0.3592493297587132</v>
      </c>
      <c r="Q689" s="35" t="n">
        <v>1.128463476070529</v>
      </c>
      <c r="R689" s="35" t="n">
        <v>-0.1135588775242591</v>
      </c>
      <c r="S689" s="35" t="n">
        <v>0.07231234533956554</v>
      </c>
      <c r="T689" s="35" t="n">
        <v>0.3742071881606766</v>
      </c>
      <c r="U689" s="30" t="n">
        <v>333500</v>
      </c>
      <c r="V689" s="30" t="n">
        <v>60200</v>
      </c>
      <c r="W689" s="35" t="n">
        <v>-0.239880059970015</v>
      </c>
      <c r="X689" s="35" t="n">
        <v>3.210963455149502</v>
      </c>
      <c r="Y689" s="30" t="n">
        <v>95312200</v>
      </c>
      <c r="Z689" s="30" t="n">
        <v>24161642700000</v>
      </c>
      <c r="AA689" s="30" t="n">
        <v>146868013500</v>
      </c>
      <c r="AB689" s="30" t="n">
        <v>218997991775</v>
      </c>
      <c r="AC689" s="35" t="n">
        <v>0.006078560771863413</v>
      </c>
      <c r="AD689" s="24" t="inlineStr">
        <is>
          <t>yfinance_download</t>
        </is>
      </c>
      <c r="AE689" s="24" t="inlineStr">
        <is>
          <t>042700.KS</t>
        </is>
      </c>
    </row>
    <row r="690" ht="24" customHeight="1">
      <c r="A690" s="29" t="inlineStr">
        <is>
          <t>2026-04-08</t>
        </is>
      </c>
      <c r="B690" s="31" t="n">
        <v>277000</v>
      </c>
      <c r="C690" s="31" t="n">
        <v>281500</v>
      </c>
      <c r="D690" s="31" t="n">
        <v>267500</v>
      </c>
      <c r="E690" s="31" t="n">
        <v>280500</v>
      </c>
      <c r="F690" s="31" t="n">
        <v>280500</v>
      </c>
      <c r="G690" s="31" t="n">
        <v>1027627</v>
      </c>
      <c r="H690" s="36" t="n">
        <v>0.1065088757396451</v>
      </c>
      <c r="I690" s="36" t="n">
        <v>-0.158920539730135</v>
      </c>
      <c r="J690" s="31" t="n">
        <v>284375</v>
      </c>
      <c r="K690" s="31" t="n">
        <v>237985</v>
      </c>
      <c r="L690" s="31" t="n">
        <v>185740.8333333333</v>
      </c>
      <c r="M690" s="36" t="n">
        <v>0.7279174170890715</v>
      </c>
      <c r="N690" s="36" t="n">
        <v>1.11582109867224</v>
      </c>
      <c r="O690" s="36" t="n">
        <v>-0.1024</v>
      </c>
      <c r="P690" s="36" t="n">
        <v>0.5105008077544426</v>
      </c>
      <c r="Q690" s="36" t="n">
        <v>1.19140625</v>
      </c>
      <c r="R690" s="36" t="n">
        <v>-0.01362637362637364</v>
      </c>
      <c r="S690" s="36" t="n">
        <v>0.1786457129651029</v>
      </c>
      <c r="T690" s="36" t="n">
        <v>0.5101687386995319</v>
      </c>
      <c r="U690" s="31" t="n">
        <v>333500</v>
      </c>
      <c r="V690" s="31" t="n">
        <v>60200</v>
      </c>
      <c r="W690" s="36" t="n">
        <v>-0.158920539730135</v>
      </c>
      <c r="X690" s="36" t="n">
        <v>3.659468438538206</v>
      </c>
      <c r="Y690" s="31" t="n">
        <v>95312200</v>
      </c>
      <c r="Z690" s="31" t="n">
        <v>26735072100000</v>
      </c>
      <c r="AA690" s="31" t="n">
        <v>288249373500</v>
      </c>
      <c r="AB690" s="31" t="n">
        <v>216354929200</v>
      </c>
      <c r="AC690" s="36" t="n">
        <v>0.01078169426369342</v>
      </c>
      <c r="AD690" s="29" t="inlineStr">
        <is>
          <t>yfinance_download</t>
        </is>
      </c>
      <c r="AE690" s="29" t="inlineStr">
        <is>
          <t>042700.KS</t>
        </is>
      </c>
    </row>
    <row r="691" ht="24" customHeight="1">
      <c r="A691" s="24" t="inlineStr">
        <is>
          <t>2026-04-09</t>
        </is>
      </c>
      <c r="B691" s="30" t="n">
        <v>278000</v>
      </c>
      <c r="C691" s="30" t="n">
        <v>286000</v>
      </c>
      <c r="D691" s="30" t="n">
        <v>271500</v>
      </c>
      <c r="E691" s="30" t="n">
        <v>286000</v>
      </c>
      <c r="F691" s="30" t="n">
        <v>286000</v>
      </c>
      <c r="G691" s="30" t="n">
        <v>646513</v>
      </c>
      <c r="H691" s="35" t="n">
        <v>0.01960784313725483</v>
      </c>
      <c r="I691" s="35" t="n">
        <v>-0.1424287856071964</v>
      </c>
      <c r="J691" s="30" t="n">
        <v>282825</v>
      </c>
      <c r="K691" s="30" t="n">
        <v>239813.3333333333</v>
      </c>
      <c r="L691" s="30" t="n">
        <v>187051.6666666667</v>
      </c>
      <c r="M691" s="35" t="n">
        <v>0.7299337184713074</v>
      </c>
      <c r="N691" s="35" t="n">
        <v>1.109008565787206</v>
      </c>
      <c r="O691" s="35" t="n">
        <v>-0.09779179810725547</v>
      </c>
      <c r="P691" s="35" t="n">
        <v>0.6222348269994329</v>
      </c>
      <c r="Q691" s="35" t="n">
        <v>1.222222222222222</v>
      </c>
      <c r="R691" s="35" t="n">
        <v>0.01122602315919741</v>
      </c>
      <c r="S691" s="35" t="n">
        <v>0.1925942399644167</v>
      </c>
      <c r="T691" s="35" t="n">
        <v>0.5289893166772104</v>
      </c>
      <c r="U691" s="30" t="n">
        <v>333500</v>
      </c>
      <c r="V691" s="30" t="n">
        <v>60200</v>
      </c>
      <c r="W691" s="35" t="n">
        <v>-0.1424287856071964</v>
      </c>
      <c r="X691" s="35" t="n">
        <v>3.750830564784053</v>
      </c>
      <c r="Y691" s="30" t="n">
        <v>95312200</v>
      </c>
      <c r="Z691" s="30" t="n">
        <v>27259289200000</v>
      </c>
      <c r="AA691" s="30" t="n">
        <v>184902718000</v>
      </c>
      <c r="AB691" s="30" t="n">
        <v>213064775600</v>
      </c>
      <c r="AC691" s="35" t="n">
        <v>0.006783108563226953</v>
      </c>
      <c r="AD691" s="24" t="inlineStr">
        <is>
          <t>yfinance_download</t>
        </is>
      </c>
      <c r="AE691" s="24" t="inlineStr">
        <is>
          <t>042700.KS</t>
        </is>
      </c>
    </row>
    <row r="692" ht="24" customHeight="1">
      <c r="A692" s="29" t="inlineStr">
        <is>
          <t>2026-04-10</t>
        </is>
      </c>
      <c r="B692" s="31" t="n">
        <v>290000</v>
      </c>
      <c r="C692" s="31" t="n">
        <v>290500</v>
      </c>
      <c r="D692" s="31" t="n">
        <v>278500</v>
      </c>
      <c r="E692" s="31" t="n">
        <v>286000</v>
      </c>
      <c r="F692" s="31" t="n">
        <v>286000</v>
      </c>
      <c r="G692" s="31" t="n">
        <v>1087130</v>
      </c>
      <c r="H692" s="36" t="n">
        <v>0</v>
      </c>
      <c r="I692" s="36" t="n">
        <v>-0.1424287856071964</v>
      </c>
      <c r="J692" s="31" t="n">
        <v>281850</v>
      </c>
      <c r="K692" s="31" t="n">
        <v>241786.6666666667</v>
      </c>
      <c r="L692" s="31" t="n">
        <v>188251.6666666667</v>
      </c>
      <c r="M692" s="36" t="n">
        <v>0.7200438525219808</v>
      </c>
      <c r="N692" s="36" t="n">
        <v>1.102254378105797</v>
      </c>
      <c r="O692" s="36" t="n">
        <v>-0.06382978723404253</v>
      </c>
      <c r="P692" s="36" t="n">
        <v>0.7064439140811456</v>
      </c>
      <c r="Q692" s="36" t="n">
        <v>1.014084507042254</v>
      </c>
      <c r="R692" s="36" t="n">
        <v>0.01472414404825262</v>
      </c>
      <c r="S692" s="36" t="n">
        <v>0.1828609242307269</v>
      </c>
      <c r="T692" s="36" t="n">
        <v>0.5192428575222885</v>
      </c>
      <c r="U692" s="31" t="n">
        <v>333500</v>
      </c>
      <c r="V692" s="31" t="n">
        <v>60200</v>
      </c>
      <c r="W692" s="36" t="n">
        <v>-0.1424287856071964</v>
      </c>
      <c r="X692" s="36" t="n">
        <v>3.750830564784053</v>
      </c>
      <c r="Y692" s="31" t="n">
        <v>95312200</v>
      </c>
      <c r="Z692" s="31" t="n">
        <v>27259289200000</v>
      </c>
      <c r="AA692" s="31" t="n">
        <v>310919180000</v>
      </c>
      <c r="AB692" s="31" t="n">
        <v>215928268700</v>
      </c>
      <c r="AC692" s="36" t="n">
        <v>0.01140598999918164</v>
      </c>
      <c r="AD692" s="29" t="inlineStr">
        <is>
          <t>yfinance_download</t>
        </is>
      </c>
      <c r="AE692" s="29" t="inlineStr">
        <is>
          <t>042700.KS</t>
        </is>
      </c>
    </row>
    <row r="693" ht="24" customHeight="1">
      <c r="A693" s="24" t="inlineStr">
        <is>
          <t>2026-04-13</t>
        </is>
      </c>
      <c r="B693" s="30" t="n">
        <v>278000</v>
      </c>
      <c r="C693" s="30" t="n">
        <v>280000</v>
      </c>
      <c r="D693" s="30" t="n">
        <v>275000</v>
      </c>
      <c r="E693" s="30" t="n">
        <v>276500</v>
      </c>
      <c r="F693" s="30" t="n">
        <v>276500</v>
      </c>
      <c r="G693" s="30" t="n">
        <v>387276</v>
      </c>
      <c r="H693" s="35" t="n">
        <v>-0.03321678321678323</v>
      </c>
      <c r="I693" s="35" t="n">
        <v>-0.1709145427286357</v>
      </c>
      <c r="J693" s="30" t="n">
        <v>280675</v>
      </c>
      <c r="K693" s="30" t="n">
        <v>243508.3333333333</v>
      </c>
      <c r="L693" s="30" t="n">
        <v>189335</v>
      </c>
      <c r="M693" s="35" t="n">
        <v>0.726432688700868</v>
      </c>
      <c r="N693" s="35" t="n">
        <v>1.104965577071517</v>
      </c>
      <c r="O693" s="35" t="n">
        <v>-0.07833333333333337</v>
      </c>
      <c r="P693" s="35" t="n">
        <v>0.5964203233256351</v>
      </c>
      <c r="Q693" s="35" t="n">
        <v>0.8873720136518772</v>
      </c>
      <c r="R693" s="35" t="n">
        <v>-0.01487485525964194</v>
      </c>
      <c r="S693" s="35" t="n">
        <v>0.1354847541151911</v>
      </c>
      <c r="T693" s="35" t="n">
        <v>0.4603744685346081</v>
      </c>
      <c r="U693" s="30" t="n">
        <v>333500</v>
      </c>
      <c r="V693" s="30" t="n">
        <v>60200</v>
      </c>
      <c r="W693" s="35" t="n">
        <v>-0.1709145427286357</v>
      </c>
      <c r="X693" s="35" t="n">
        <v>3.593023255813954</v>
      </c>
      <c r="Y693" s="30" t="n">
        <v>95312200</v>
      </c>
      <c r="Z693" s="30" t="n">
        <v>26353823300000</v>
      </c>
      <c r="AA693" s="30" t="n">
        <v>107081814000</v>
      </c>
      <c r="AB693" s="30" t="n">
        <v>208093624400</v>
      </c>
      <c r="AC693" s="35" t="n">
        <v>0.004063236395760459</v>
      </c>
      <c r="AD693" s="24" t="inlineStr">
        <is>
          <t>yfinance_download</t>
        </is>
      </c>
      <c r="AE693" s="24" t="inlineStr">
        <is>
          <t>042700.KS</t>
        </is>
      </c>
    </row>
    <row r="694" ht="24" customHeight="1">
      <c r="A694" s="29" t="inlineStr">
        <is>
          <t>2026-04-14</t>
        </is>
      </c>
      <c r="B694" s="31" t="n">
        <v>285000</v>
      </c>
      <c r="C694" s="31" t="n">
        <v>286000</v>
      </c>
      <c r="D694" s="31" t="n">
        <v>280500</v>
      </c>
      <c r="E694" s="31" t="n">
        <v>284000</v>
      </c>
      <c r="F694" s="31" t="n">
        <v>284000</v>
      </c>
      <c r="G694" s="31" t="n">
        <v>558026</v>
      </c>
      <c r="H694" s="36" t="n">
        <v>0.02712477396021695</v>
      </c>
      <c r="I694" s="36" t="n">
        <v>-0.1484257871064468</v>
      </c>
      <c r="J694" s="31" t="n">
        <v>279825</v>
      </c>
      <c r="K694" s="31" t="n">
        <v>245278.3333333333</v>
      </c>
      <c r="L694" s="31" t="n">
        <v>190515.8333333333</v>
      </c>
      <c r="M694" s="36" t="n">
        <v>0.7340917815709453</v>
      </c>
      <c r="N694" s="36" t="n">
        <v>1.105002281913051</v>
      </c>
      <c r="O694" s="36" t="n">
        <v>-0.05647840531561465</v>
      </c>
      <c r="P694" s="36" t="n">
        <v>0.5973003374578179</v>
      </c>
      <c r="Q694" s="36" t="n">
        <v>0.9957835558678847</v>
      </c>
      <c r="R694" s="36" t="n">
        <v>0.0149200393102833</v>
      </c>
      <c r="S694" s="36" t="n">
        <v>0.1578682720990439</v>
      </c>
      <c r="T694" s="36" t="n">
        <v>0.4906897501957403</v>
      </c>
      <c r="U694" s="31" t="n">
        <v>333500</v>
      </c>
      <c r="V694" s="31" t="n">
        <v>60200</v>
      </c>
      <c r="W694" s="36" t="n">
        <v>-0.1484257871064468</v>
      </c>
      <c r="X694" s="36" t="n">
        <v>3.717607973421927</v>
      </c>
      <c r="Y694" s="31" t="n">
        <v>95312200</v>
      </c>
      <c r="Z694" s="31" t="n">
        <v>27068664800000</v>
      </c>
      <c r="AA694" s="31" t="n">
        <v>158479384000</v>
      </c>
      <c r="AB694" s="31" t="n">
        <v>206133596400</v>
      </c>
      <c r="AC694" s="36" t="n">
        <v>0.005854717444356546</v>
      </c>
      <c r="AD694" s="29" t="inlineStr">
        <is>
          <t>yfinance_download</t>
        </is>
      </c>
      <c r="AE694" s="29" t="inlineStr">
        <is>
          <t>042700.KS</t>
        </is>
      </c>
    </row>
    <row r="695" ht="24" customHeight="1">
      <c r="A695" s="24" t="inlineStr">
        <is>
          <t>2026-04-15</t>
        </is>
      </c>
      <c r="B695" s="30" t="n">
        <v>296000</v>
      </c>
      <c r="C695" s="30" t="n">
        <v>296500</v>
      </c>
      <c r="D695" s="30" t="n">
        <v>289500</v>
      </c>
      <c r="E695" s="30" t="n">
        <v>295000</v>
      </c>
      <c r="F695" s="30" t="n">
        <v>295000</v>
      </c>
      <c r="G695" s="30" t="n">
        <v>898476</v>
      </c>
      <c r="H695" s="35" t="n">
        <v>0.03873239436619724</v>
      </c>
      <c r="I695" s="35" t="n">
        <v>-0.1154422788605697</v>
      </c>
      <c r="J695" s="30" t="n">
        <v>279025</v>
      </c>
      <c r="K695" s="30" t="n">
        <v>247195</v>
      </c>
      <c r="L695" s="30" t="n">
        <v>191730</v>
      </c>
      <c r="M695" s="35" t="n">
        <v>0.7378392583257211</v>
      </c>
      <c r="N695" s="35" t="n">
        <v>1.106556698554227</v>
      </c>
      <c r="O695" s="35" t="n">
        <v>-0.05144694533762062</v>
      </c>
      <c r="P695" s="35" t="n">
        <v>0.6388888888888888</v>
      </c>
      <c r="Q695" s="35" t="n">
        <v>0.9758874748827864</v>
      </c>
      <c r="R695" s="35" t="n">
        <v>0.05725293432488132</v>
      </c>
      <c r="S695" s="35" t="n">
        <v>0.1933898339367706</v>
      </c>
      <c r="T695" s="35" t="n">
        <v>0.5386220205497314</v>
      </c>
      <c r="U695" s="30" t="n">
        <v>333500</v>
      </c>
      <c r="V695" s="30" t="n">
        <v>60200</v>
      </c>
      <c r="W695" s="35" t="n">
        <v>-0.1154422788605697</v>
      </c>
      <c r="X695" s="35" t="n">
        <v>3.900332225913621</v>
      </c>
      <c r="Y695" s="30" t="n">
        <v>95312200</v>
      </c>
      <c r="Z695" s="30" t="n">
        <v>28117099000000</v>
      </c>
      <c r="AA695" s="30" t="n">
        <v>265050420000</v>
      </c>
      <c r="AB695" s="30" t="n">
        <v>205072264650</v>
      </c>
      <c r="AC695" s="35" t="n">
        <v>0.00942666311343144</v>
      </c>
      <c r="AD695" s="24" t="inlineStr">
        <is>
          <t>yfinance_download</t>
        </is>
      </c>
      <c r="AE695" s="24" t="inlineStr">
        <is>
          <t>042700.KS</t>
        </is>
      </c>
    </row>
    <row r="696" ht="24" customHeight="1">
      <c r="A696" s="29" t="inlineStr">
        <is>
          <t>2026-04-16</t>
        </is>
      </c>
      <c r="B696" s="31" t="n">
        <v>294000</v>
      </c>
      <c r="C696" s="31" t="n">
        <v>295000</v>
      </c>
      <c r="D696" s="31" t="n">
        <v>288000</v>
      </c>
      <c r="E696" s="31" t="n">
        <v>292000</v>
      </c>
      <c r="F696" s="31" t="n">
        <v>292000</v>
      </c>
      <c r="G696" s="31" t="n">
        <v>458794</v>
      </c>
      <c r="H696" s="36" t="n">
        <v>-0.01016949152542368</v>
      </c>
      <c r="I696" s="36" t="n">
        <v>-0.1244377811094453</v>
      </c>
      <c r="J696" s="31" t="n">
        <v>278275</v>
      </c>
      <c r="K696" s="31" t="n">
        <v>249086.6666666667</v>
      </c>
      <c r="L696" s="31" t="n">
        <v>192916.6666666667</v>
      </c>
      <c r="M696" s="36" t="n">
        <v>0.7373572250617485</v>
      </c>
      <c r="N696" s="36" t="n">
        <v>1.106696604902936</v>
      </c>
      <c r="O696" s="36" t="n">
        <v>-0.04885993485342022</v>
      </c>
      <c r="P696" s="36" t="n">
        <v>0.6358543417366946</v>
      </c>
      <c r="Q696" s="36" t="n">
        <v>0.9518716577540107</v>
      </c>
      <c r="R696" s="36" t="n">
        <v>0.04932171413170416</v>
      </c>
      <c r="S696" s="36" t="n">
        <v>0.1722827396087039</v>
      </c>
      <c r="T696" s="36" t="n">
        <v>0.5136069114470843</v>
      </c>
      <c r="U696" s="31" t="n">
        <v>333500</v>
      </c>
      <c r="V696" s="31" t="n">
        <v>60200</v>
      </c>
      <c r="W696" s="36" t="n">
        <v>-0.1244377811094453</v>
      </c>
      <c r="X696" s="36" t="n">
        <v>3.850498338870432</v>
      </c>
      <c r="Y696" s="31" t="n">
        <v>95312200</v>
      </c>
      <c r="Z696" s="31" t="n">
        <v>27831162400000</v>
      </c>
      <c r="AA696" s="31" t="n">
        <v>133967848000</v>
      </c>
      <c r="AB696" s="31" t="n">
        <v>199669361750</v>
      </c>
      <c r="AC696" s="36" t="n">
        <v>0.004813591544419287</v>
      </c>
      <c r="AD696" s="29" t="inlineStr">
        <is>
          <t>yfinance_download</t>
        </is>
      </c>
      <c r="AE696" s="29" t="inlineStr">
        <is>
          <t>042700.KS</t>
        </is>
      </c>
    </row>
    <row r="697" ht="24" customHeight="1">
      <c r="A697" s="24" t="inlineStr">
        <is>
          <t>2026-04-17</t>
        </is>
      </c>
      <c r="B697" s="30" t="n">
        <v>290500</v>
      </c>
      <c r="C697" s="30" t="n">
        <v>291000</v>
      </c>
      <c r="D697" s="30" t="n">
        <v>285500</v>
      </c>
      <c r="E697" s="30" t="n">
        <v>286500</v>
      </c>
      <c r="F697" s="30" t="n">
        <v>286500</v>
      </c>
      <c r="G697" s="30" t="n">
        <v>359159</v>
      </c>
      <c r="H697" s="35" t="n">
        <v>-0.01883561643835618</v>
      </c>
      <c r="I697" s="35" t="n">
        <v>-0.1409295352323838</v>
      </c>
      <c r="J697" s="30" t="n">
        <v>277125</v>
      </c>
      <c r="K697" s="30" t="n">
        <v>250903.3333333333</v>
      </c>
      <c r="L697" s="30" t="n">
        <v>194041.6666666667</v>
      </c>
      <c r="M697" s="35" t="n">
        <v>0.7388990627607334</v>
      </c>
      <c r="N697" s="35" t="n">
        <v>1.107849405765465</v>
      </c>
      <c r="O697" s="35" t="n">
        <v>-0.07431340872374803</v>
      </c>
      <c r="P697" s="35" t="n">
        <v>0.6140845070422536</v>
      </c>
      <c r="Q697" s="35" t="n">
        <v>0.891089108910891</v>
      </c>
      <c r="R697" s="35" t="n">
        <v>0.03382949932341006</v>
      </c>
      <c r="S697" s="35" t="n">
        <v>0.1418740285103159</v>
      </c>
      <c r="T697" s="35" t="n">
        <v>0.476487008803951</v>
      </c>
      <c r="U697" s="30" t="n">
        <v>333500</v>
      </c>
      <c r="V697" s="30" t="n">
        <v>60200</v>
      </c>
      <c r="W697" s="35" t="n">
        <v>-0.1409295352323838</v>
      </c>
      <c r="X697" s="35" t="n">
        <v>3.759136212624584</v>
      </c>
      <c r="Y697" s="30" t="n">
        <v>95312200</v>
      </c>
      <c r="Z697" s="30" t="n">
        <v>27306945300000</v>
      </c>
      <c r="AA697" s="30" t="n">
        <v>102899053500</v>
      </c>
      <c r="AB697" s="30" t="n">
        <v>194286439800</v>
      </c>
      <c r="AC697" s="35" t="n">
        <v>0.003768237434452253</v>
      </c>
      <c r="AD697" s="24" t="inlineStr">
        <is>
          <t>yfinance_download</t>
        </is>
      </c>
      <c r="AE697" s="24" t="inlineStr">
        <is>
          <t>042700.KS</t>
        </is>
      </c>
    </row>
    <row r="698" ht="24" customHeight="1">
      <c r="A698" s="29" t="inlineStr">
        <is>
          <t>2026-04-20</t>
        </is>
      </c>
      <c r="B698" s="31" t="n">
        <v>286500</v>
      </c>
      <c r="C698" s="31" t="n">
        <v>290000</v>
      </c>
      <c r="D698" s="31" t="n">
        <v>282500</v>
      </c>
      <c r="E698" s="31" t="n">
        <v>287000</v>
      </c>
      <c r="F698" s="31" t="n">
        <v>287000</v>
      </c>
      <c r="G698" s="31" t="n">
        <v>317137</v>
      </c>
      <c r="H698" s="36" t="n">
        <v>0.001745200698080263</v>
      </c>
      <c r="I698" s="36" t="n">
        <v>-0.1394302848575713</v>
      </c>
      <c r="J698" s="31" t="n">
        <v>276625</v>
      </c>
      <c r="K698" s="31" t="n">
        <v>252818.3333333333</v>
      </c>
      <c r="L698" s="31" t="n">
        <v>195187.5</v>
      </c>
      <c r="M698" s="36" t="n">
        <v>0.7255168743796305</v>
      </c>
      <c r="N698" s="36" t="n">
        <v>1.104761872506205</v>
      </c>
      <c r="O698" s="36" t="n">
        <v>-0.03367003367003363</v>
      </c>
      <c r="P698" s="36" t="n">
        <v>0.6676350958744917</v>
      </c>
      <c r="Q698" s="36" t="n">
        <v>0.919732441471572</v>
      </c>
      <c r="R698" s="36" t="n">
        <v>0.03750564844103033</v>
      </c>
      <c r="S698" s="36" t="n">
        <v>0.1352024839970729</v>
      </c>
      <c r="T698" s="36" t="n">
        <v>0.4703810438680756</v>
      </c>
      <c r="U698" s="31" t="n">
        <v>333500</v>
      </c>
      <c r="V698" s="31" t="n">
        <v>60200</v>
      </c>
      <c r="W698" s="36" t="n">
        <v>-0.1394302848575713</v>
      </c>
      <c r="X698" s="36" t="n">
        <v>3.767441860465116</v>
      </c>
      <c r="Y698" s="31" t="n">
        <v>95312200</v>
      </c>
      <c r="Z698" s="31" t="n">
        <v>27354601400000</v>
      </c>
      <c r="AA698" s="31" t="n">
        <v>91018319000</v>
      </c>
      <c r="AB698" s="31" t="n">
        <v>187127017000</v>
      </c>
      <c r="AC698" s="36" t="n">
        <v>0.003327349489362327</v>
      </c>
      <c r="AD698" s="29" t="inlineStr">
        <is>
          <t>yfinance_download</t>
        </is>
      </c>
      <c r="AE698" s="29" t="inlineStr">
        <is>
          <t>042700.KS</t>
        </is>
      </c>
    </row>
    <row r="699" ht="24" customHeight="1">
      <c r="A699" s="24" t="inlineStr">
        <is>
          <t>2026-04-21</t>
        </is>
      </c>
      <c r="B699" s="30" t="n">
        <v>287500</v>
      </c>
      <c r="C699" s="30" t="n">
        <v>295000</v>
      </c>
      <c r="D699" s="30" t="n">
        <v>287500</v>
      </c>
      <c r="E699" s="30" t="n">
        <v>295000</v>
      </c>
      <c r="F699" s="30" t="n">
        <v>295000</v>
      </c>
      <c r="G699" s="30" t="n">
        <v>496193</v>
      </c>
      <c r="H699" s="35" t="n">
        <v>0.02787456445993031</v>
      </c>
      <c r="I699" s="35" t="n">
        <v>-0.1154422788605697</v>
      </c>
      <c r="J699" s="30" t="n">
        <v>276550</v>
      </c>
      <c r="K699" s="30" t="n">
        <v>254865</v>
      </c>
      <c r="L699" s="30" t="n">
        <v>196398.3333333333</v>
      </c>
      <c r="M699" s="35" t="n">
        <v>0.7325559300451677</v>
      </c>
      <c r="N699" s="35" t="n">
        <v>1.105100544961313</v>
      </c>
      <c r="O699" s="35" t="n">
        <v>-0.005059021922428353</v>
      </c>
      <c r="P699" s="35" t="n">
        <v>0.7131242740998838</v>
      </c>
      <c r="Q699" s="35" t="n">
        <v>0.9706078824315296</v>
      </c>
      <c r="R699" s="35" t="n">
        <v>0.06671487976857704</v>
      </c>
      <c r="S699" s="35" t="n">
        <v>0.157475526259</v>
      </c>
      <c r="T699" s="35" t="n">
        <v>0.5020494063934691</v>
      </c>
      <c r="U699" s="30" t="n">
        <v>333500</v>
      </c>
      <c r="V699" s="30" t="n">
        <v>61200</v>
      </c>
      <c r="W699" s="35" t="n">
        <v>-0.1154422788605697</v>
      </c>
      <c r="X699" s="35" t="n">
        <v>3.820261437908496</v>
      </c>
      <c r="Y699" s="30" t="n">
        <v>95312200</v>
      </c>
      <c r="Z699" s="30" t="n">
        <v>28117099000000</v>
      </c>
      <c r="AA699" s="30" t="n">
        <v>146376935000</v>
      </c>
      <c r="AB699" s="30" t="n">
        <v>181785862275</v>
      </c>
      <c r="AC699" s="35" t="n">
        <v>0.005205975730284266</v>
      </c>
      <c r="AD699" s="24" t="inlineStr">
        <is>
          <t>yfinance_download</t>
        </is>
      </c>
      <c r="AE699" s="24" t="inlineStr">
        <is>
          <t>042700.KS</t>
        </is>
      </c>
    </row>
    <row r="700" ht="24" customHeight="1">
      <c r="A700" s="29" t="inlineStr">
        <is>
          <t>2026-04-22</t>
        </is>
      </c>
      <c r="B700" s="31" t="n">
        <v>292000</v>
      </c>
      <c r="C700" s="31" t="n">
        <v>295000</v>
      </c>
      <c r="D700" s="31" t="n">
        <v>286000</v>
      </c>
      <c r="E700" s="31" t="n">
        <v>293500</v>
      </c>
      <c r="F700" s="31" t="n">
        <v>293500</v>
      </c>
      <c r="G700" s="31" t="n">
        <v>684772</v>
      </c>
      <c r="H700" s="36" t="n">
        <v>-0.005084745762711895</v>
      </c>
      <c r="I700" s="36" t="n">
        <v>-0.1199400299850075</v>
      </c>
      <c r="J700" s="31" t="n">
        <v>276225</v>
      </c>
      <c r="K700" s="31" t="n">
        <v>256916.6666666667</v>
      </c>
      <c r="L700" s="31" t="n">
        <v>197597.5</v>
      </c>
      <c r="M700" s="36" t="n">
        <v>0.731626495296133</v>
      </c>
      <c r="N700" s="36" t="n">
        <v>1.104705041166746</v>
      </c>
      <c r="O700" s="36" t="n">
        <v>-0.02166666666666661</v>
      </c>
      <c r="P700" s="36" t="n">
        <v>0.7224178403755868</v>
      </c>
      <c r="Q700" s="36" t="n">
        <v>0.9618983957219251</v>
      </c>
      <c r="R700" s="36" t="n">
        <v>0.06253959634356043</v>
      </c>
      <c r="S700" s="36" t="n">
        <v>0.1423937722997082</v>
      </c>
      <c r="T700" s="36" t="n">
        <v>0.4853426789306545</v>
      </c>
      <c r="U700" s="31" t="n">
        <v>333500</v>
      </c>
      <c r="V700" s="31" t="n">
        <v>61200</v>
      </c>
      <c r="W700" s="36" t="n">
        <v>-0.1199400299850075</v>
      </c>
      <c r="X700" s="36" t="n">
        <v>3.795751633986928</v>
      </c>
      <c r="Y700" s="31" t="n">
        <v>95312200</v>
      </c>
      <c r="Z700" s="31" t="n">
        <v>27974130700000</v>
      </c>
      <c r="AA700" s="31" t="n">
        <v>200980582000</v>
      </c>
      <c r="AB700" s="31" t="n">
        <v>181700396375</v>
      </c>
      <c r="AC700" s="36" t="n">
        <v>0.0071845157283118</v>
      </c>
      <c r="AD700" s="29" t="inlineStr">
        <is>
          <t>yfinance_download</t>
        </is>
      </c>
      <c r="AE700" s="29" t="inlineStr">
        <is>
          <t>042700.KS</t>
        </is>
      </c>
    </row>
    <row r="701" ht="24" customHeight="1">
      <c r="A701" s="24" t="inlineStr">
        <is>
          <t>2026-04-23</t>
        </is>
      </c>
      <c r="B701" s="30" t="n">
        <v>295000</v>
      </c>
      <c r="C701" s="30" t="n">
        <v>306500</v>
      </c>
      <c r="D701" s="30" t="n">
        <v>283000</v>
      </c>
      <c r="E701" s="30" t="n">
        <v>293500</v>
      </c>
      <c r="F701" s="30" t="n">
        <v>293500</v>
      </c>
      <c r="G701" s="30" t="n">
        <v>1047056</v>
      </c>
      <c r="H701" s="35" t="n">
        <v>0</v>
      </c>
      <c r="I701" s="35" t="n">
        <v>-0.1199400299850075</v>
      </c>
      <c r="J701" s="30" t="n">
        <v>277000</v>
      </c>
      <c r="K701" s="30" t="n">
        <v>258956.6666666667</v>
      </c>
      <c r="L701" s="30" t="n">
        <v>198850.8333333333</v>
      </c>
      <c r="M701" s="35" t="n">
        <v>0.678659878736865</v>
      </c>
      <c r="N701" s="35" t="n">
        <v>1.104851892718961</v>
      </c>
      <c r="O701" s="35" t="n">
        <v>0.05575539568345333</v>
      </c>
      <c r="P701" s="35" t="n">
        <v>0.7153711279953243</v>
      </c>
      <c r="Q701" s="35" t="n">
        <v>1.051013277428372</v>
      </c>
      <c r="R701" s="35" t="n">
        <v>0.05956678700361007</v>
      </c>
      <c r="S701" s="35" t="n">
        <v>0.133394261588168</v>
      </c>
      <c r="T701" s="35" t="n">
        <v>0.4759807393314084</v>
      </c>
      <c r="U701" s="30" t="n">
        <v>333500</v>
      </c>
      <c r="V701" s="30" t="n">
        <v>64700</v>
      </c>
      <c r="W701" s="35" t="n">
        <v>-0.1199400299850075</v>
      </c>
      <c r="X701" s="35" t="n">
        <v>3.536321483771252</v>
      </c>
      <c r="Y701" s="30" t="n">
        <v>95312200</v>
      </c>
      <c r="Z701" s="30" t="n">
        <v>27974130700000</v>
      </c>
      <c r="AA701" s="30" t="n">
        <v>307310936000</v>
      </c>
      <c r="AB701" s="30" t="n">
        <v>188028983275</v>
      </c>
      <c r="AC701" s="35" t="n">
        <v>0.01098554015120834</v>
      </c>
      <c r="AD701" s="24" t="inlineStr">
        <is>
          <t>yfinance_download</t>
        </is>
      </c>
      <c r="AE701" s="24" t="inlineStr">
        <is>
          <t>042700.KS</t>
        </is>
      </c>
    </row>
    <row r="702" ht="24" customHeight="1">
      <c r="A702" s="29" t="inlineStr">
        <is>
          <t>2026-04-24</t>
        </is>
      </c>
      <c r="B702" s="31" t="n">
        <v>292000</v>
      </c>
      <c r="C702" s="31" t="n">
        <v>298000</v>
      </c>
      <c r="D702" s="31" t="n">
        <v>291000</v>
      </c>
      <c r="E702" s="31" t="n">
        <v>295500</v>
      </c>
      <c r="F702" s="31" t="n">
        <v>295500</v>
      </c>
      <c r="G702" s="31" t="n">
        <v>570284</v>
      </c>
      <c r="H702" s="36" t="n">
        <v>0.006814310051107331</v>
      </c>
      <c r="I702" s="36" t="n">
        <v>-0.1139430284857571</v>
      </c>
      <c r="J702" s="31" t="n">
        <v>277875</v>
      </c>
      <c r="K702" s="31" t="n">
        <v>261056.6666666667</v>
      </c>
      <c r="L702" s="31" t="n">
        <v>200161.6666666667</v>
      </c>
      <c r="M702" s="36" t="n">
        <v>0.6786159480945211</v>
      </c>
      <c r="N702" s="36" t="n">
        <v>1.104059850750003</v>
      </c>
      <c r="O702" s="36" t="n">
        <v>0.06294964028776984</v>
      </c>
      <c r="P702" s="36" t="n">
        <v>0.7433628318584071</v>
      </c>
      <c r="Q702" s="36" t="n">
        <v>1.138205499276411</v>
      </c>
      <c r="R702" s="36" t="n">
        <v>0.06342780026990558</v>
      </c>
      <c r="S702" s="36" t="n">
        <v>0.1319381488054956</v>
      </c>
      <c r="T702" s="36" t="n">
        <v>0.4763066521228674</v>
      </c>
      <c r="U702" s="31" t="n">
        <v>333500</v>
      </c>
      <c r="V702" s="31" t="n">
        <v>64700</v>
      </c>
      <c r="W702" s="36" t="n">
        <v>-0.1139430284857571</v>
      </c>
      <c r="X702" s="36" t="n">
        <v>3.567233384853169</v>
      </c>
      <c r="Y702" s="31" t="n">
        <v>95312200</v>
      </c>
      <c r="Z702" s="31" t="n">
        <v>28164755100000</v>
      </c>
      <c r="AA702" s="31" t="n">
        <v>168518922000</v>
      </c>
      <c r="AB702" s="31" t="n">
        <v>185709242475</v>
      </c>
      <c r="AC702" s="36" t="n">
        <v>0.005983326373748587</v>
      </c>
      <c r="AD702" s="29" t="inlineStr">
        <is>
          <t>yfinance_download</t>
        </is>
      </c>
      <c r="AE702" s="29" t="inlineStr">
        <is>
          <t>042700.KS</t>
        </is>
      </c>
    </row>
    <row r="703" ht="24" customHeight="1">
      <c r="A703" s="24" t="inlineStr">
        <is>
          <t>2026-04-27</t>
        </is>
      </c>
      <c r="B703" s="30" t="n">
        <v>305000</v>
      </c>
      <c r="C703" s="30" t="n">
        <v>379500</v>
      </c>
      <c r="D703" s="30" t="n">
        <v>302000</v>
      </c>
      <c r="E703" s="30" t="n">
        <v>373500</v>
      </c>
      <c r="F703" s="30" t="n">
        <v>373500</v>
      </c>
      <c r="G703" s="30" t="n">
        <v>5287941</v>
      </c>
      <c r="H703" s="35" t="n">
        <v>0.2639593908629441</v>
      </c>
      <c r="I703" s="35" t="n">
        <v>0</v>
      </c>
      <c r="J703" s="30" t="n">
        <v>283525</v>
      </c>
      <c r="K703" s="30" t="n">
        <v>264368.3333333333</v>
      </c>
      <c r="L703" s="30" t="n">
        <v>202078.3333333333</v>
      </c>
      <c r="M703" s="35" t="n">
        <v>1.107841145595893</v>
      </c>
      <c r="N703" s="35" t="n">
        <v>1.218844107794518</v>
      </c>
      <c r="O703" s="35" t="n">
        <v>0.4337811900191939</v>
      </c>
      <c r="P703" s="35" t="n">
        <v>1.136727688787186</v>
      </c>
      <c r="Q703" s="35" t="n">
        <v>1.602787456445993</v>
      </c>
      <c r="R703" s="35" t="n">
        <v>0.3173441495458955</v>
      </c>
      <c r="S703" s="35" t="n">
        <v>0.4128015836490755</v>
      </c>
      <c r="T703" s="35" t="n">
        <v>0.8482931536450387</v>
      </c>
      <c r="U703" s="30" t="n">
        <v>373500</v>
      </c>
      <c r="V703" s="30" t="n">
        <v>64700</v>
      </c>
      <c r="W703" s="35" t="n">
        <v>0</v>
      </c>
      <c r="X703" s="35" t="n">
        <v>4.772797527047913</v>
      </c>
      <c r="Y703" s="30" t="n">
        <v>95312200</v>
      </c>
      <c r="Z703" s="30" t="n">
        <v>35599106700000</v>
      </c>
      <c r="AA703" s="30" t="n">
        <v>1975045963500</v>
      </c>
      <c r="AB703" s="30" t="n">
        <v>276692584025</v>
      </c>
      <c r="AC703" s="35" t="n">
        <v>0.05548021134755047</v>
      </c>
      <c r="AD703" s="24" t="inlineStr">
        <is>
          <t>yfinance_download</t>
        </is>
      </c>
      <c r="AE703" s="24" t="inlineStr">
        <is>
          <t>042700.KS</t>
        </is>
      </c>
    </row>
    <row r="704" ht="24" customHeight="1">
      <c r="A704" s="29" t="inlineStr">
        <is>
          <t>2026-04-28</t>
        </is>
      </c>
      <c r="B704" s="31" t="n">
        <v>367000</v>
      </c>
      <c r="C704" s="31" t="n">
        <v>377500</v>
      </c>
      <c r="D704" s="31" t="n">
        <v>352500</v>
      </c>
      <c r="E704" s="31" t="n">
        <v>367000</v>
      </c>
      <c r="F704" s="31" t="n">
        <v>367000</v>
      </c>
      <c r="G704" s="31" t="n">
        <v>1775578</v>
      </c>
      <c r="H704" s="36" t="n">
        <v>-0.01740294511378848</v>
      </c>
      <c r="I704" s="36" t="n">
        <v>-0.01740294511378848</v>
      </c>
      <c r="J704" s="31" t="n">
        <v>289325</v>
      </c>
      <c r="K704" s="31" t="n">
        <v>267451.6666666667</v>
      </c>
      <c r="L704" s="31" t="n">
        <v>203939.1666666667</v>
      </c>
      <c r="M704" s="36" t="n">
        <v>1.096907526167376</v>
      </c>
      <c r="N704" s="36" t="n">
        <v>1.219466516749077</v>
      </c>
      <c r="O704" s="36" t="n">
        <v>0.4621513944223108</v>
      </c>
      <c r="P704" s="36" t="n">
        <v>1.016483516483516</v>
      </c>
      <c r="Q704" s="36" t="n">
        <v>1.55393180236604</v>
      </c>
      <c r="R704" s="36" t="n">
        <v>0.2684697139894583</v>
      </c>
      <c r="S704" s="36" t="n">
        <v>0.372210555178194</v>
      </c>
      <c r="T704" s="36" t="n">
        <v>0.7995562402186926</v>
      </c>
      <c r="U704" s="31" t="n">
        <v>373500</v>
      </c>
      <c r="V704" s="31" t="n">
        <v>64700</v>
      </c>
      <c r="W704" s="36" t="n">
        <v>-0.01740294511378848</v>
      </c>
      <c r="X704" s="36" t="n">
        <v>4.672333848531685</v>
      </c>
      <c r="Y704" s="31" t="n">
        <v>95312200</v>
      </c>
      <c r="Z704" s="31" t="n">
        <v>34979577400000</v>
      </c>
      <c r="AA704" s="31" t="n">
        <v>651637126000</v>
      </c>
      <c r="AB704" s="31" t="n">
        <v>298149279475</v>
      </c>
      <c r="AC704" s="36" t="n">
        <v>0.01862907371774023</v>
      </c>
      <c r="AD704" s="29" t="inlineStr">
        <is>
          <t>yfinance_download</t>
        </is>
      </c>
      <c r="AE704" s="29" t="inlineStr">
        <is>
          <t>042700.KS</t>
        </is>
      </c>
    </row>
    <row r="705" ht="24" customHeight="1">
      <c r="A705" s="24" t="inlineStr">
        <is>
          <t>2026-04-29</t>
        </is>
      </c>
      <c r="B705" s="30" t="n">
        <v>357000</v>
      </c>
      <c r="C705" s="30" t="n">
        <v>362500</v>
      </c>
      <c r="D705" s="30" t="n">
        <v>348000</v>
      </c>
      <c r="E705" s="30" t="n">
        <v>357500</v>
      </c>
      <c r="F705" s="30" t="n">
        <v>357500</v>
      </c>
      <c r="G705" s="30" t="n">
        <v>886254</v>
      </c>
      <c r="H705" s="35" t="n">
        <v>-0.02588555858310626</v>
      </c>
      <c r="I705" s="35" t="n">
        <v>-0.04283801874163318</v>
      </c>
      <c r="J705" s="30" t="n">
        <v>293525</v>
      </c>
      <c r="K705" s="30" t="n">
        <v>270018.3333333333</v>
      </c>
      <c r="L705" s="30" t="n">
        <v>205738.3333333333</v>
      </c>
      <c r="M705" s="35" t="n">
        <v>1.077799324888626</v>
      </c>
      <c r="N705" s="35" t="n">
        <v>1.202763722397229</v>
      </c>
      <c r="O705" s="35" t="n">
        <v>0.3071297989031079</v>
      </c>
      <c r="P705" s="35" t="n">
        <v>0.7567567567567568</v>
      </c>
      <c r="Q705" s="35" t="n">
        <v>1.524717514124294</v>
      </c>
      <c r="R705" s="35" t="n">
        <v>0.217954177668001</v>
      </c>
      <c r="S705" s="35" t="n">
        <v>0.3239841739141169</v>
      </c>
      <c r="T705" s="35" t="n">
        <v>0.7376440948453942</v>
      </c>
      <c r="U705" s="30" t="n">
        <v>373500</v>
      </c>
      <c r="V705" s="30" t="n">
        <v>64700</v>
      </c>
      <c r="W705" s="35" t="n">
        <v>-0.04283801874163318</v>
      </c>
      <c r="X705" s="35" t="n">
        <v>4.525502318392581</v>
      </c>
      <c r="Y705" s="30" t="n">
        <v>95312200</v>
      </c>
      <c r="Z705" s="30" t="n">
        <v>34074111500000</v>
      </c>
      <c r="AA705" s="30" t="n">
        <v>316835805000</v>
      </c>
      <c r="AB705" s="30" t="n">
        <v>302840789250</v>
      </c>
      <c r="AC705" s="35" t="n">
        <v>0.009298431890146277</v>
      </c>
      <c r="AD705" s="24" t="inlineStr">
        <is>
          <t>yfinance_download</t>
        </is>
      </c>
      <c r="AE705" s="24" t="inlineStr">
        <is>
          <t>042700.KS</t>
        </is>
      </c>
    </row>
    <row r="706" ht="24" customHeight="1">
      <c r="A706" s="29" t="inlineStr">
        <is>
          <t>2026-04-30</t>
        </is>
      </c>
      <c r="B706" s="31" t="n">
        <v>367000</v>
      </c>
      <c r="C706" s="31" t="n">
        <v>392500</v>
      </c>
      <c r="D706" s="31" t="n">
        <v>361500</v>
      </c>
      <c r="E706" s="31" t="n">
        <v>368000</v>
      </c>
      <c r="F706" s="31" t="n">
        <v>368000</v>
      </c>
      <c r="G706" s="31" t="n">
        <v>2575384</v>
      </c>
      <c r="H706" s="36" t="n">
        <v>0.02937062937062929</v>
      </c>
      <c r="I706" s="36" t="n">
        <v>-0.01472556894243637</v>
      </c>
      <c r="J706" s="31" t="n">
        <v>299125</v>
      </c>
      <c r="K706" s="31" t="n">
        <v>272635</v>
      </c>
      <c r="L706" s="31" t="n">
        <v>207640.8333333333</v>
      </c>
      <c r="M706" s="36" t="n">
        <v>1.036726495443052</v>
      </c>
      <c r="N706" s="36" t="n">
        <v>1.202201776035101</v>
      </c>
      <c r="O706" s="36" t="n">
        <v>0.4375</v>
      </c>
      <c r="P706" s="36" t="n">
        <v>0.7440758293838863</v>
      </c>
      <c r="Q706" s="36" t="n">
        <v>1.634216177523264</v>
      </c>
      <c r="R706" s="36" t="n">
        <v>0.2302549101546176</v>
      </c>
      <c r="S706" s="36" t="n">
        <v>0.3497900122874906</v>
      </c>
      <c r="T706" s="36" t="n">
        <v>0.7722910956017803</v>
      </c>
      <c r="U706" s="31" t="n">
        <v>373500</v>
      </c>
      <c r="V706" s="31" t="n">
        <v>68000</v>
      </c>
      <c r="W706" s="36" t="n">
        <v>-0.01472556894243637</v>
      </c>
      <c r="X706" s="36" t="n">
        <v>4.411764705882353</v>
      </c>
      <c r="Y706" s="31" t="n">
        <v>95312200</v>
      </c>
      <c r="Z706" s="31" t="n">
        <v>35074889600000</v>
      </c>
      <c r="AA706" s="31" t="n">
        <v>947741312000</v>
      </c>
      <c r="AB706" s="31" t="n">
        <v>339343848450</v>
      </c>
      <c r="AC706" s="36" t="n">
        <v>0.02702050734323623</v>
      </c>
      <c r="AD706" s="29" t="inlineStr">
        <is>
          <t>yfinance_download</t>
        </is>
      </c>
      <c r="AE706" s="29" t="inlineStr">
        <is>
          <t>042700.KS</t>
        </is>
      </c>
    </row>
    <row r="707" ht="24" customHeight="1">
      <c r="A707" s="24" t="inlineStr">
        <is>
          <t>2026-05-04</t>
        </is>
      </c>
      <c r="B707" s="30" t="n">
        <v>385000</v>
      </c>
      <c r="C707" s="30" t="n">
        <v>386000</v>
      </c>
      <c r="D707" s="30" t="n">
        <v>372500</v>
      </c>
      <c r="E707" s="30" t="n">
        <v>378000</v>
      </c>
      <c r="F707" s="30" t="n">
        <v>378000</v>
      </c>
      <c r="G707" s="30" t="n">
        <v>1064176</v>
      </c>
      <c r="H707" s="35" t="n">
        <v>0.02717391304347827</v>
      </c>
      <c r="I707" s="35" t="n">
        <v>0</v>
      </c>
      <c r="J707" s="30" t="n">
        <v>305025</v>
      </c>
      <c r="K707" s="30" t="n">
        <v>275816.6666666667</v>
      </c>
      <c r="L707" s="30" t="n">
        <v>209681.6666666667</v>
      </c>
      <c r="M707" s="35" t="n">
        <v>1.036876181332354</v>
      </c>
      <c r="N707" s="35" t="n">
        <v>1.173860132753066</v>
      </c>
      <c r="O707" s="35" t="n">
        <v>0.4538461538461538</v>
      </c>
      <c r="P707" s="35" t="n">
        <v>1.020309994655265</v>
      </c>
      <c r="Q707" s="35" t="n">
        <v>1.839969947407964</v>
      </c>
      <c r="R707" s="35" t="n">
        <v>0.2392426850258176</v>
      </c>
      <c r="S707" s="35" t="n">
        <v>0.3704755574354945</v>
      </c>
      <c r="T707" s="35" t="n">
        <v>0.802732713875796</v>
      </c>
      <c r="U707" s="30" t="n">
        <v>378000</v>
      </c>
      <c r="V707" s="30" t="n">
        <v>73200</v>
      </c>
      <c r="W707" s="35" t="n">
        <v>0</v>
      </c>
      <c r="X707" s="35" t="n">
        <v>4.163934426229508</v>
      </c>
      <c r="Y707" s="30" t="n">
        <v>95312200</v>
      </c>
      <c r="Z707" s="30" t="n">
        <v>36028011600000</v>
      </c>
      <c r="AA707" s="30" t="n">
        <v>402258528000</v>
      </c>
      <c r="AB707" s="30" t="n">
        <v>352581620850</v>
      </c>
      <c r="AC707" s="35" t="n">
        <v>0.01116516038870155</v>
      </c>
      <c r="AD707" s="24" t="inlineStr">
        <is>
          <t>yfinance_download</t>
        </is>
      </c>
      <c r="AE707" s="24" t="inlineStr">
        <is>
          <t>042700.KS</t>
        </is>
      </c>
    </row>
    <row r="708" ht="24" customHeight="1">
      <c r="A708" s="29" t="inlineStr">
        <is>
          <t>2026-05-06</t>
        </is>
      </c>
      <c r="B708" s="31" t="n">
        <v>395500</v>
      </c>
      <c r="C708" s="31" t="n">
        <v>397500</v>
      </c>
      <c r="D708" s="31" t="n">
        <v>378500</v>
      </c>
      <c r="E708" s="31" t="n">
        <v>394500</v>
      </c>
      <c r="F708" s="31" t="n">
        <v>394500</v>
      </c>
      <c r="G708" s="31" t="n">
        <v>1441060</v>
      </c>
      <c r="H708" s="36" t="n">
        <v>0.04365079365079372</v>
      </c>
      <c r="I708" s="36" t="n">
        <v>0</v>
      </c>
      <c r="J708" s="31" t="n">
        <v>312150</v>
      </c>
      <c r="K708" s="31" t="n">
        <v>279070</v>
      </c>
      <c r="L708" s="31" t="n">
        <v>211894.1666666667</v>
      </c>
      <c r="M708" s="36" t="n">
        <v>1.021440069504608</v>
      </c>
      <c r="N708" s="36" t="n">
        <v>1.170690837446271</v>
      </c>
      <c r="O708" s="36" t="n">
        <v>0.5654761904761905</v>
      </c>
      <c r="P708" s="36" t="n">
        <v>0.9794279979929754</v>
      </c>
      <c r="Q708" s="36" t="n">
        <v>2.058139534883721</v>
      </c>
      <c r="R708" s="36" t="n">
        <v>0.2638154733301297</v>
      </c>
      <c r="S708" s="36" t="n">
        <v>0.4136238219801482</v>
      </c>
      <c r="T708" s="36" t="n">
        <v>0.8617784821825363</v>
      </c>
      <c r="U708" s="31" t="n">
        <v>394500</v>
      </c>
      <c r="V708" s="31" t="n">
        <v>74900</v>
      </c>
      <c r="W708" s="36" t="n">
        <v>0</v>
      </c>
      <c r="X708" s="36" t="n">
        <v>4.267022696929239</v>
      </c>
      <c r="Y708" s="31" t="n">
        <v>95312200</v>
      </c>
      <c r="Z708" s="31" t="n">
        <v>37600662900000</v>
      </c>
      <c r="AA708" s="31" t="n">
        <v>568498170000</v>
      </c>
      <c r="AB708" s="31" t="n">
        <v>373732020150</v>
      </c>
      <c r="AC708" s="36" t="n">
        <v>0.01511936562160983</v>
      </c>
      <c r="AD708" s="29" t="inlineStr">
        <is>
          <t>yfinance_download</t>
        </is>
      </c>
      <c r="AE708" s="29" t="inlineStr">
        <is>
          <t>042700.KS</t>
        </is>
      </c>
    </row>
    <row r="709" ht="24" customHeight="1">
      <c r="A709" s="24" t="inlineStr">
        <is>
          <t>2026-05-07</t>
        </is>
      </c>
      <c r="B709" s="30" t="n">
        <v>398000</v>
      </c>
      <c r="C709" s="30" t="n">
        <v>413000</v>
      </c>
      <c r="D709" s="30" t="n">
        <v>371000</v>
      </c>
      <c r="E709" s="30" t="n">
        <v>393000</v>
      </c>
      <c r="F709" s="30" t="n">
        <v>393000</v>
      </c>
      <c r="G709" s="30" t="n">
        <v>1232988</v>
      </c>
      <c r="H709" s="35" t="n">
        <v>-0.003802281368821325</v>
      </c>
      <c r="I709" s="35" t="n">
        <v>-0.003802281368821325</v>
      </c>
      <c r="J709" s="30" t="n">
        <v>319125</v>
      </c>
      <c r="K709" s="30" t="n">
        <v>282245</v>
      </c>
      <c r="L709" s="30" t="n">
        <v>214109.1666666667</v>
      </c>
      <c r="M709" s="35" t="n">
        <v>1.024358887939842</v>
      </c>
      <c r="N709" s="35" t="n">
        <v>1.171241440784884</v>
      </c>
      <c r="O709" s="35" t="n">
        <v>0.5502958579881656</v>
      </c>
      <c r="P709" s="35" t="n">
        <v>0.9407407407407407</v>
      </c>
      <c r="Q709" s="35" t="n">
        <v>2.089622641509434</v>
      </c>
      <c r="R709" s="35" t="n">
        <v>0.2314923619271445</v>
      </c>
      <c r="S709" s="35" t="n">
        <v>0.3924073057095785</v>
      </c>
      <c r="T709" s="35" t="n">
        <v>0.8355122581549133</v>
      </c>
      <c r="U709" s="30" t="n">
        <v>394500</v>
      </c>
      <c r="V709" s="30" t="n">
        <v>74900</v>
      </c>
      <c r="W709" s="35" t="n">
        <v>-0.003802281368821325</v>
      </c>
      <c r="X709" s="35" t="n">
        <v>4.246995994659546</v>
      </c>
      <c r="Y709" s="30" t="n">
        <v>95312200</v>
      </c>
      <c r="Z709" s="30" t="n">
        <v>37457694600000</v>
      </c>
      <c r="AA709" s="30" t="n">
        <v>484564284000</v>
      </c>
      <c r="AB709" s="30" t="n">
        <v>390616833675</v>
      </c>
      <c r="AC709" s="35" t="n">
        <v>0.01293630825854403</v>
      </c>
      <c r="AD709" s="24" t="inlineStr">
        <is>
          <t>yfinance_download</t>
        </is>
      </c>
      <c r="AE709" s="24" t="inlineStr">
        <is>
          <t>042700.KS</t>
        </is>
      </c>
    </row>
    <row r="710" ht="24" customHeight="1">
      <c r="A710" s="29" t="inlineStr">
        <is>
          <t>2026-05-08</t>
        </is>
      </c>
      <c r="B710" s="31" t="n">
        <v>385000</v>
      </c>
      <c r="C710" s="31" t="n">
        <v>392000</v>
      </c>
      <c r="D710" s="31" t="n">
        <v>379000</v>
      </c>
      <c r="E710" s="31" t="n">
        <v>390000</v>
      </c>
      <c r="F710" s="31" t="n">
        <v>390000</v>
      </c>
      <c r="G710" s="31" t="n">
        <v>699479</v>
      </c>
      <c r="H710" s="36" t="n">
        <v>-0.007633587786259555</v>
      </c>
      <c r="I710" s="36" t="n">
        <v>-0.01140684410646386</v>
      </c>
      <c r="J710" s="31" t="n">
        <v>324600</v>
      </c>
      <c r="K710" s="31" t="n">
        <v>285520</v>
      </c>
      <c r="L710" s="31" t="n">
        <v>216279.1666666667</v>
      </c>
      <c r="M710" s="36" t="n">
        <v>0.9815160997321511</v>
      </c>
      <c r="N710" s="36" t="n">
        <v>1.165871855841268</v>
      </c>
      <c r="O710" s="36" t="n">
        <v>0.3903743315508021</v>
      </c>
      <c r="P710" s="36" t="n">
        <v>1.015503875968992</v>
      </c>
      <c r="Q710" s="36" t="n">
        <v>2.009259259259259</v>
      </c>
      <c r="R710" s="36" t="n">
        <v>0.201478743068392</v>
      </c>
      <c r="S710" s="36" t="n">
        <v>0.3659288316054918</v>
      </c>
      <c r="T710" s="36" t="n">
        <v>0.8032249985551083</v>
      </c>
      <c r="U710" s="31" t="n">
        <v>394500</v>
      </c>
      <c r="V710" s="31" t="n">
        <v>75900</v>
      </c>
      <c r="W710" s="36" t="n">
        <v>-0.01140684410646386</v>
      </c>
      <c r="X710" s="36" t="n">
        <v>4.138339920948616</v>
      </c>
      <c r="Y710" s="31" t="n">
        <v>95312200</v>
      </c>
      <c r="Z710" s="31" t="n">
        <v>37171758000000</v>
      </c>
      <c r="AA710" s="31" t="n">
        <v>272796810000</v>
      </c>
      <c r="AB710" s="31" t="n">
        <v>389844205500</v>
      </c>
      <c r="AC710" s="36" t="n">
        <v>0.007338819164807863</v>
      </c>
      <c r="AD710" s="29" t="inlineStr">
        <is>
          <t>yfinance_download</t>
        </is>
      </c>
      <c r="AE710" s="29" t="inlineStr">
        <is>
          <t>042700.KS</t>
        </is>
      </c>
    </row>
    <row r="711" ht="24" customHeight="1">
      <c r="A711" s="24" t="inlineStr">
        <is>
          <t>2026-05-11</t>
        </is>
      </c>
      <c r="B711" s="30" t="n">
        <v>392500</v>
      </c>
      <c r="C711" s="30" t="n">
        <v>401500</v>
      </c>
      <c r="D711" s="30" t="n">
        <v>389000</v>
      </c>
      <c r="E711" s="30" t="n">
        <v>400000</v>
      </c>
      <c r="F711" s="30" t="n">
        <v>400000</v>
      </c>
      <c r="G711" s="30" t="n">
        <v>1138423</v>
      </c>
      <c r="H711" s="35" t="n">
        <v>0.02564102564102555</v>
      </c>
      <c r="I711" s="35" t="n">
        <v>0</v>
      </c>
      <c r="J711" s="30" t="n">
        <v>330300</v>
      </c>
      <c r="K711" s="30" t="n">
        <v>288920</v>
      </c>
      <c r="L711" s="30" t="n">
        <v>218531.6666666667</v>
      </c>
      <c r="M711" s="35" t="n">
        <v>0.9818643547733759</v>
      </c>
      <c r="N711" s="35" t="n">
        <v>1.166104766586165</v>
      </c>
      <c r="O711" s="35" t="n">
        <v>0.3986013986013985</v>
      </c>
      <c r="P711" s="35" t="n">
        <v>1.040816326530612</v>
      </c>
      <c r="Q711" s="35" t="n">
        <v>2.084040092521203</v>
      </c>
      <c r="R711" s="35" t="n">
        <v>0.2110202845897668</v>
      </c>
      <c r="S711" s="35" t="n">
        <v>0.3844662882458811</v>
      </c>
      <c r="T711" s="35" t="n">
        <v>0.830398340438838</v>
      </c>
      <c r="U711" s="30" t="n">
        <v>400000</v>
      </c>
      <c r="V711" s="30" t="n">
        <v>75900</v>
      </c>
      <c r="W711" s="35" t="n">
        <v>0</v>
      </c>
      <c r="X711" s="35" t="n">
        <v>4.270092226613966</v>
      </c>
      <c r="Y711" s="30" t="n">
        <v>95312200</v>
      </c>
      <c r="Z711" s="30" t="n">
        <v>38124880000000</v>
      </c>
      <c r="AA711" s="30" t="n">
        <v>455369200000</v>
      </c>
      <c r="AB711" s="30" t="n">
        <v>403367529600</v>
      </c>
      <c r="AC711" s="35" t="n">
        <v>0.01194414775862901</v>
      </c>
      <c r="AD711" s="24" t="inlineStr">
        <is>
          <t>yfinance_download</t>
        </is>
      </c>
      <c r="AE711" s="24" t="inlineStr">
        <is>
          <t>042700.KS</t>
        </is>
      </c>
    </row>
    <row r="712" ht="24" customHeight="1">
      <c r="A712" s="29" t="inlineStr">
        <is>
          <t>2026-05-12</t>
        </is>
      </c>
      <c r="B712" s="31" t="n">
        <v>397500</v>
      </c>
      <c r="C712" s="31" t="n">
        <v>426000</v>
      </c>
      <c r="D712" s="31" t="n">
        <v>358000</v>
      </c>
      <c r="E712" s="31" t="n">
        <v>377500</v>
      </c>
      <c r="F712" s="31" t="n">
        <v>377500</v>
      </c>
      <c r="G712" s="31" t="n">
        <v>2277368</v>
      </c>
      <c r="H712" s="36" t="n">
        <v>-0.05625000000000002</v>
      </c>
      <c r="I712" s="36" t="n">
        <v>-0.05625000000000002</v>
      </c>
      <c r="J712" s="31" t="n">
        <v>334875</v>
      </c>
      <c r="K712" s="31" t="n">
        <v>291915</v>
      </c>
      <c r="L712" s="31" t="n">
        <v>220585</v>
      </c>
      <c r="M712" s="36" t="n">
        <v>1.015644092640865</v>
      </c>
      <c r="N712" s="36" t="n">
        <v>1.175028546100625</v>
      </c>
      <c r="O712" s="36" t="n">
        <v>0.31993006993007</v>
      </c>
      <c r="P712" s="36" t="n">
        <v>0.9084934277047523</v>
      </c>
      <c r="Q712" s="36" t="n">
        <v>1.879481311975591</v>
      </c>
      <c r="R712" s="36" t="n">
        <v>0.1272863008585292</v>
      </c>
      <c r="S712" s="36" t="n">
        <v>0.2931846599181269</v>
      </c>
      <c r="T712" s="36" t="n">
        <v>0.7113584332570211</v>
      </c>
      <c r="U712" s="31" t="n">
        <v>400000</v>
      </c>
      <c r="V712" s="31" t="n">
        <v>75900</v>
      </c>
      <c r="W712" s="36" t="n">
        <v>-0.05625000000000002</v>
      </c>
      <c r="X712" s="36" t="n">
        <v>3.97364953886693</v>
      </c>
      <c r="Y712" s="31" t="n">
        <v>95312200</v>
      </c>
      <c r="Z712" s="31" t="n">
        <v>35980355500000</v>
      </c>
      <c r="AA712" s="31" t="n">
        <v>859706420000</v>
      </c>
      <c r="AB712" s="31" t="n">
        <v>430806891600</v>
      </c>
      <c r="AC712" s="36" t="n">
        <v>0.02389377225580776</v>
      </c>
      <c r="AD712" s="29" t="inlineStr">
        <is>
          <t>yfinance_download</t>
        </is>
      </c>
      <c r="AE712" s="29" t="inlineStr">
        <is>
          <t>042700.KS</t>
        </is>
      </c>
    </row>
    <row r="713" ht="24" customHeight="1">
      <c r="A713" s="24" t="inlineStr">
        <is>
          <t>2026-05-13</t>
        </is>
      </c>
      <c r="B713" s="30" t="n">
        <v>371000</v>
      </c>
      <c r="C713" s="30" t="n">
        <v>400500</v>
      </c>
      <c r="D713" s="30" t="n">
        <v>365500</v>
      </c>
      <c r="E713" s="30" t="n">
        <v>400500</v>
      </c>
      <c r="F713" s="30" t="n">
        <v>400500</v>
      </c>
      <c r="G713" s="30" t="n">
        <v>1015741</v>
      </c>
      <c r="H713" s="35" t="n">
        <v>0.06092715231788071</v>
      </c>
      <c r="I713" s="35" t="n">
        <v>0</v>
      </c>
      <c r="J713" s="30" t="n">
        <v>341075</v>
      </c>
      <c r="K713" s="30" t="n">
        <v>295341.6666666667</v>
      </c>
      <c r="L713" s="30" t="n">
        <v>222810</v>
      </c>
      <c r="M713" s="35" t="n">
        <v>1.010481313067338</v>
      </c>
      <c r="N713" s="35" t="n">
        <v>1.177555083439647</v>
      </c>
      <c r="O713" s="35" t="n">
        <v>0.4484629294755877</v>
      </c>
      <c r="P713" s="35" t="n">
        <v>1.054899948691637</v>
      </c>
      <c r="Q713" s="35" t="n">
        <v>2</v>
      </c>
      <c r="R713" s="35" t="n">
        <v>0.1742285421095067</v>
      </c>
      <c r="S713" s="35" t="n">
        <v>0.3560565446798905</v>
      </c>
      <c r="T713" s="35" t="n">
        <v>0.7974956240743234</v>
      </c>
      <c r="U713" s="30" t="n">
        <v>400500</v>
      </c>
      <c r="V713" s="30" t="n">
        <v>75900</v>
      </c>
      <c r="W713" s="35" t="n">
        <v>0</v>
      </c>
      <c r="X713" s="35" t="n">
        <v>4.276679841897233</v>
      </c>
      <c r="Y713" s="30" t="n">
        <v>95312200</v>
      </c>
      <c r="Z713" s="30" t="n">
        <v>38172536100000</v>
      </c>
      <c r="AA713" s="30" t="n">
        <v>406804270500</v>
      </c>
      <c r="AB713" s="30" t="n">
        <v>445793014425</v>
      </c>
      <c r="AC713" s="35" t="n">
        <v>0.01065698829740579</v>
      </c>
      <c r="AD713" s="24" t="inlineStr">
        <is>
          <t>yfinance_download</t>
        </is>
      </c>
      <c r="AE713" s="24" t="inlineStr">
        <is>
          <t>042700.KS</t>
        </is>
      </c>
    </row>
    <row r="714" ht="24" customHeight="1">
      <c r="A714" s="29" t="inlineStr">
        <is>
          <t>2026-05-14</t>
        </is>
      </c>
      <c r="B714" s="31" t="n">
        <v>393000</v>
      </c>
      <c r="C714" s="31" t="n">
        <v>409500</v>
      </c>
      <c r="D714" s="31" t="n">
        <v>385000</v>
      </c>
      <c r="E714" s="31" t="n">
        <v>409500</v>
      </c>
      <c r="F714" s="31" t="n">
        <v>409500</v>
      </c>
      <c r="G714" s="31" t="n">
        <v>1085030</v>
      </c>
      <c r="H714" s="36" t="n">
        <v>0.02247191011235961</v>
      </c>
      <c r="I714" s="36" t="n">
        <v>0</v>
      </c>
      <c r="J714" s="31" t="n">
        <v>347350</v>
      </c>
      <c r="K714" s="31" t="n">
        <v>298991.6666666667</v>
      </c>
      <c r="L714" s="31" t="n">
        <v>225175.8333333333</v>
      </c>
      <c r="M714" s="36" t="n">
        <v>1.010205404941149</v>
      </c>
      <c r="N714" s="36" t="n">
        <v>1.175104083355349</v>
      </c>
      <c r="O714" s="36" t="n">
        <v>0.4419014084507042</v>
      </c>
      <c r="P714" s="36" t="n">
        <v>1.149606299212599</v>
      </c>
      <c r="Q714" s="36" t="n">
        <v>2.260350318471338</v>
      </c>
      <c r="R714" s="36" t="n">
        <v>0.1789261551748957</v>
      </c>
      <c r="S714" s="36" t="n">
        <v>0.3696033891691517</v>
      </c>
      <c r="T714" s="36" t="n">
        <v>0.8185788143339834</v>
      </c>
      <c r="U714" s="31" t="n">
        <v>409500</v>
      </c>
      <c r="V714" s="31" t="n">
        <v>76100</v>
      </c>
      <c r="W714" s="36" t="n">
        <v>0</v>
      </c>
      <c r="X714" s="36" t="n">
        <v>4.38107752956636</v>
      </c>
      <c r="Y714" s="31" t="n">
        <v>95312200</v>
      </c>
      <c r="Z714" s="31" t="n">
        <v>39030345900000</v>
      </c>
      <c r="AA714" s="31" t="n">
        <v>444319785000</v>
      </c>
      <c r="AB714" s="31" t="n">
        <v>460085034475</v>
      </c>
      <c r="AC714" s="36" t="n">
        <v>0.01138395714294707</v>
      </c>
      <c r="AD714" s="29" t="inlineStr">
        <is>
          <t>yfinance_download</t>
        </is>
      </c>
      <c r="AE714" s="29" t="inlineStr">
        <is>
          <t>042700.KS</t>
        </is>
      </c>
    </row>
    <row r="715" ht="24" customHeight="1">
      <c r="A715" s="24" t="inlineStr">
        <is>
          <t>2026-05-15</t>
        </is>
      </c>
      <c r="B715" s="30" t="n">
        <v>405000</v>
      </c>
      <c r="C715" s="30" t="n">
        <v>406000</v>
      </c>
      <c r="D715" s="30" t="n">
        <v>365000</v>
      </c>
      <c r="E715" s="30" t="n">
        <v>369000</v>
      </c>
      <c r="F715" s="30" t="n">
        <v>369000</v>
      </c>
      <c r="G715" s="30" t="n">
        <v>1042610</v>
      </c>
      <c r="H715" s="35" t="n">
        <v>-0.09890109890109888</v>
      </c>
      <c r="I715" s="35" t="n">
        <v>-0.09890109890109888</v>
      </c>
      <c r="J715" s="30" t="n">
        <v>351050</v>
      </c>
      <c r="K715" s="30" t="n">
        <v>301650</v>
      </c>
      <c r="L715" s="30" t="n">
        <v>227148.3333333333</v>
      </c>
      <c r="M715" s="35" t="n">
        <v>1.091516410891555</v>
      </c>
      <c r="N715" s="35" t="n">
        <v>1.184621055293159</v>
      </c>
      <c r="O715" s="35" t="n">
        <v>0.2508474576271187</v>
      </c>
      <c r="P715" s="35" t="n">
        <v>0.7613365155131264</v>
      </c>
      <c r="Q715" s="35" t="n">
        <v>1.789115646258503</v>
      </c>
      <c r="R715" s="35" t="n">
        <v>0.05113231733371304</v>
      </c>
      <c r="S715" s="35" t="n">
        <v>0.2232720039781204</v>
      </c>
      <c r="T715" s="35" t="n">
        <v>0.6244891370543477</v>
      </c>
      <c r="U715" s="30" t="n">
        <v>409500</v>
      </c>
      <c r="V715" s="30" t="n">
        <v>76100</v>
      </c>
      <c r="W715" s="35" t="n">
        <v>-0.09890109890109888</v>
      </c>
      <c r="X715" s="35" t="n">
        <v>3.848883048620237</v>
      </c>
      <c r="Y715" s="30" t="n">
        <v>95312200</v>
      </c>
      <c r="Z715" s="30" t="n">
        <v>35170201800000</v>
      </c>
      <c r="AA715" s="30" t="n">
        <v>384723090000</v>
      </c>
      <c r="AB715" s="30" t="n">
        <v>466068667975</v>
      </c>
      <c r="AC715" s="35" t="n">
        <v>0.01093889344700888</v>
      </c>
      <c r="AD715" s="24" t="inlineStr">
        <is>
          <t>yfinance_download</t>
        </is>
      </c>
      <c r="AE715" s="24" t="inlineStr">
        <is>
          <t>042700.KS</t>
        </is>
      </c>
    </row>
    <row r="716" ht="24" customHeight="1">
      <c r="A716" s="29" t="inlineStr">
        <is>
          <t>2026-05-18</t>
        </is>
      </c>
      <c r="B716" s="31" t="n">
        <v>337000</v>
      </c>
      <c r="C716" s="31" t="n">
        <v>338000</v>
      </c>
      <c r="D716" s="31" t="n">
        <v>296500</v>
      </c>
      <c r="E716" s="31" t="n">
        <v>317000</v>
      </c>
      <c r="F716" s="31" t="n">
        <v>317000</v>
      </c>
      <c r="G716" s="31" t="n">
        <v>2398380</v>
      </c>
      <c r="H716" s="36" t="n">
        <v>-0.1409214092140921</v>
      </c>
      <c r="I716" s="36" t="n">
        <v>-0.2258852258852259</v>
      </c>
      <c r="J716" s="31" t="n">
        <v>352300</v>
      </c>
      <c r="K716" s="31" t="n">
        <v>303558.3333333333</v>
      </c>
      <c r="L716" s="31" t="n">
        <v>228775.8333333333</v>
      </c>
      <c r="M716" s="36" t="n">
        <v>1.219902020345724</v>
      </c>
      <c r="N716" s="36" t="n">
        <v>1.222119094377492</v>
      </c>
      <c r="O716" s="36" t="n">
        <v>0.08561643835616439</v>
      </c>
      <c r="P716" s="36" t="n">
        <v>0.565432098765432</v>
      </c>
      <c r="Q716" s="36" t="n">
        <v>1.604765817584223</v>
      </c>
      <c r="R716" s="36" t="n">
        <v>-0.1001986942946352</v>
      </c>
      <c r="S716" s="36" t="n">
        <v>0.04428034150492777</v>
      </c>
      <c r="T716" s="36" t="n">
        <v>0.3856358662591839</v>
      </c>
      <c r="U716" s="31" t="n">
        <v>409500</v>
      </c>
      <c r="V716" s="31" t="n">
        <v>76300</v>
      </c>
      <c r="W716" s="36" t="n">
        <v>-0.2258852258852259</v>
      </c>
      <c r="X716" s="36" t="n">
        <v>3.154652686762779</v>
      </c>
      <c r="Y716" s="31" t="n">
        <v>95312200</v>
      </c>
      <c r="Z716" s="31" t="n">
        <v>30213967400000</v>
      </c>
      <c r="AA716" s="31" t="n">
        <v>760286460000</v>
      </c>
      <c r="AB716" s="31" t="n">
        <v>497384598575</v>
      </c>
      <c r="AC716" s="36" t="n">
        <v>0.02516341035040635</v>
      </c>
      <c r="AD716" s="29" t="inlineStr">
        <is>
          <t>yfinance_download</t>
        </is>
      </c>
      <c r="AE716" s="29" t="inlineStr">
        <is>
          <t>042700.KS</t>
        </is>
      </c>
    </row>
    <row r="717" ht="24" customHeight="1">
      <c r="A717" s="24" t="inlineStr">
        <is>
          <t>2026-05-19</t>
        </is>
      </c>
      <c r="B717" s="30" t="n">
        <v>303000</v>
      </c>
      <c r="C717" s="30" t="n">
        <v>305500</v>
      </c>
      <c r="D717" s="30" t="n">
        <v>277000</v>
      </c>
      <c r="E717" s="30" t="n">
        <v>288000</v>
      </c>
      <c r="F717" s="30" t="n">
        <v>288000</v>
      </c>
      <c r="G717" s="30" t="n">
        <v>1365281</v>
      </c>
      <c r="H717" s="35" t="n">
        <v>-0.09148264984227128</v>
      </c>
      <c r="I717" s="35" t="n">
        <v>-0.2967032967032966</v>
      </c>
      <c r="J717" s="30" t="n">
        <v>352375</v>
      </c>
      <c r="K717" s="30" t="n">
        <v>305000</v>
      </c>
      <c r="L717" s="30" t="n">
        <v>230170</v>
      </c>
      <c r="M717" s="35" t="n">
        <v>1.266473469625791</v>
      </c>
      <c r="N717" s="35" t="n">
        <v>1.239446968580364</v>
      </c>
      <c r="O717" s="35" t="n">
        <v>0.005235602094240788</v>
      </c>
      <c r="P717" s="35" t="n">
        <v>0.4292803970223324</v>
      </c>
      <c r="Q717" s="35" t="n">
        <v>1.386081193040597</v>
      </c>
      <c r="R717" s="35" t="n">
        <v>-0.1826888967719049</v>
      </c>
      <c r="S717" s="35" t="n">
        <v>-0.05573770491803276</v>
      </c>
      <c r="T717" s="35" t="n">
        <v>0.2512490767693445</v>
      </c>
      <c r="U717" s="30" t="n">
        <v>409500</v>
      </c>
      <c r="V717" s="30" t="n">
        <v>77400</v>
      </c>
      <c r="W717" s="35" t="n">
        <v>-0.2967032967032966</v>
      </c>
      <c r="X717" s="35" t="n">
        <v>2.720930232558139</v>
      </c>
      <c r="Y717" s="30" t="n">
        <v>95312200</v>
      </c>
      <c r="Z717" s="30" t="n">
        <v>27449913600000</v>
      </c>
      <c r="AA717" s="30" t="n">
        <v>393200928000</v>
      </c>
      <c r="AB717" s="30" t="n">
        <v>511899692300</v>
      </c>
      <c r="AC717" s="35" t="n">
        <v>0.01432430475846744</v>
      </c>
      <c r="AD717" s="24" t="inlineStr">
        <is>
          <t>yfinance_download</t>
        </is>
      </c>
      <c r="AE717" s="24" t="inlineStr">
        <is>
          <t>042700.KS</t>
        </is>
      </c>
    </row>
    <row r="718" ht="24" customHeight="1">
      <c r="A718" s="29" t="inlineStr">
        <is>
          <t>2026-05-20</t>
        </is>
      </c>
      <c r="B718" s="31" t="n">
        <v>295000</v>
      </c>
      <c r="C718" s="31" t="n">
        <v>299500</v>
      </c>
      <c r="D718" s="31" t="n">
        <v>283000</v>
      </c>
      <c r="E718" s="31" t="n">
        <v>291000</v>
      </c>
      <c r="F718" s="31" t="n">
        <v>291000</v>
      </c>
      <c r="G718" s="31" t="n">
        <v>452616</v>
      </c>
      <c r="H718" s="36" t="n">
        <v>0.01041666666666674</v>
      </c>
      <c r="I718" s="36" t="n">
        <v>-0.2893772893772893</v>
      </c>
      <c r="J718" s="31" t="n">
        <v>352575</v>
      </c>
      <c r="K718" s="31" t="n">
        <v>306508.3333333333</v>
      </c>
      <c r="L718" s="31" t="n">
        <v>231565.8333333333</v>
      </c>
      <c r="M718" s="36" t="n">
        <v>1.266723261280759</v>
      </c>
      <c r="N718" s="36" t="n">
        <v>1.239120206537226</v>
      </c>
      <c r="O718" s="36" t="n">
        <v>0.01393728222996526</v>
      </c>
      <c r="P718" s="36" t="n">
        <v>0.4513715710723192</v>
      </c>
      <c r="Q718" s="36" t="n">
        <v>1.356275303643725</v>
      </c>
      <c r="R718" s="36" t="n">
        <v>-0.1746436928313125</v>
      </c>
      <c r="S718" s="36" t="n">
        <v>-0.05059677550909436</v>
      </c>
      <c r="T718" s="36" t="n">
        <v>0.256662072340839</v>
      </c>
      <c r="U718" s="31" t="n">
        <v>409500</v>
      </c>
      <c r="V718" s="31" t="n">
        <v>77400</v>
      </c>
      <c r="W718" s="36" t="n">
        <v>-0.2893772893772893</v>
      </c>
      <c r="X718" s="36" t="n">
        <v>2.75968992248062</v>
      </c>
      <c r="Y718" s="31" t="n">
        <v>95312200</v>
      </c>
      <c r="Z718" s="31" t="n">
        <v>27735850200000</v>
      </c>
      <c r="AA718" s="31" t="n">
        <v>131711256000</v>
      </c>
      <c r="AB718" s="31" t="n">
        <v>513934339150</v>
      </c>
      <c r="AC718" s="36" t="n">
        <v>0.004748772979744461</v>
      </c>
      <c r="AD718" s="29" t="inlineStr">
        <is>
          <t>yfinance_download</t>
        </is>
      </c>
      <c r="AE718" s="29" t="inlineStr">
        <is>
          <t>042700.KS</t>
        </is>
      </c>
    </row>
  </sheetData>
  <autoFilter ref="A18:AE718"/>
  <mergeCells count="4">
    <mergeCell ref="A2:L2"/>
    <mergeCell ref="A17:F17"/>
    <mergeCell ref="A1:L1"/>
    <mergeCell ref="A4:F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K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</cols>
  <sheetData>
    <row r="1" ht="24" customHeight="1">
      <c r="A1" s="22" t="inlineStr">
        <is>
          <t>정규화 재무제표</t>
        </is>
      </c>
    </row>
    <row r="2" ht="24" customHeight="1">
      <c r="A2" s="25" t="inlineStr">
        <is>
          <t>연도</t>
        </is>
      </c>
      <c r="B2" s="25" t="inlineStr">
        <is>
          <t>매출액</t>
        </is>
      </c>
      <c r="C2" s="25" t="inlineStr">
        <is>
          <t>영업이익</t>
        </is>
      </c>
      <c r="D2" s="25" t="inlineStr">
        <is>
          <t>순이익</t>
        </is>
      </c>
      <c r="E2" s="25" t="inlineStr">
        <is>
          <t>자산총계</t>
        </is>
      </c>
      <c r="F2" s="25" t="inlineStr">
        <is>
          <t>부채총계</t>
        </is>
      </c>
      <c r="G2" s="25" t="inlineStr">
        <is>
          <t>자본총계</t>
        </is>
      </c>
      <c r="H2" s="25" t="inlineStr">
        <is>
          <t>현금성자산</t>
        </is>
      </c>
      <c r="I2" s="25" t="inlineStr">
        <is>
          <t>영업현금흐름</t>
        </is>
      </c>
      <c r="J2" s="25" t="inlineStr">
        <is>
          <t>CAPEX</t>
        </is>
      </c>
      <c r="K2" s="25" t="inlineStr">
        <is>
          <t>FCF</t>
        </is>
      </c>
      <c r="L2" s="25" t="inlineStr">
        <is>
          <t>투자현금흐름</t>
        </is>
      </c>
      <c r="M2" s="25" t="inlineStr">
        <is>
          <t>원천계정수</t>
        </is>
      </c>
      <c r="N2" s="25" t="inlineStr">
        <is>
          <t>매출 원천계정</t>
        </is>
      </c>
      <c r="O2" s="25" t="inlineStr">
        <is>
          <t>영업이익 원천계정</t>
        </is>
      </c>
      <c r="P2" s="25" t="inlineStr">
        <is>
          <t>순이익 원천계정</t>
        </is>
      </c>
      <c r="Q2" s="25" t="inlineStr">
        <is>
          <t>자산 원천계정</t>
        </is>
      </c>
      <c r="R2" s="25" t="inlineStr">
        <is>
          <t>부채 원천계정</t>
        </is>
      </c>
      <c r="S2" s="25" t="inlineStr">
        <is>
          <t>자본 원천계정</t>
        </is>
      </c>
      <c r="T2" s="25" t="inlineStr">
        <is>
          <t>영업현금흐름 원천계정</t>
        </is>
      </c>
      <c r="U2" s="25" t="inlineStr">
        <is>
          <t>CAPEX 원천계정</t>
        </is>
      </c>
      <c r="V2" s="25" t="inlineStr">
        <is>
          <t>현금 원천계정</t>
        </is>
      </c>
      <c r="W2" s="25" t="inlineStr">
        <is>
          <t>영업이익률</t>
        </is>
      </c>
      <c r="X2" s="25" t="inlineStr">
        <is>
          <t>순이익률</t>
        </is>
      </c>
      <c r="Y2" s="25" t="inlineStr">
        <is>
          <t>ROE</t>
        </is>
      </c>
      <c r="Z2" s="25" t="inlineStr">
        <is>
          <t>ROA</t>
        </is>
      </c>
      <c r="AA2" s="25" t="inlineStr">
        <is>
          <t>부채/자본</t>
        </is>
      </c>
      <c r="AB2" s="25" t="inlineStr">
        <is>
          <t>부채/자산</t>
        </is>
      </c>
      <c r="AC2" s="25" t="inlineStr">
        <is>
          <t>자본비율</t>
        </is>
      </c>
      <c r="AD2" s="25" t="inlineStr">
        <is>
          <t>현금/자산</t>
        </is>
      </c>
      <c r="AE2" s="25" t="inlineStr">
        <is>
          <t>CFO margin</t>
        </is>
      </c>
      <c r="AF2" s="25" t="inlineStr">
        <is>
          <t>CAPEX/매출</t>
        </is>
      </c>
      <c r="AG2" s="25" t="inlineStr">
        <is>
          <t>FCF margin</t>
        </is>
      </c>
      <c r="AH2" s="25" t="inlineStr">
        <is>
          <t>FCF 전환율</t>
        </is>
      </c>
      <c r="AI2" s="25" t="inlineStr">
        <is>
          <t>매출성장률</t>
        </is>
      </c>
      <c r="AJ2" s="25" t="inlineStr">
        <is>
          <t>영업이익성장률</t>
        </is>
      </c>
      <c r="AK2" s="25" t="inlineStr">
        <is>
          <t>자산성장률</t>
        </is>
      </c>
    </row>
    <row r="3" ht="24" customHeight="1">
      <c r="A3" s="30" t="n">
        <v>2021</v>
      </c>
      <c r="B3" s="30" t="n">
        <v>373169401913</v>
      </c>
      <c r="C3" s="30" t="n">
        <v>122419465500</v>
      </c>
      <c r="D3" s="30" t="n">
        <v>104438304265</v>
      </c>
      <c r="E3" s="30" t="n">
        <v>429285683427</v>
      </c>
      <c r="F3" s="30" t="n">
        <v>82473641150</v>
      </c>
      <c r="G3" s="30" t="n">
        <v>346812042277</v>
      </c>
      <c r="H3" s="30" t="n">
        <v>49608464797</v>
      </c>
      <c r="I3" s="30" t="n">
        <v>52279090690</v>
      </c>
      <c r="J3" s="30" t="n">
        <v>25283707204</v>
      </c>
      <c r="K3" s="30" t="n">
        <v>26995383486</v>
      </c>
      <c r="L3" s="30" t="n">
        <v>-64957521614</v>
      </c>
      <c r="M3" s="30" t="n">
        <v>219</v>
      </c>
      <c r="N3" s="24" t="inlineStr">
        <is>
          <t>매출액</t>
        </is>
      </c>
      <c r="O3" s="24" t="inlineStr">
        <is>
          <t>영업이익</t>
        </is>
      </c>
      <c r="P3" s="24" t="inlineStr">
        <is>
          <t>당기순이익</t>
        </is>
      </c>
      <c r="Q3" s="24" t="inlineStr">
        <is>
          <t>자산총계</t>
        </is>
      </c>
      <c r="R3" s="24" t="inlineStr">
        <is>
          <t>부채총계</t>
        </is>
      </c>
      <c r="S3" s="24" t="inlineStr">
        <is>
          <t>자본총계</t>
        </is>
      </c>
      <c r="T3" s="24" t="inlineStr">
        <is>
          <t>영업활동현금흐름</t>
        </is>
      </c>
      <c r="U3" s="24" t="inlineStr">
        <is>
          <t>유형자산의 취득</t>
        </is>
      </c>
      <c r="V3" s="24" t="inlineStr">
        <is>
          <t>현금및현금성자산</t>
        </is>
      </c>
      <c r="W3" s="35" t="n">
        <v>0.3280533314693916</v>
      </c>
      <c r="X3" s="35" t="n">
        <v>0.2798683486095372</v>
      </c>
      <c r="Y3" s="35" t="n">
        <v>0.3011380561623773</v>
      </c>
      <c r="Z3" s="35" t="n">
        <v>0.2432839209341108</v>
      </c>
      <c r="AA3" s="35" t="n">
        <v>0.2378050099083008</v>
      </c>
      <c r="AB3" s="35" t="n">
        <v>0.1921183126621194</v>
      </c>
      <c r="AC3" s="35" t="n">
        <v>0.8078816873378806</v>
      </c>
      <c r="AD3" s="35" t="n">
        <v>0.1155604920270674</v>
      </c>
      <c r="AE3" s="35" t="n">
        <v>0.1400947945410279</v>
      </c>
      <c r="AF3" s="35" t="n">
        <v>0.06775396662852491</v>
      </c>
      <c r="AG3" s="35" t="n">
        <v>0.072340827912503</v>
      </c>
      <c r="AH3" s="35" t="n">
        <v>0.2205154496937417</v>
      </c>
      <c r="AI3" s="24" t="inlineStr">
        <is>
          <t>해당 없음</t>
        </is>
      </c>
      <c r="AJ3" s="24" t="inlineStr">
        <is>
          <t>해당 없음</t>
        </is>
      </c>
      <c r="AK3" s="24" t="inlineStr">
        <is>
          <t>해당 없음</t>
        </is>
      </c>
    </row>
    <row r="4" ht="24" customHeight="1">
      <c r="A4" s="31" t="n">
        <v>2022</v>
      </c>
      <c r="B4" s="31" t="n">
        <v>327592058714</v>
      </c>
      <c r="C4" s="31" t="n">
        <v>111859422080</v>
      </c>
      <c r="D4" s="31" t="n">
        <v>92259257411</v>
      </c>
      <c r="E4" s="31" t="n">
        <v>455432965985</v>
      </c>
      <c r="F4" s="31" t="n">
        <v>65336210199</v>
      </c>
      <c r="G4" s="31" t="n">
        <v>390096755786</v>
      </c>
      <c r="H4" s="31" t="n">
        <v>90895691895</v>
      </c>
      <c r="I4" s="31" t="n">
        <v>109501808221</v>
      </c>
      <c r="J4" s="31" t="n">
        <v>9090926920</v>
      </c>
      <c r="K4" s="31" t="n">
        <v>100410881301</v>
      </c>
      <c r="L4" s="31" t="n">
        <v>-18079678286</v>
      </c>
      <c r="M4" s="31" t="n">
        <v>223</v>
      </c>
      <c r="N4" s="29" t="inlineStr">
        <is>
          <t>매출액</t>
        </is>
      </c>
      <c r="O4" s="29" t="inlineStr">
        <is>
          <t>영업이익</t>
        </is>
      </c>
      <c r="P4" s="29" t="inlineStr">
        <is>
          <t>당기순이익</t>
        </is>
      </c>
      <c r="Q4" s="29" t="inlineStr">
        <is>
          <t>자산총계</t>
        </is>
      </c>
      <c r="R4" s="29" t="inlineStr">
        <is>
          <t>부채총계</t>
        </is>
      </c>
      <c r="S4" s="29" t="inlineStr">
        <is>
          <t>자본총계</t>
        </is>
      </c>
      <c r="T4" s="29" t="inlineStr">
        <is>
          <t>영업활동현금흐름</t>
        </is>
      </c>
      <c r="U4" s="29" t="inlineStr">
        <is>
          <t>유형자산의 취득</t>
        </is>
      </c>
      <c r="V4" s="29" t="inlineStr">
        <is>
          <t>현금및현금성자산</t>
        </is>
      </c>
      <c r="W4" s="36" t="n">
        <v>0.3414595046019031</v>
      </c>
      <c r="X4" s="36" t="n">
        <v>0.2816284917686169</v>
      </c>
      <c r="Y4" s="36" t="n">
        <v>0.236503523914492</v>
      </c>
      <c r="Z4" s="36" t="n">
        <v>0.2025748338429209</v>
      </c>
      <c r="AA4" s="36" t="n">
        <v>0.1674871919079539</v>
      </c>
      <c r="AB4" s="36" t="n">
        <v>0.1434595540480745</v>
      </c>
      <c r="AC4" s="36" t="n">
        <v>0.8565404459519255</v>
      </c>
      <c r="AD4" s="36" t="n">
        <v>0.199580835564709</v>
      </c>
      <c r="AE4" s="36" t="n">
        <v>0.3342627066445439</v>
      </c>
      <c r="AF4" s="36" t="n">
        <v>0.02775075487387414</v>
      </c>
      <c r="AG4" s="36" t="n">
        <v>0.3065119517706698</v>
      </c>
      <c r="AH4" s="36" t="n">
        <v>0.8976524233174368</v>
      </c>
      <c r="AI4" s="36" t="n">
        <v>-0.1221357993590959</v>
      </c>
      <c r="AJ4" s="36" t="n">
        <v>-0.08626114627170955</v>
      </c>
      <c r="AK4" s="36" t="n">
        <v>0.06090881566155537</v>
      </c>
    </row>
    <row r="5" ht="24" customHeight="1">
      <c r="A5" s="30" t="n">
        <v>2023</v>
      </c>
      <c r="B5" s="30" t="n">
        <v>159008528366</v>
      </c>
      <c r="C5" s="30" t="n">
        <v>34571410992</v>
      </c>
      <c r="D5" s="30" t="n">
        <v>267167515858</v>
      </c>
      <c r="E5" s="30" t="n">
        <v>723839103741</v>
      </c>
      <c r="F5" s="30" t="n">
        <v>151940478614</v>
      </c>
      <c r="G5" s="30" t="n">
        <v>571898625127</v>
      </c>
      <c r="H5" s="30" t="n">
        <v>179732421459</v>
      </c>
      <c r="I5" s="30" t="n">
        <v>44990807438</v>
      </c>
      <c r="J5" s="30" t="n">
        <v>83934608</v>
      </c>
      <c r="K5" s="30" t="n">
        <v>44906872830</v>
      </c>
      <c r="L5" s="30" t="n">
        <v>84636164574</v>
      </c>
      <c r="M5" s="30" t="n">
        <v>226</v>
      </c>
      <c r="N5" s="24" t="inlineStr">
        <is>
          <t>매출액</t>
        </is>
      </c>
      <c r="O5" s="24" t="inlineStr">
        <is>
          <t>영업이익</t>
        </is>
      </c>
      <c r="P5" s="24" t="inlineStr">
        <is>
          <t>당기순이익</t>
        </is>
      </c>
      <c r="Q5" s="24" t="inlineStr">
        <is>
          <t>자산총계</t>
        </is>
      </c>
      <c r="R5" s="24" t="inlineStr">
        <is>
          <t>부채총계</t>
        </is>
      </c>
      <c r="S5" s="24" t="inlineStr">
        <is>
          <t>자본총계</t>
        </is>
      </c>
      <c r="T5" s="24" t="inlineStr">
        <is>
          <t>영업활동현금흐름</t>
        </is>
      </c>
      <c r="U5" s="24" t="inlineStr">
        <is>
          <t>무형자산의 취득</t>
        </is>
      </c>
      <c r="V5" s="24" t="inlineStr">
        <is>
          <t>현금및현금성자산</t>
        </is>
      </c>
      <c r="W5" s="35" t="n">
        <v>0.217418596016591</v>
      </c>
      <c r="X5" s="35" t="n">
        <v>1.680208719642028</v>
      </c>
      <c r="Y5" s="35" t="n">
        <v>0.4671588706803952</v>
      </c>
      <c r="Z5" s="35" t="n">
        <v>0.3690979314010595</v>
      </c>
      <c r="AA5" s="35" t="n">
        <v>0.265677293034686</v>
      </c>
      <c r="AB5" s="35" t="n">
        <v>0.2099091881451689</v>
      </c>
      <c r="AC5" s="35" t="n">
        <v>0.7900908118548311</v>
      </c>
      <c r="AD5" s="35" t="n">
        <v>0.2483043821894856</v>
      </c>
      <c r="AE5" s="35" t="n">
        <v>0.2829458765535004</v>
      </c>
      <c r="AF5" s="35" t="n">
        <v>0.0005278623031262978</v>
      </c>
      <c r="AG5" s="35" t="n">
        <v>0.2824180142503741</v>
      </c>
      <c r="AH5" s="35" t="n">
        <v>1.298959791961968</v>
      </c>
      <c r="AI5" s="35" t="n">
        <v>-0.514614215649164</v>
      </c>
      <c r="AJ5" s="35" t="n">
        <v>-0.6909387662733042</v>
      </c>
      <c r="AK5" s="35" t="n">
        <v>0.5893427964211975</v>
      </c>
    </row>
    <row r="6" ht="24" customHeight="1">
      <c r="A6" s="31" t="n">
        <v>2024</v>
      </c>
      <c r="B6" s="31" t="n">
        <v>558917191547</v>
      </c>
      <c r="C6" s="31" t="n">
        <v>255391604854</v>
      </c>
      <c r="D6" s="31" t="n">
        <v>152614498001</v>
      </c>
      <c r="E6" s="31" t="n">
        <v>710872366678</v>
      </c>
      <c r="F6" s="31" t="n">
        <v>169984503289</v>
      </c>
      <c r="G6" s="31" t="n">
        <v>540887863389</v>
      </c>
      <c r="H6" s="31" t="n">
        <v>103966003566</v>
      </c>
      <c r="I6" s="31" t="n">
        <v>141363819580</v>
      </c>
      <c r="J6" s="31" t="n">
        <v>249917598</v>
      </c>
      <c r="K6" s="31" t="n">
        <v>141113901982</v>
      </c>
      <c r="L6" s="31" t="n">
        <v>9424530414</v>
      </c>
      <c r="M6" s="31" t="n">
        <v>202</v>
      </c>
      <c r="N6" s="29" t="inlineStr">
        <is>
          <t>수익(매출액)</t>
        </is>
      </c>
      <c r="O6" s="29" t="inlineStr">
        <is>
          <t>영업이익(손실)</t>
        </is>
      </c>
      <c r="P6" s="29" t="inlineStr">
        <is>
          <t>당기순이익(손실)</t>
        </is>
      </c>
      <c r="Q6" s="29" t="inlineStr">
        <is>
          <t>자산총계</t>
        </is>
      </c>
      <c r="R6" s="29" t="inlineStr">
        <is>
          <t>부채총계</t>
        </is>
      </c>
      <c r="S6" s="29" t="inlineStr">
        <is>
          <t>자본총계</t>
        </is>
      </c>
      <c r="T6" s="29" t="inlineStr">
        <is>
          <t>영업활동현금흐름</t>
        </is>
      </c>
      <c r="U6" s="29" t="inlineStr">
        <is>
          <t>무형자산의 취득</t>
        </is>
      </c>
      <c r="V6" s="29" t="inlineStr">
        <is>
          <t>현금및현금성자산</t>
        </is>
      </c>
      <c r="W6" s="36" t="n">
        <v>0.4569399702075971</v>
      </c>
      <c r="X6" s="36" t="n">
        <v>0.2730538625562504</v>
      </c>
      <c r="Y6" s="36" t="n">
        <v>0.2821555230409034</v>
      </c>
      <c r="Z6" s="36" t="n">
        <v>0.2146862153528173</v>
      </c>
      <c r="AA6" s="36" t="n">
        <v>0.31426939814094</v>
      </c>
      <c r="AB6" s="36" t="n">
        <v>0.239120988882097</v>
      </c>
      <c r="AC6" s="36" t="n">
        <v>0.760879011117903</v>
      </c>
      <c r="AD6" s="36" t="n">
        <v>0.146251294099174</v>
      </c>
      <c r="AE6" s="36" t="n">
        <v>0.252924443402297</v>
      </c>
      <c r="AF6" s="36" t="n">
        <v>0.0004471460205191848</v>
      </c>
      <c r="AG6" s="36" t="n">
        <v>0.2524772973817778</v>
      </c>
      <c r="AH6" s="36" t="n">
        <v>0.5525393133524132</v>
      </c>
      <c r="AI6" s="36" t="n">
        <v>2.515013925922922</v>
      </c>
      <c r="AJ6" s="36" t="n">
        <v>6.387364227427654</v>
      </c>
      <c r="AK6" s="36" t="n">
        <v>-0.01791383885726028</v>
      </c>
    </row>
    <row r="7" ht="24" customHeight="1">
      <c r="A7" s="30" t="n">
        <v>2025</v>
      </c>
      <c r="B7" s="30" t="n">
        <v>576684619527</v>
      </c>
      <c r="C7" s="30" t="n">
        <v>251390142142</v>
      </c>
      <c r="D7" s="30" t="n">
        <v>214007548411</v>
      </c>
      <c r="E7" s="30" t="n">
        <v>813331626120</v>
      </c>
      <c r="F7" s="30" t="n">
        <v>123004106583</v>
      </c>
      <c r="G7" s="30" t="n">
        <v>690327519537</v>
      </c>
      <c r="H7" s="30" t="n">
        <v>276235377529</v>
      </c>
      <c r="I7" s="30" t="n">
        <v>228626759780</v>
      </c>
      <c r="J7" s="30" t="n">
        <v>19113861717</v>
      </c>
      <c r="K7" s="30" t="n">
        <v>209512898063</v>
      </c>
      <c r="L7" s="30" t="n">
        <v>18323837100</v>
      </c>
      <c r="M7" s="30" t="n">
        <v>244</v>
      </c>
      <c r="N7" s="24" t="inlineStr">
        <is>
          <t>수익(매출액)</t>
        </is>
      </c>
      <c r="O7" s="24" t="inlineStr">
        <is>
          <t>영업이익(손실)</t>
        </is>
      </c>
      <c r="P7" s="24" t="inlineStr">
        <is>
          <t>당기순이익(손실)</t>
        </is>
      </c>
      <c r="Q7" s="24" t="inlineStr">
        <is>
          <t>자산총계</t>
        </is>
      </c>
      <c r="R7" s="24" t="inlineStr">
        <is>
          <t>부채총계</t>
        </is>
      </c>
      <c r="S7" s="24" t="inlineStr">
        <is>
          <t>자본총계</t>
        </is>
      </c>
      <c r="T7" s="24" t="inlineStr">
        <is>
          <t>영업활동현금흐름</t>
        </is>
      </c>
      <c r="U7" s="24" t="inlineStr">
        <is>
          <t>무형자산의 취득</t>
        </is>
      </c>
      <c r="V7" s="24" t="inlineStr">
        <is>
          <t>현금및현금성자산</t>
        </is>
      </c>
      <c r="W7" s="35" t="n">
        <v>0.4359230914606178</v>
      </c>
      <c r="X7" s="35" t="n">
        <v>0.3710998024995538</v>
      </c>
      <c r="Y7" s="35" t="n">
        <v>0.3100087166661616</v>
      </c>
      <c r="Z7" s="35" t="n">
        <v>0.263124587238693</v>
      </c>
      <c r="AA7" s="35" t="n">
        <v>0.1781822440824876</v>
      </c>
      <c r="AB7" s="35" t="n">
        <v>0.1512348747211409</v>
      </c>
      <c r="AC7" s="35" t="n">
        <v>0.8487651252788592</v>
      </c>
      <c r="AD7" s="35" t="n">
        <v>0.3396343737999976</v>
      </c>
      <c r="AE7" s="35" t="n">
        <v>0.3964502468741423</v>
      </c>
      <c r="AF7" s="35" t="n">
        <v>0.03314439308729492</v>
      </c>
      <c r="AG7" s="35" t="n">
        <v>0.3633058537868474</v>
      </c>
      <c r="AH7" s="35" t="n">
        <v>0.8334173181088969</v>
      </c>
      <c r="AI7" s="35" t="n">
        <v>0.03178901677871537</v>
      </c>
      <c r="AJ7" s="35" t="n">
        <v>-0.01566794928238746</v>
      </c>
      <c r="AK7" s="35" t="n">
        <v>0.1441317235621431</v>
      </c>
    </row>
  </sheetData>
  <autoFilter ref="A2:AK7"/>
  <mergeCells count="1">
    <mergeCell ref="A1:F1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수익성·안정성·현금흐름 핵심비율</t>
        </is>
      </c>
    </row>
    <row r="2" ht="24" customHeight="1">
      <c r="A2" s="25" t="inlineStr">
        <is>
          <t>연도</t>
        </is>
      </c>
      <c r="B2" s="25" t="inlineStr">
        <is>
          <t>매출성장률</t>
        </is>
      </c>
      <c r="C2" s="25" t="inlineStr">
        <is>
          <t>영업이익성장률</t>
        </is>
      </c>
      <c r="D2" s="25" t="inlineStr">
        <is>
          <t>영업이익률</t>
        </is>
      </c>
      <c r="E2" s="25" t="inlineStr">
        <is>
          <t>순이익률</t>
        </is>
      </c>
      <c r="F2" s="25" t="inlineStr">
        <is>
          <t>ROE</t>
        </is>
      </c>
      <c r="G2" s="25" t="inlineStr">
        <is>
          <t>ROA</t>
        </is>
      </c>
      <c r="H2" s="25" t="inlineStr">
        <is>
          <t>부채/자본</t>
        </is>
      </c>
      <c r="I2" s="25" t="inlineStr">
        <is>
          <t>자본비율</t>
        </is>
      </c>
      <c r="J2" s="25" t="inlineStr">
        <is>
          <t>CFO margin</t>
        </is>
      </c>
      <c r="K2" s="25" t="inlineStr">
        <is>
          <t>FCF margin</t>
        </is>
      </c>
      <c r="L2" s="25" t="inlineStr">
        <is>
          <t>FCF 전환율</t>
        </is>
      </c>
    </row>
    <row r="3" ht="24" customHeight="1">
      <c r="A3" s="30" t="n">
        <v>2021</v>
      </c>
      <c r="B3" s="24" t="inlineStr">
        <is>
          <t>해당 없음</t>
        </is>
      </c>
      <c r="C3" s="24" t="inlineStr">
        <is>
          <t>해당 없음</t>
        </is>
      </c>
      <c r="D3" s="35" t="n">
        <v>0.3280533314693916</v>
      </c>
      <c r="E3" s="35" t="n">
        <v>0.2798683486095372</v>
      </c>
      <c r="F3" s="35" t="n">
        <v>0.3011380561623773</v>
      </c>
      <c r="G3" s="35" t="n">
        <v>0.2432839209341108</v>
      </c>
      <c r="H3" s="35" t="n">
        <v>0.2378050099083008</v>
      </c>
      <c r="I3" s="35" t="n">
        <v>0.8078816873378806</v>
      </c>
      <c r="J3" s="35" t="n">
        <v>0.1400947945410279</v>
      </c>
      <c r="K3" s="35" t="n">
        <v>0.072340827912503</v>
      </c>
      <c r="L3" s="35" t="n">
        <v>0.2205154496937417</v>
      </c>
    </row>
    <row r="4" ht="24" customHeight="1">
      <c r="A4" s="31" t="n">
        <v>2022</v>
      </c>
      <c r="B4" s="36" t="n">
        <v>-0.1221357993590959</v>
      </c>
      <c r="C4" s="36" t="n">
        <v>-0.08626114627170955</v>
      </c>
      <c r="D4" s="36" t="n">
        <v>0.3414595046019031</v>
      </c>
      <c r="E4" s="36" t="n">
        <v>0.2816284917686169</v>
      </c>
      <c r="F4" s="36" t="n">
        <v>0.236503523914492</v>
      </c>
      <c r="G4" s="36" t="n">
        <v>0.2025748338429209</v>
      </c>
      <c r="H4" s="36" t="n">
        <v>0.1674871919079539</v>
      </c>
      <c r="I4" s="36" t="n">
        <v>0.8565404459519255</v>
      </c>
      <c r="J4" s="36" t="n">
        <v>0.3342627066445439</v>
      </c>
      <c r="K4" s="36" t="n">
        <v>0.3065119517706698</v>
      </c>
      <c r="L4" s="36" t="n">
        <v>0.8976524233174368</v>
      </c>
    </row>
    <row r="5" ht="24" customHeight="1">
      <c r="A5" s="30" t="n">
        <v>2023</v>
      </c>
      <c r="B5" s="35" t="n">
        <v>-0.514614215649164</v>
      </c>
      <c r="C5" s="35" t="n">
        <v>-0.6909387662733042</v>
      </c>
      <c r="D5" s="35" t="n">
        <v>0.217418596016591</v>
      </c>
      <c r="E5" s="35" t="n">
        <v>1.680208719642028</v>
      </c>
      <c r="F5" s="35" t="n">
        <v>0.4671588706803952</v>
      </c>
      <c r="G5" s="35" t="n">
        <v>0.3690979314010595</v>
      </c>
      <c r="H5" s="35" t="n">
        <v>0.265677293034686</v>
      </c>
      <c r="I5" s="35" t="n">
        <v>0.7900908118548311</v>
      </c>
      <c r="J5" s="35" t="n">
        <v>0.2829458765535004</v>
      </c>
      <c r="K5" s="35" t="n">
        <v>0.2824180142503741</v>
      </c>
      <c r="L5" s="35" t="n">
        <v>1.298959791961968</v>
      </c>
    </row>
    <row r="6" ht="24" customHeight="1">
      <c r="A6" s="31" t="n">
        <v>2024</v>
      </c>
      <c r="B6" s="36" t="n">
        <v>2.515013925922922</v>
      </c>
      <c r="C6" s="36" t="n">
        <v>6.387364227427654</v>
      </c>
      <c r="D6" s="36" t="n">
        <v>0.4569399702075971</v>
      </c>
      <c r="E6" s="36" t="n">
        <v>0.2730538625562504</v>
      </c>
      <c r="F6" s="36" t="n">
        <v>0.2821555230409034</v>
      </c>
      <c r="G6" s="36" t="n">
        <v>0.2146862153528173</v>
      </c>
      <c r="H6" s="36" t="n">
        <v>0.31426939814094</v>
      </c>
      <c r="I6" s="36" t="n">
        <v>0.760879011117903</v>
      </c>
      <c r="J6" s="36" t="n">
        <v>0.252924443402297</v>
      </c>
      <c r="K6" s="36" t="n">
        <v>0.2524772973817778</v>
      </c>
      <c r="L6" s="36" t="n">
        <v>0.5525393133524132</v>
      </c>
    </row>
    <row r="7" ht="24" customHeight="1">
      <c r="A7" s="30" t="n">
        <v>2025</v>
      </c>
      <c r="B7" s="35" t="n">
        <v>0.03178901677871537</v>
      </c>
      <c r="C7" s="35" t="n">
        <v>-0.01566794928238746</v>
      </c>
      <c r="D7" s="35" t="n">
        <v>0.4359230914606178</v>
      </c>
      <c r="E7" s="35" t="n">
        <v>0.3710998024995538</v>
      </c>
      <c r="F7" s="35" t="n">
        <v>0.3100087166661616</v>
      </c>
      <c r="G7" s="35" t="n">
        <v>0.263124587238693</v>
      </c>
      <c r="H7" s="35" t="n">
        <v>0.1781822440824876</v>
      </c>
      <c r="I7" s="35" t="n">
        <v>0.8487651252788592</v>
      </c>
      <c r="J7" s="35" t="n">
        <v>0.3964502468741423</v>
      </c>
      <c r="K7" s="35" t="n">
        <v>0.3633058537868474</v>
      </c>
      <c r="L7" s="35" t="n">
        <v>0.8334173181088969</v>
      </c>
    </row>
  </sheetData>
  <autoFilter ref="A2:L7"/>
  <mergeCells count="1">
    <mergeCell ref="A1:F1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18" customWidth="1" min="2" max="2"/>
    <col width="4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WACC 산정</t>
        </is>
      </c>
    </row>
    <row r="2" ht="28" customHeight="1">
      <c r="A2" s="17" t="inlineStr">
        <is>
          <t>노란 셀은 사용자가 시나리오별로 조정 가능한 입력값입니다.</t>
        </is>
      </c>
    </row>
    <row r="3" ht="24" customHeight="1"/>
    <row r="4" ht="24" customHeight="1">
      <c r="A4" s="37" t="inlineStr">
        <is>
          <t>무위험수익률</t>
        </is>
      </c>
      <c r="B4" s="38" t="n">
        <v>0.035</v>
      </c>
      <c r="C4" s="26" t="inlineStr">
        <is>
          <t>valuation_assumptions.json 또는 기본값</t>
        </is>
      </c>
    </row>
    <row r="5" ht="24" customHeight="1">
      <c r="A5" s="37" t="inlineStr">
        <is>
          <t>Beta</t>
        </is>
      </c>
      <c r="B5" s="38" t="n">
        <v>1.8</v>
      </c>
      <c r="C5" s="26" t="inlineStr">
        <is>
          <t>주가 변동성 proxy 또는 사용자 가정</t>
        </is>
      </c>
    </row>
    <row r="6" ht="24" customHeight="1">
      <c r="A6" s="37" t="inlineStr">
        <is>
          <t>시장위험프리미엄</t>
        </is>
      </c>
      <c r="B6" s="39" t="n">
        <v>0.06</v>
      </c>
      <c r="C6" s="26" t="inlineStr">
        <is>
          <t>사용자 조정 가능</t>
        </is>
      </c>
    </row>
    <row r="7" ht="24" customHeight="1">
      <c r="A7" s="37" t="inlineStr">
        <is>
          <t>자기자본비용</t>
        </is>
      </c>
      <c r="B7" s="40">
        <f>B4+B5*B6</f>
        <v/>
      </c>
      <c r="C7" s="26" t="inlineStr">
        <is>
          <t>공식: Rf + Beta × MRP</t>
        </is>
      </c>
    </row>
    <row r="8" ht="24" customHeight="1">
      <c r="A8" s="37" t="inlineStr">
        <is>
          <t>세전 차입비용</t>
        </is>
      </c>
      <c r="B8" s="39" t="n">
        <v>0.055</v>
      </c>
      <c r="C8" s="26" t="inlineStr">
        <is>
          <t>사용자 조정 가능</t>
        </is>
      </c>
    </row>
    <row r="9" ht="24" customHeight="1">
      <c r="A9" s="37" t="inlineStr">
        <is>
          <t>법인세율</t>
        </is>
      </c>
      <c r="B9" s="38" t="n">
        <v>0.24</v>
      </c>
      <c r="C9" s="26" t="inlineStr">
        <is>
          <t>사용자 조정 가능</t>
        </is>
      </c>
    </row>
    <row r="10" ht="24" customHeight="1">
      <c r="A10" s="37" t="inlineStr">
        <is>
          <t>세후 차입비용</t>
        </is>
      </c>
      <c r="B10" s="40">
        <f>B8*(1-B9)</f>
        <v/>
      </c>
      <c r="C10" s="26" t="inlineStr">
        <is>
          <t>공식</t>
        </is>
      </c>
    </row>
    <row r="11" ht="24" customHeight="1">
      <c r="A11" s="37" t="inlineStr">
        <is>
          <t>자기자본 비중</t>
        </is>
      </c>
      <c r="B11" s="38" t="n">
        <v>0.995584739227631</v>
      </c>
      <c r="C11" s="26" t="inlineStr">
        <is>
          <t>시장가치/장부가치 기반</t>
        </is>
      </c>
    </row>
    <row r="12" ht="24" customHeight="1">
      <c r="A12" s="37" t="inlineStr">
        <is>
          <t>부채 비중</t>
        </is>
      </c>
      <c r="B12" s="38" t="n">
        <v>0.004415260772369032</v>
      </c>
      <c r="C12" s="26" t="inlineStr">
        <is>
          <t>부채 proxy 기반</t>
        </is>
      </c>
    </row>
    <row r="13" ht="24" customHeight="1">
      <c r="A13" s="37" t="inlineStr">
        <is>
          <t>WACC</t>
        </is>
      </c>
      <c r="B13" s="41">
        <f>B11*B7+B12*B10</f>
        <v/>
      </c>
      <c r="C13" s="26" t="inlineStr">
        <is>
          <t>공식: E/V×Ke + D/V×Kd(1-T)</t>
        </is>
      </c>
    </row>
    <row r="14" ht="24" customHeight="1">
      <c r="A14" s="37" t="inlineStr">
        <is>
          <t>사용한 시가총액</t>
        </is>
      </c>
      <c r="B14" s="27" t="n">
        <v>27735850200000</v>
      </c>
      <c r="C14" s="26" t="inlineStr">
        <is>
          <t>발행주식 수 intake 가능 시 반영</t>
        </is>
      </c>
    </row>
    <row r="15" ht="24" customHeight="1">
      <c r="A15" s="37" t="inlineStr">
        <is>
          <t>부채 proxy</t>
        </is>
      </c>
      <c r="B15" s="27" t="n">
        <v>123004106583</v>
      </c>
      <c r="C15" s="26" t="inlineStr">
        <is>
          <t>상세 차입금 데이터 전까지 부채총계 보수 proxy</t>
        </is>
      </c>
    </row>
  </sheetData>
  <mergeCells count="2">
    <mergeCell ref="A2:F2"/>
    <mergeCell ref="A1:F1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FCF 추정</t>
        </is>
      </c>
    </row>
    <row r="2" ht="24" customHeight="1">
      <c r="A2" s="25" t="inlineStr">
        <is>
          <t>연도</t>
        </is>
      </c>
      <c r="B2" s="25" t="inlineStr">
        <is>
          <t>매출성장률</t>
        </is>
      </c>
      <c r="C2" s="25" t="inlineStr">
        <is>
          <t>매출액</t>
        </is>
      </c>
      <c r="D2" s="25" t="inlineStr">
        <is>
          <t>영업이익률</t>
        </is>
      </c>
      <c r="E2" s="25" t="inlineStr">
        <is>
          <t>ebit</t>
        </is>
      </c>
      <c r="F2" s="25" t="inlineStr">
        <is>
          <t>nopat</t>
        </is>
      </c>
      <c r="G2" s="25" t="inlineStr">
        <is>
          <t>FCF margin</t>
        </is>
      </c>
      <c r="H2" s="25" t="inlineStr">
        <is>
          <t>FCF</t>
        </is>
      </c>
      <c r="I2" s="25" t="inlineStr">
        <is>
          <t>할인계수</t>
        </is>
      </c>
      <c r="J2" s="25" t="inlineStr">
        <is>
          <t>FCF 현재가치</t>
        </is>
      </c>
    </row>
    <row r="3" ht="24" customHeight="1">
      <c r="A3" s="30" t="n">
        <v>2026</v>
      </c>
      <c r="B3" s="35" t="n">
        <v>0.163</v>
      </c>
      <c r="C3" s="30" t="n">
        <v>670684212509.901</v>
      </c>
      <c r="D3" s="35" t="n">
        <v>0.3700938858949352</v>
      </c>
      <c r="E3" s="30" t="n">
        <v>248216126416.1738</v>
      </c>
      <c r="F3" s="30" t="n">
        <v>188644256076.2921</v>
      </c>
      <c r="G3" s="35" t="n">
        <v>0.25</v>
      </c>
      <c r="H3" s="30" t="n">
        <v>167671053127.4753</v>
      </c>
      <c r="I3" s="35" t="n">
        <v>0.8752327868383467</v>
      </c>
      <c r="J3" s="30" t="n">
        <v>146751203100.8806</v>
      </c>
    </row>
    <row r="4" ht="24" customHeight="1">
      <c r="A4" s="31" t="n">
        <v>2027</v>
      </c>
      <c r="B4" s="36" t="n">
        <v>0.126</v>
      </c>
      <c r="C4" s="31" t="n">
        <v>755190423286.1484</v>
      </c>
      <c r="D4" s="36" t="n">
        <v>0.3700938858949352</v>
      </c>
      <c r="E4" s="31" t="n">
        <v>279491358344.6117</v>
      </c>
      <c r="F4" s="31" t="n">
        <v>212413432341.9049</v>
      </c>
      <c r="G4" s="36" t="n">
        <v>0.25</v>
      </c>
      <c r="H4" s="31" t="n">
        <v>188797605821.5371</v>
      </c>
      <c r="I4" s="36" t="n">
        <v>0.7660324311568187</v>
      </c>
      <c r="J4" s="31" t="n">
        <v>144625088984.0588</v>
      </c>
    </row>
    <row r="5" ht="24" customHeight="1">
      <c r="A5" s="30" t="n">
        <v>2028</v>
      </c>
      <c r="B5" s="35" t="n">
        <v>0.08900000000000001</v>
      </c>
      <c r="C5" s="30" t="n">
        <v>822402370958.6156</v>
      </c>
      <c r="D5" s="35" t="n">
        <v>0.3700938858949352</v>
      </c>
      <c r="E5" s="30" t="n">
        <v>304366089237.2821</v>
      </c>
      <c r="F5" s="30" t="n">
        <v>231318227820.3344</v>
      </c>
      <c r="G5" s="35" t="n">
        <v>0.25</v>
      </c>
      <c r="H5" s="30" t="n">
        <v>205600592739.6539</v>
      </c>
      <c r="I5" s="35" t="n">
        <v>0.6704566995299365</v>
      </c>
      <c r="J5" s="30" t="n">
        <v>137846294829.627</v>
      </c>
    </row>
    <row r="6" ht="24" customHeight="1">
      <c r="A6" s="31" t="n">
        <v>2029</v>
      </c>
      <c r="B6" s="36" t="n">
        <v>0.05199999999999999</v>
      </c>
      <c r="C6" s="31" t="n">
        <v>865167294248.4636</v>
      </c>
      <c r="D6" s="36" t="n">
        <v>0.3700938858949352</v>
      </c>
      <c r="E6" s="31" t="n">
        <v>320193125877.6208</v>
      </c>
      <c r="F6" s="31" t="n">
        <v>243346775666.9918</v>
      </c>
      <c r="G6" s="36" t="n">
        <v>0.25</v>
      </c>
      <c r="H6" s="31" t="n">
        <v>216291823562.1159</v>
      </c>
      <c r="I6" s="36" t="n">
        <v>0.5868056855840263</v>
      </c>
      <c r="J6" s="31" t="n">
        <v>126921271811.5867</v>
      </c>
    </row>
    <row r="7" ht="24" customHeight="1">
      <c r="A7" s="30" t="n">
        <v>2030</v>
      </c>
      <c r="B7" s="35" t="n">
        <v>0.015</v>
      </c>
      <c r="C7" s="30" t="n">
        <v>878144803662.1906</v>
      </c>
      <c r="D7" s="35" t="n">
        <v>0.3700938858949352</v>
      </c>
      <c r="E7" s="30" t="n">
        <v>324996022765.7851</v>
      </c>
      <c r="F7" s="30" t="n">
        <v>246996977301.9967</v>
      </c>
      <c r="G7" s="35" t="n">
        <v>0.25</v>
      </c>
      <c r="H7" s="30" t="n">
        <v>219536200915.5476</v>
      </c>
      <c r="I7" s="35" t="n">
        <v>0.513591575526294</v>
      </c>
      <c r="J7" s="30" t="n">
        <v>112751943313.2731</v>
      </c>
    </row>
  </sheetData>
  <autoFilter ref="A2:J7"/>
  <mergeCells count="1">
    <mergeCell ref="A1:F1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14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DCF 가치평가</t>
        </is>
      </c>
    </row>
    <row r="2" ht="28" customHeight="1">
      <c r="A2" s="17" t="inlineStr">
        <is>
          <t>명시적 FCF + Terminal Value + 현금 - 부채 proxy</t>
        </is>
      </c>
    </row>
    <row r="3" ht="24" customHeight="1"/>
    <row r="4" ht="24" customHeight="1">
      <c r="A4" s="22" t="inlineStr">
        <is>
          <t>DCF 결과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  <c r="C5" s="25" t="inlineStr">
        <is>
          <t>비고</t>
        </is>
      </c>
    </row>
    <row r="6" ht="24" customHeight="1">
      <c r="A6" s="24" t="inlineStr">
        <is>
          <t>기준연도</t>
        </is>
      </c>
      <c r="B6" s="30" t="n">
        <v>2025</v>
      </c>
      <c r="C6" s="24" t="inlineStr">
        <is>
          <t>최근 정규화 재무제표 연도</t>
        </is>
      </c>
    </row>
    <row r="7" ht="24" customHeight="1">
      <c r="A7" s="29" t="inlineStr">
        <is>
          <t>기준 매출액</t>
        </is>
      </c>
      <c r="B7" s="31" t="n">
        <v>576684619527</v>
      </c>
      <c r="C7" s="29" t="inlineStr">
        <is>
          <t>DART 기반</t>
        </is>
      </c>
    </row>
    <row r="8" ht="24" customHeight="1">
      <c r="A8" s="24" t="inlineStr">
        <is>
          <t>매출 CAGR</t>
        </is>
      </c>
      <c r="B8" s="30" t="n">
        <v>0.1149569154623087</v>
      </c>
      <c r="C8" s="24" t="inlineStr">
        <is>
          <t>과거 재무제표 기반</t>
        </is>
      </c>
    </row>
    <row r="9" ht="24" customHeight="1">
      <c r="A9" s="29" t="inlineStr">
        <is>
          <t>추정 매출성장률</t>
        </is>
      </c>
      <c r="B9" s="31" t="n">
        <v>0.2</v>
      </c>
      <c r="C9" s="29" t="inlineStr">
        <is>
          <t>최근 추세를 보수적으로 bounded</t>
        </is>
      </c>
    </row>
    <row r="10" ht="24" customHeight="1">
      <c r="A10" s="24" t="inlineStr">
        <is>
          <t>추정 FCF margin</t>
        </is>
      </c>
      <c r="B10" s="30" t="n">
        <v>0.25</v>
      </c>
      <c r="C10" s="24" t="inlineStr">
        <is>
          <t>최근 3년 평균 기반</t>
        </is>
      </c>
    </row>
    <row r="11" ht="24" customHeight="1">
      <c r="A11" s="29" t="inlineStr">
        <is>
          <t>WACC</t>
        </is>
      </c>
      <c r="B11" s="31" t="n">
        <v>0.1425531756098363</v>
      </c>
      <c r="C11" s="29" t="inlineStr">
        <is>
          <t>07_WACC 참조</t>
        </is>
      </c>
    </row>
    <row r="12" ht="24" customHeight="1">
      <c r="A12" s="24" t="inlineStr">
        <is>
          <t>영구성장률</t>
        </is>
      </c>
      <c r="B12" s="30" t="n">
        <v>0.015</v>
      </c>
      <c r="C12" s="24" t="inlineStr">
        <is>
          <t>valuation_assumptions.json</t>
        </is>
      </c>
    </row>
    <row r="13" ht="24" customHeight="1">
      <c r="A13" s="29" t="inlineStr">
        <is>
          <t>FCF 현재가치</t>
        </is>
      </c>
      <c r="B13" s="31" t="n">
        <v>668895802039.4263</v>
      </c>
      <c r="C13" s="29" t="inlineStr">
        <is>
          <t>명시적 기간 FCF 할인</t>
        </is>
      </c>
    </row>
    <row r="14" ht="24" customHeight="1">
      <c r="A14" s="24" t="inlineStr">
        <is>
          <t>Terminal Value</t>
        </is>
      </c>
      <c r="B14" s="30" t="n">
        <v>1746951754544.145</v>
      </c>
      <c r="C14" s="24" t="inlineStr">
        <is>
          <t>Gordon Growth</t>
        </is>
      </c>
    </row>
    <row r="15" ht="24" customHeight="1">
      <c r="A15" s="29" t="inlineStr">
        <is>
          <t>Terminal 현재가치</t>
        </is>
      </c>
      <c r="B15" s="31" t="n">
        <v>897219703984.7509</v>
      </c>
      <c r="C15" s="29" t="inlineStr">
        <is>
          <t>Terminal Value 할인</t>
        </is>
      </c>
    </row>
    <row r="16" ht="24" customHeight="1">
      <c r="A16" s="24" t="inlineStr">
        <is>
          <t>기업가치(EV)</t>
        </is>
      </c>
      <c r="B16" s="30" t="n">
        <v>1566115506024.177</v>
      </c>
      <c r="C16" s="24" t="inlineStr">
        <is>
          <t>PV FCF + PV Terminal</t>
        </is>
      </c>
    </row>
    <row r="17" ht="24" customHeight="1">
      <c r="A17" s="29" t="inlineStr">
        <is>
          <t>지분가치</t>
        </is>
      </c>
      <c r="B17" s="31" t="n">
        <v>1719346776970.177</v>
      </c>
      <c r="C17" s="29" t="inlineStr">
        <is>
          <t>EV + 현금 - 부채 proxy</t>
        </is>
      </c>
    </row>
    <row r="18" ht="24" customHeight="1">
      <c r="A18" s="24" t="inlineStr">
        <is>
          <t>발행주식 수</t>
        </is>
      </c>
      <c r="B18" s="30" t="n">
        <v>95312200</v>
      </c>
      <c r="C18" s="24" t="inlineStr">
        <is>
          <t>DART stockTotqySttus 또는 해당 없음</t>
        </is>
      </c>
    </row>
    <row r="19" ht="24" customHeight="1">
      <c r="A19" s="29" t="inlineStr">
        <is>
          <t>현재가</t>
        </is>
      </c>
      <c r="B19" s="31" t="n">
        <v>291000</v>
      </c>
      <c r="C19" s="29" t="inlineStr">
        <is>
          <t>주가 intake</t>
        </is>
      </c>
    </row>
    <row r="20" ht="24" customHeight="1">
      <c r="A20" s="24" t="inlineStr">
        <is>
          <t>DCF 내재주가</t>
        </is>
      </c>
      <c r="B20" s="30" t="n">
        <v>18039.10493064033</v>
      </c>
      <c r="C20" s="24" t="inlineStr">
        <is>
          <t>지분가치 / 발행주식 수</t>
        </is>
      </c>
    </row>
    <row r="21" ht="24" customHeight="1">
      <c r="A21" s="29" t="inlineStr">
        <is>
          <t>현재가 대비 괴리율</t>
        </is>
      </c>
      <c r="B21" s="31" t="n">
        <v>-0.9380099486919576</v>
      </c>
      <c r="C21" s="29" t="inlineStr">
        <is>
          <t>내재주가 / 현재가 - 1</t>
        </is>
      </c>
    </row>
  </sheetData>
  <autoFilter ref="A5:C21"/>
  <mergeCells count="3">
    <mergeCell ref="A2:E2"/>
    <mergeCell ref="A1:E1"/>
    <mergeCell ref="A4:F4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I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22" customWidth="1" min="2" max="2"/>
    <col width="13" customWidth="1" min="3" max="3"/>
    <col width="13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40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 ht="24" customHeight="1">
      <c r="A1" s="22" t="inlineStr">
        <is>
          <t>피어 비교 / 상대가치</t>
        </is>
      </c>
    </row>
    <row r="2" ht="24" customHeight="1">
      <c r="A2" s="25" t="inlineStr">
        <is>
          <t>기업코드</t>
        </is>
      </c>
      <c r="B2" s="25" t="inlineStr">
        <is>
          <t>기업명</t>
        </is>
      </c>
      <c r="C2" s="25" t="inlineStr">
        <is>
          <t>종목코드</t>
        </is>
      </c>
      <c r="D2" s="25" t="inlineStr">
        <is>
          <t>시장</t>
        </is>
      </c>
      <c r="E2" s="25" t="inlineStr">
        <is>
          <t>분석대상</t>
        </is>
      </c>
      <c r="F2" s="25" t="inlineStr">
        <is>
          <t>최근연도</t>
        </is>
      </c>
      <c r="G2" s="25" t="inlineStr">
        <is>
          <t>latest_close</t>
        </is>
      </c>
      <c r="H2" s="25" t="inlineStr">
        <is>
          <t>발행주식 수</t>
        </is>
      </c>
      <c r="I2" s="25" t="inlineStr">
        <is>
          <t>시가총액</t>
        </is>
      </c>
      <c r="J2" s="25" t="inlineStr">
        <is>
          <t>매출액</t>
        </is>
      </c>
      <c r="K2" s="25" t="inlineStr">
        <is>
          <t>영업이익</t>
        </is>
      </c>
      <c r="L2" s="25" t="inlineStr">
        <is>
          <t>순이익</t>
        </is>
      </c>
      <c r="M2" s="25" t="inlineStr">
        <is>
          <t>자산총계</t>
        </is>
      </c>
      <c r="N2" s="25" t="inlineStr">
        <is>
          <t>부채총계</t>
        </is>
      </c>
      <c r="O2" s="25" t="inlineStr">
        <is>
          <t>자본총계</t>
        </is>
      </c>
      <c r="P2" s="25" t="inlineStr">
        <is>
          <t>FCF</t>
        </is>
      </c>
      <c r="Q2" s="25" t="inlineStr">
        <is>
          <t>FCF margin</t>
        </is>
      </c>
      <c r="R2" s="25" t="inlineStr">
        <is>
          <t>1년 수익률</t>
        </is>
      </c>
      <c r="S2" s="25" t="inlineStr">
        <is>
          <t>연환산 변동성</t>
        </is>
      </c>
      <c r="T2" s="25" t="inlineStr">
        <is>
          <t>MDD</t>
        </is>
      </c>
      <c r="U2" s="25" t="inlineStr">
        <is>
          <t>52주 고가</t>
        </is>
      </c>
      <c r="V2" s="25" t="inlineStr">
        <is>
          <t>52주 저가</t>
        </is>
      </c>
      <c r="W2" s="25" t="inlineStr">
        <is>
          <t>data_status</t>
        </is>
      </c>
      <c r="X2" s="25" t="inlineStr">
        <is>
          <t>diagnostics</t>
        </is>
      </c>
      <c r="Y2" s="25" t="inlineStr">
        <is>
          <t>EV proxy</t>
        </is>
      </c>
      <c r="Z2" s="25" t="inlineStr">
        <is>
          <t>P/S</t>
        </is>
      </c>
      <c r="AA2" s="25" t="inlineStr">
        <is>
          <t>PER</t>
        </is>
      </c>
      <c r="AB2" s="25" t="inlineStr">
        <is>
          <t>PBR</t>
        </is>
      </c>
      <c r="AC2" s="25" t="inlineStr">
        <is>
          <t>EV/Sales</t>
        </is>
      </c>
      <c r="AD2" s="25" t="inlineStr">
        <is>
          <t>EV/EBIT</t>
        </is>
      </c>
      <c r="AE2" s="25" t="inlineStr">
        <is>
          <t>P/FCF</t>
        </is>
      </c>
      <c r="AF2" s="25" t="inlineStr">
        <is>
          <t>영업이익률</t>
        </is>
      </c>
      <c r="AG2" s="25" t="inlineStr">
        <is>
          <t>ROE</t>
        </is>
      </c>
      <c r="AH2" s="25" t="inlineStr">
        <is>
          <t>부채/자본</t>
        </is>
      </c>
      <c r="AI2" s="25" t="inlineStr">
        <is>
          <t>psr_data_quality</t>
        </is>
      </c>
    </row>
    <row r="3" ht="24" customHeight="1">
      <c r="A3" s="24" t="inlineStr">
        <is>
          <t>nepes</t>
        </is>
      </c>
      <c r="B3" s="24" t="inlineStr">
        <is>
          <t>네패스</t>
        </is>
      </c>
      <c r="C3" s="24" t="inlineStr">
        <is>
          <t>033640</t>
        </is>
      </c>
      <c r="D3" s="24" t="inlineStr">
        <is>
          <t>KOSDAQ</t>
        </is>
      </c>
      <c r="E3" s="24" t="b">
        <v>0</v>
      </c>
      <c r="F3" s="24" t="inlineStr">
        <is>
          <t>2025</t>
        </is>
      </c>
      <c r="G3" s="24" t="inlineStr">
        <is>
          <t>26900.0</t>
        </is>
      </c>
      <c r="H3" s="24" t="inlineStr">
        <is>
          <t>23059202.0</t>
        </is>
      </c>
      <c r="I3" s="30" t="n">
        <v>620292533800</v>
      </c>
      <c r="J3" s="24" t="inlineStr">
        <is>
          <t>521439287008.0</t>
        </is>
      </c>
      <c r="K3" s="24" t="inlineStr">
        <is>
          <t>23761125843.0</t>
        </is>
      </c>
      <c r="L3" s="24" t="inlineStr">
        <is>
          <t>20158821632.0</t>
        </is>
      </c>
      <c r="M3" s="24" t="inlineStr">
        <is>
          <t>696198458357.0</t>
        </is>
      </c>
      <c r="N3" s="24" t="inlineStr">
        <is>
          <t>450773427582.0</t>
        </is>
      </c>
      <c r="O3" s="24" t="inlineStr">
        <is>
          <t>245425030775.0</t>
        </is>
      </c>
      <c r="P3" s="24" t="inlineStr">
        <is>
          <t>103117228706.0</t>
        </is>
      </c>
      <c r="Q3" s="24" t="inlineStr">
        <is>
          <t>0.19775500480158098</t>
        </is>
      </c>
      <c r="R3" s="24" t="inlineStr">
        <is>
          <t>2.4575835475578405</t>
        </is>
      </c>
      <c r="S3" s="24" t="inlineStr">
        <is>
          <t>0.6270404598092963</t>
        </is>
      </c>
      <c r="T3" s="24" t="inlineStr">
        <is>
          <t>-0.7436559139784946</t>
        </is>
      </c>
      <c r="U3" s="24" t="inlineStr">
        <is>
          <t>34800.0</t>
        </is>
      </c>
      <c r="V3" s="24" t="inlineStr">
        <is>
          <t>6890.0</t>
        </is>
      </c>
      <c r="W3" s="24" t="inlineStr">
        <is>
          <t>OK</t>
        </is>
      </c>
      <c r="X3" s="24" t="inlineStr">
        <is>
          <t>yfinance price rows for 033640.KQ: 728 | price provider selected: yfinance, rows=728 | DART corp_code resolved from cache for 네패스/033640.</t>
        </is>
      </c>
      <c r="Y3" s="30" t="n">
        <v>1071065961382</v>
      </c>
      <c r="Z3" s="42" t="n">
        <v>1.189577673288134</v>
      </c>
      <c r="AA3" s="42" t="n">
        <v>30.77027740626223</v>
      </c>
      <c r="AB3" s="42" t="n">
        <v>2.527421640088007</v>
      </c>
      <c r="AC3" s="42" t="n">
        <v>2.05405689227549</v>
      </c>
      <c r="AD3" s="42" t="n">
        <v>45.0763978297575</v>
      </c>
      <c r="AE3" s="42" t="n">
        <v>6.015411212887915</v>
      </c>
      <c r="AF3" s="35" t="n">
        <v>0.0455683459896942</v>
      </c>
      <c r="AG3" s="35" t="n">
        <v>0.0821384093070814</v>
      </c>
      <c r="AH3" s="35" t="n">
        <v>1.836705189191801</v>
      </c>
      <c r="AI3" s="24" t="inlineStr">
        <is>
          <t>OK</t>
        </is>
      </c>
    </row>
    <row r="4" ht="24" customHeight="1">
      <c r="A4" s="29" t="inlineStr">
        <is>
          <t>hanmi</t>
        </is>
      </c>
      <c r="B4" s="29" t="inlineStr">
        <is>
          <t>한미반도체</t>
        </is>
      </c>
      <c r="C4" s="29" t="inlineStr">
        <is>
          <t>042700</t>
        </is>
      </c>
      <c r="D4" s="29" t="inlineStr">
        <is>
          <t>KOSPI</t>
        </is>
      </c>
      <c r="E4" s="29" t="b">
        <v>1</v>
      </c>
      <c r="F4" s="29" t="inlineStr">
        <is>
          <t>2025</t>
        </is>
      </c>
      <c r="G4" s="29" t="inlineStr">
        <is>
          <t>291500.0</t>
        </is>
      </c>
      <c r="H4" s="29" t="inlineStr">
        <is>
          <t>95312200.0</t>
        </is>
      </c>
      <c r="I4" s="31" t="n">
        <v>27783506300000</v>
      </c>
      <c r="J4" s="29" t="inlineStr">
        <is>
          <t>576684619527.0</t>
        </is>
      </c>
      <c r="K4" s="29" t="inlineStr">
        <is>
          <t>251390142142.0</t>
        </is>
      </c>
      <c r="L4" s="29" t="inlineStr">
        <is>
          <t>214007548411.0</t>
        </is>
      </c>
      <c r="M4" s="29" t="inlineStr">
        <is>
          <t>813331626120.0</t>
        </is>
      </c>
      <c r="N4" s="29" t="inlineStr">
        <is>
          <t>123004106583.0</t>
        </is>
      </c>
      <c r="O4" s="29" t="inlineStr">
        <is>
          <t>690327519537.0</t>
        </is>
      </c>
      <c r="P4" s="29" t="inlineStr">
        <is>
          <t>209512898063.0</t>
        </is>
      </c>
      <c r="Q4" s="29" t="inlineStr">
        <is>
          <t>0.36330585378684743</t>
        </is>
      </c>
      <c r="R4" s="29" t="inlineStr">
        <is>
          <t>2.559218559218559</t>
        </is>
      </c>
      <c r="S4" s="29" t="inlineStr">
        <is>
          <t>0.7592119506434268</t>
        </is>
      </c>
      <c r="T4" s="29" t="inlineStr">
        <is>
          <t>-0.6814814814814815</t>
        </is>
      </c>
      <c r="U4" s="29" t="inlineStr">
        <is>
          <t>409500.0</t>
        </is>
      </c>
      <c r="V4" s="29" t="inlineStr">
        <is>
          <t>77400.0</t>
        </is>
      </c>
      <c r="W4" s="29" t="inlineStr">
        <is>
          <t>OK</t>
        </is>
      </c>
      <c r="X4" s="29" t="inlineStr">
        <is>
          <t>yfinance price rows for 042700.KS: 728 | price provider selected: yfinance, rows=728 | DART corp_code resolved from cache for 한미반도체/042700.</t>
        </is>
      </c>
      <c r="Y4" s="31" t="n">
        <v>27906510406583</v>
      </c>
      <c r="Z4" s="43" t="n">
        <v>48.17799081027719</v>
      </c>
      <c r="AA4" s="43" t="n">
        <v>129.8248893849388</v>
      </c>
      <c r="AB4" s="43" t="n">
        <v>40.24684734955125</v>
      </c>
      <c r="AC4" s="43" t="n">
        <v>48.39128608887138</v>
      </c>
      <c r="AD4" s="43" t="n">
        <v>111.0087697504851</v>
      </c>
      <c r="AE4" s="43" t="n">
        <v>132.6100042377609</v>
      </c>
      <c r="AF4" s="36" t="n">
        <v>0.4359230914606178</v>
      </c>
      <c r="AG4" s="36" t="n">
        <v>0.3100087166661616</v>
      </c>
      <c r="AH4" s="36" t="n">
        <v>0.1781822440824876</v>
      </c>
      <c r="AI4" s="29" t="inlineStr">
        <is>
          <t>OK</t>
        </is>
      </c>
    </row>
    <row r="5" ht="24" customHeight="1">
      <c r="A5" s="24" t="inlineStr">
        <is>
          <t>hansol</t>
        </is>
      </c>
      <c r="B5" s="24" t="inlineStr">
        <is>
          <t>한솔케미칼</t>
        </is>
      </c>
      <c r="C5" s="24" t="inlineStr">
        <is>
          <t>014680</t>
        </is>
      </c>
      <c r="D5" s="24" t="inlineStr">
        <is>
          <t>KOSPI</t>
        </is>
      </c>
      <c r="E5" s="24" t="b">
        <v>0</v>
      </c>
      <c r="F5" s="24" t="inlineStr">
        <is>
          <t>2025</t>
        </is>
      </c>
      <c r="G5" s="24" t="inlineStr">
        <is>
          <t>282000.0</t>
        </is>
      </c>
      <c r="H5" s="24" t="inlineStr">
        <is>
          <t>11335195.0</t>
        </is>
      </c>
      <c r="I5" s="30" t="n">
        <v>3196524990000</v>
      </c>
      <c r="J5" s="24" t="inlineStr">
        <is>
          <t>883968714104.0</t>
        </is>
      </c>
      <c r="K5" s="24" t="inlineStr">
        <is>
          <t>156233146521.0</t>
        </is>
      </c>
      <c r="L5" s="24" t="inlineStr">
        <is>
          <t>148134823618.0</t>
        </is>
      </c>
      <c r="M5" s="24" t="inlineStr">
        <is>
          <t>1600348080121.0</t>
        </is>
      </c>
      <c r="N5" s="24" t="inlineStr">
        <is>
          <t>423081692446.0</t>
        </is>
      </c>
      <c r="O5" s="24" t="inlineStr">
        <is>
          <t>1177266387675.0</t>
        </is>
      </c>
      <c r="P5" s="24" t="inlineStr">
        <is>
          <t>200066983741.0</t>
        </is>
      </c>
      <c r="Q5" s="24" t="inlineStr">
        <is>
          <t>0.226328127397348</t>
        </is>
      </c>
      <c r="R5" s="24" t="inlineStr">
        <is>
          <t>1.2292490118577075</t>
        </is>
      </c>
      <c r="S5" s="24" t="inlineStr">
        <is>
          <t>0.4821895504123091</t>
        </is>
      </c>
      <c r="T5" s="24" t="inlineStr">
        <is>
          <t>-0.6348547717842323</t>
        </is>
      </c>
      <c r="U5" s="24" t="inlineStr">
        <is>
          <t>338000.0</t>
        </is>
      </c>
      <c r="V5" s="24" t="inlineStr">
        <is>
          <t>112100.0</t>
        </is>
      </c>
      <c r="W5" s="24" t="inlineStr">
        <is>
          <t>OK</t>
        </is>
      </c>
      <c r="X5" s="24" t="inlineStr">
        <is>
          <t>yfinance price rows for 014680.KS: 728 | price provider selected: yfinance, rows=728 | DART corp_code resolved from cache for 한솔케미칼/014680.</t>
        </is>
      </c>
      <c r="Y5" s="30" t="n">
        <v>3619606682446</v>
      </c>
      <c r="Z5" s="42" t="n">
        <v>3.616106474130175</v>
      </c>
      <c r="AA5" s="42" t="n">
        <v>21.57848446387584</v>
      </c>
      <c r="AB5" s="42" t="n">
        <v>2.715209593567741</v>
      </c>
      <c r="AC5" s="42" t="n">
        <v>4.094722612569916</v>
      </c>
      <c r="AD5" s="42" t="n">
        <v>23.16798171865195</v>
      </c>
      <c r="AE5" s="42" t="n">
        <v>15.97727386212867</v>
      </c>
      <c r="AF5" s="35" t="n">
        <v>0.1767405837200467</v>
      </c>
      <c r="AG5" s="35" t="n">
        <v>0.1258294852964872</v>
      </c>
      <c r="AH5" s="35" t="n">
        <v>0.3593763458086576</v>
      </c>
      <c r="AI5" s="24" t="inlineStr">
        <is>
          <t>OK</t>
        </is>
      </c>
    </row>
    <row r="6" ht="24" customHeight="1">
      <c r="A6" s="29" t="inlineStr">
        <is>
          <t>duksan</t>
        </is>
      </c>
      <c r="B6" s="29" t="inlineStr">
        <is>
          <t>덕산테코피아</t>
        </is>
      </c>
      <c r="C6" s="29" t="inlineStr">
        <is>
          <t>317330</t>
        </is>
      </c>
      <c r="D6" s="29" t="inlineStr">
        <is>
          <t>KOSDAQ</t>
        </is>
      </c>
      <c r="E6" s="29" t="b">
        <v>0</v>
      </c>
      <c r="F6" s="29" t="inlineStr">
        <is>
          <t>2025</t>
        </is>
      </c>
      <c r="G6" s="29" t="inlineStr">
        <is>
          <t>20500.0</t>
        </is>
      </c>
      <c r="H6" s="29" t="inlineStr">
        <is>
          <t>20476584.0</t>
        </is>
      </c>
      <c r="I6" s="31" t="n">
        <v>419769972000</v>
      </c>
      <c r="J6" s="29" t="inlineStr">
        <is>
          <t>112078954483.0</t>
        </is>
      </c>
      <c r="K6" s="29" t="inlineStr">
        <is>
          <t>-43026410473.0</t>
        </is>
      </c>
      <c r="L6" s="29" t="inlineStr">
        <is>
          <t>-105550462258.0</t>
        </is>
      </c>
      <c r="M6" s="29" t="inlineStr">
        <is>
          <t>646705781509.0</t>
        </is>
      </c>
      <c r="N6" s="29" t="inlineStr">
        <is>
          <t>540230144773.0</t>
        </is>
      </c>
      <c r="O6" s="29" t="inlineStr">
        <is>
          <t>106475636736.0</t>
        </is>
      </c>
      <c r="P6" s="29" t="inlineStr">
        <is>
          <t>-21599848348.0</t>
        </is>
      </c>
      <c r="Q6" s="29" t="inlineStr">
        <is>
          <t>-0.19271993076341767</t>
        </is>
      </c>
      <c r="R6" s="29" t="inlineStr">
        <is>
          <t>0.025512756378189172</t>
        </is>
      </c>
      <c r="S6" s="29" t="inlineStr">
        <is>
          <t>0.737675858498231</t>
        </is>
      </c>
      <c r="T6" s="29" t="inlineStr">
        <is>
          <t>-0.7666123778501629</t>
        </is>
      </c>
      <c r="U6" s="29" t="inlineStr">
        <is>
          <t>31250.0</t>
        </is>
      </c>
      <c r="V6" s="29" t="inlineStr">
        <is>
          <t>14330.0</t>
        </is>
      </c>
      <c r="W6" s="29" t="inlineStr">
        <is>
          <t>OK</t>
        </is>
      </c>
      <c r="X6" s="29" t="inlineStr">
        <is>
          <t>yfinance price rows for 317330.KQ: 728 | price provider selected: yfinance, rows=728 | DART corp_code resolved from cache for 덕산테코피아/317330.</t>
        </is>
      </c>
      <c r="Y6" s="31" t="n">
        <v>960000116773</v>
      </c>
      <c r="Z6" s="43" t="n">
        <v>3.745305922385903</v>
      </c>
      <c r="AA6" s="43" t="n">
        <v>-3.976960053229746</v>
      </c>
      <c r="AB6" s="43" t="n">
        <v>3.942403960830914</v>
      </c>
      <c r="AC6" s="43" t="n">
        <v>8.565391435004969</v>
      </c>
      <c r="AD6" s="43" t="n">
        <v>-22.31188022006672</v>
      </c>
      <c r="AE6" s="43" t="n">
        <v>-19.43393144419312</v>
      </c>
      <c r="AF6" s="36" t="n">
        <v>-0.3838937530375178</v>
      </c>
      <c r="AG6" s="36" t="n">
        <v>-0.9913109279609765</v>
      </c>
      <c r="AH6" s="36" t="n">
        <v>5.073744204155064</v>
      </c>
      <c r="AI6" s="29" t="inlineStr">
        <is>
          <t>OK</t>
        </is>
      </c>
    </row>
    <row r="7" ht="24" customHeight="1">
      <c r="A7" s="24" t="inlineStr">
        <is>
          <t>ltc</t>
        </is>
      </c>
      <c r="B7" s="24" t="inlineStr">
        <is>
          <t>엘티씨</t>
        </is>
      </c>
      <c r="C7" s="24" t="inlineStr">
        <is>
          <t>170920</t>
        </is>
      </c>
      <c r="D7" s="24" t="inlineStr">
        <is>
          <t>KOSDAQ</t>
        </is>
      </c>
      <c r="E7" s="24" t="b">
        <v>0</v>
      </c>
      <c r="F7" s="24" t="inlineStr">
        <is>
          <t>2025</t>
        </is>
      </c>
      <c r="G7" s="24" t="inlineStr">
        <is>
          <t>40050.0</t>
        </is>
      </c>
      <c r="H7" s="24" t="inlineStr">
        <is>
          <t>10564126.0</t>
        </is>
      </c>
      <c r="I7" s="30" t="n">
        <v>423093246300</v>
      </c>
      <c r="J7" s="24" t="inlineStr">
        <is>
          <t>310384726014.0</t>
        </is>
      </c>
      <c r="K7" s="24" t="inlineStr">
        <is>
          <t>29629435023.0</t>
        </is>
      </c>
      <c r="L7" s="24" t="inlineStr">
        <is>
          <t>18189648458.0</t>
        </is>
      </c>
      <c r="M7" s="24" t="inlineStr">
        <is>
          <t>383387868522.0</t>
        </is>
      </c>
      <c r="N7" s="24" t="inlineStr">
        <is>
          <t>159648759353.0</t>
        </is>
      </c>
      <c r="O7" s="24" t="inlineStr">
        <is>
          <t>223739109169.0</t>
        </is>
      </c>
      <c r="P7" s="24" t="inlineStr">
        <is>
          <t>24709885929.0</t>
        </is>
      </c>
      <c r="Q7" s="24" t="inlineStr">
        <is>
          <t>0.07961050869457234</t>
        </is>
      </c>
      <c r="R7" s="24" t="inlineStr">
        <is>
          <t>2.5224274406332454</t>
        </is>
      </c>
      <c r="S7" s="24" t="inlineStr">
        <is>
          <t>0.6765325212638378</t>
        </is>
      </c>
      <c r="T7" s="24" t="inlineStr">
        <is>
          <t>-0.5848765432098766</t>
        </is>
      </c>
      <c r="U7" s="24" t="inlineStr">
        <is>
          <t>49650.0</t>
        </is>
      </c>
      <c r="V7" s="24" t="inlineStr">
        <is>
          <t>9260.0</t>
        </is>
      </c>
      <c r="W7" s="24" t="inlineStr">
        <is>
          <t>OK</t>
        </is>
      </c>
      <c r="X7" s="24" t="inlineStr">
        <is>
          <t>yfinance price rows for 170920.KQ: 727 | price provider selected: yfinance, rows=727 | DART corp_code resolved from cache for 엘티씨/170920.</t>
        </is>
      </c>
      <c r="Y7" s="30" t="n">
        <v>582742005653</v>
      </c>
      <c r="Z7" s="42" t="n">
        <v>1.363125214740484</v>
      </c>
      <c r="AA7" s="42" t="n">
        <v>23.26011122627931</v>
      </c>
      <c r="AB7" s="42" t="n">
        <v>1.891011579832559</v>
      </c>
      <c r="AC7" s="42" t="n">
        <v>1.87748286823468</v>
      </c>
      <c r="AD7" s="42" t="n">
        <v>19.6676718675413</v>
      </c>
      <c r="AE7" s="42" t="n">
        <v>17.12242814538652</v>
      </c>
      <c r="AF7" s="35" t="n">
        <v>0.09546035142742029</v>
      </c>
      <c r="AG7" s="35" t="n">
        <v>0.08129847537857388</v>
      </c>
      <c r="AH7" s="35" t="n">
        <v>0.7135487396278595</v>
      </c>
      <c r="AI7" s="24" t="inlineStr">
        <is>
          <t>OK</t>
        </is>
      </c>
    </row>
  </sheetData>
  <autoFilter ref="A2:AI7"/>
  <mergeCells count="1">
    <mergeCell ref="A1:F1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ML 보조판단 요인</t>
        </is>
      </c>
    </row>
    <row r="2" ht="24" customHeight="1">
      <c r="A2" s="25" t="inlineStr">
        <is>
          <t>요인</t>
        </is>
      </c>
      <c r="B2" s="25" t="inlineStr">
        <is>
          <t>요인 코드</t>
        </is>
      </c>
      <c r="C2" s="25" t="inlineStr">
        <is>
          <t>점수</t>
        </is>
      </c>
      <c r="D2" s="25" t="inlineStr">
        <is>
          <t>해석</t>
        </is>
      </c>
    </row>
    <row r="3" ht="24" customHeight="1">
      <c r="A3" s="24" t="inlineStr">
        <is>
          <t>영업이익률 peer percentile</t>
        </is>
      </c>
      <c r="B3" s="24" t="inlineStr">
        <is>
          <t>operating_margin_percentile</t>
        </is>
      </c>
      <c r="C3" s="30" t="n">
        <v>100</v>
      </c>
      <c r="D3" s="24" t="inlineStr">
        <is>
          <t>높을수록 우수</t>
        </is>
      </c>
    </row>
    <row r="4" ht="24" customHeight="1">
      <c r="A4" s="29" t="inlineStr">
        <is>
          <t>ROE peer percentile</t>
        </is>
      </c>
      <c r="B4" s="29" t="inlineStr">
        <is>
          <t>roe_percentile</t>
        </is>
      </c>
      <c r="C4" s="31" t="n">
        <v>100</v>
      </c>
      <c r="D4" s="29" t="inlineStr">
        <is>
          <t>높을수록 우수</t>
        </is>
      </c>
    </row>
    <row r="5" ht="24" customHeight="1">
      <c r="A5" s="24" t="inlineStr">
        <is>
          <t>FCF margin peer percentile</t>
        </is>
      </c>
      <c r="B5" s="24" t="inlineStr">
        <is>
          <t>fcf_margin_percentile</t>
        </is>
      </c>
      <c r="C5" s="30" t="n">
        <v>100</v>
      </c>
      <c r="D5" s="24" t="inlineStr">
        <is>
          <t>높을수록 우수</t>
        </is>
      </c>
    </row>
    <row r="6" ht="24" customHeight="1">
      <c r="A6" s="29" t="inlineStr">
        <is>
          <t>부채비율 안정성</t>
        </is>
      </c>
      <c r="B6" s="29" t="inlineStr">
        <is>
          <t>debt_ratio_inverse_percentile</t>
        </is>
      </c>
      <c r="C6" s="31" t="n">
        <v>100</v>
      </c>
      <c r="D6" s="29" t="inlineStr">
        <is>
          <t>낮을수록 우수</t>
        </is>
      </c>
    </row>
    <row r="7" ht="24" customHeight="1">
      <c r="A7" s="24" t="inlineStr">
        <is>
          <t>PSR 상대 매력도</t>
        </is>
      </c>
      <c r="B7" s="24" t="inlineStr">
        <is>
          <t>psr_inverse_percentile</t>
        </is>
      </c>
      <c r="C7" s="30" t="n">
        <v>20</v>
      </c>
      <c r="D7" s="24" t="inlineStr">
        <is>
          <t>낮은 PSR일수록 상대가치 부담이 낮음</t>
        </is>
      </c>
    </row>
    <row r="8" ht="24" customHeight="1">
      <c r="A8" s="29" t="inlineStr">
        <is>
          <t>변동성 안정성</t>
        </is>
      </c>
      <c r="B8" s="29" t="inlineStr">
        <is>
          <t>volatility_inverse_score</t>
        </is>
      </c>
      <c r="C8" s="31" t="n">
        <v>0</v>
      </c>
      <c r="D8" s="29" t="inlineStr">
        <is>
          <t>낮을수록 우수</t>
        </is>
      </c>
    </row>
    <row r="9" ht="24" customHeight="1">
      <c r="A9" s="24" t="inlineStr">
        <is>
          <t>MDD 방어력</t>
        </is>
      </c>
      <c r="B9" s="24" t="inlineStr">
        <is>
          <t>mdd_resilience_score</t>
        </is>
      </c>
      <c r="C9" s="30" t="n">
        <v>4.592592592592595</v>
      </c>
      <c r="D9" s="24" t="inlineStr">
        <is>
          <t>낙폭이 작을수록 우수</t>
        </is>
      </c>
    </row>
    <row r="10" ht="24" customHeight="1">
      <c r="A10" s="29" t="inlineStr">
        <is>
          <t>208개 반도체 valuation proxy percentile</t>
        </is>
      </c>
      <c r="B10" s="29" t="inlineStr">
        <is>
          <t>reference_208_valuation_proxy_percentile</t>
        </is>
      </c>
      <c r="C10" s="31" t="n">
        <v>44.23</v>
      </c>
      <c r="D10" s="29" t="inlineStr">
        <is>
          <t>높을수록 universe 내 가치평가 proxy 우호</t>
        </is>
      </c>
    </row>
    <row r="11" ht="24" customHeight="1">
      <c r="A11" s="24" t="inlineStr">
        <is>
          <t>208개 반도체 credit risk inverse percentile</t>
        </is>
      </c>
      <c r="B11" s="24" t="inlineStr">
        <is>
          <t>reference_208_credit_risk_inverse_percentile</t>
        </is>
      </c>
      <c r="C11" s="30" t="n">
        <v>100</v>
      </c>
      <c r="D11" s="24" t="inlineStr">
        <is>
          <t>낮은 신용위험 proxy일수록 우수</t>
        </is>
      </c>
    </row>
    <row r="12" ht="24" customHeight="1">
      <c r="A12" s="29" t="inlineStr">
        <is>
          <t>208개 universe confidence</t>
        </is>
      </c>
      <c r="B12" s="29" t="inlineStr">
        <is>
          <t>reference_208_confidence_score</t>
        </is>
      </c>
      <c r="C12" s="31" t="n">
        <v>77.6547972185776</v>
      </c>
      <c r="D12" s="29" t="inlineStr">
        <is>
          <t>높을수록 보조판단 신뢰도 우수</t>
        </is>
      </c>
    </row>
    <row r="13" ht="24" customHeight="1"/>
    <row r="14" ht="24" customHeight="1"/>
    <row r="15" ht="24" customHeight="1">
      <c r="A15" s="22" t="inlineStr">
        <is>
          <t>ML 보조판단 요약</t>
        </is>
      </c>
    </row>
    <row r="16" ht="24" customHeight="1">
      <c r="A16" s="25" t="inlineStr">
        <is>
          <t>항목</t>
        </is>
      </c>
      <c r="B16" s="25" t="inlineStr">
        <is>
          <t>값</t>
        </is>
      </c>
    </row>
    <row r="17" ht="24" customHeight="1">
      <c r="A17" s="24" t="inlineStr">
        <is>
          <t>방법</t>
        </is>
      </c>
      <c r="B17" s="24" t="inlineStr">
        <is>
          <t>실시간 DART·주가 기반 PSR/Peer + 208개 반도체 reference universe 보조판단</t>
        </is>
      </c>
    </row>
    <row r="18" ht="24" customHeight="1">
      <c r="A18" s="29" t="inlineStr">
        <is>
          <t>종합점수</t>
        </is>
      </c>
      <c r="B18" s="31" t="n">
        <v>66.44</v>
      </c>
    </row>
    <row r="19" ht="24" customHeight="1">
      <c r="A19" s="24" t="inlineStr">
        <is>
          <t>라벨</t>
        </is>
      </c>
      <c r="B19" s="24" t="inlineStr">
        <is>
          <t>가치평가 보조근거 중립</t>
        </is>
      </c>
    </row>
    <row r="20" ht="24" customHeight="1">
      <c r="A20" s="29" t="inlineStr">
        <is>
          <t>클러스터</t>
        </is>
      </c>
      <c r="B20" s="29" t="inlineStr">
        <is>
          <t>후공정/패키징/테스트</t>
        </is>
      </c>
    </row>
    <row r="21" ht="24" customHeight="1">
      <c r="A21" s="24" t="inlineStr">
        <is>
          <t>주의</t>
        </is>
      </c>
      <c r="B21" s="24" t="inlineStr">
        <is>
          <t>미래수익률 예측모델이 아니라 대시보드/Chair용 설명가능 보조 가치평가 점수입니다.</t>
        </is>
      </c>
    </row>
  </sheetData>
  <autoFilter ref="A16:B21"/>
  <mergeCells count="2">
    <mergeCell ref="A1:F1"/>
    <mergeCell ref="A15:F15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WACC × 영구성장률 민감도</t>
        </is>
      </c>
    </row>
    <row r="2" ht="24" customHeight="1">
      <c r="A2" s="25" t="inlineStr">
        <is>
          <t>WACC</t>
        </is>
      </c>
      <c r="B2" s="25" t="inlineStr">
        <is>
          <t>영구성장률</t>
        </is>
      </c>
      <c r="C2" s="25" t="inlineStr">
        <is>
          <t>기업가치(EV)</t>
        </is>
      </c>
    </row>
    <row r="3" ht="24" customHeight="1">
      <c r="A3" s="35" t="n">
        <v>0.1275531756098363</v>
      </c>
      <c r="B3" s="35" t="n">
        <v>0.004999999999999999</v>
      </c>
      <c r="C3" s="30" t="n">
        <v>1656680910978.215</v>
      </c>
    </row>
    <row r="4" ht="24" customHeight="1">
      <c r="A4" s="36" t="n">
        <v>0.1275531756098363</v>
      </c>
      <c r="B4" s="36" t="n">
        <v>0.009999999999999998</v>
      </c>
      <c r="C4" s="31" t="n">
        <v>1703818686518.892</v>
      </c>
    </row>
    <row r="5" ht="24" customHeight="1">
      <c r="A5" s="35" t="n">
        <v>0.1275531756098363</v>
      </c>
      <c r="B5" s="35" t="n">
        <v>0.015</v>
      </c>
      <c r="C5" s="30" t="n">
        <v>1755144506980.138</v>
      </c>
    </row>
    <row r="6" ht="24" customHeight="1">
      <c r="A6" s="36" t="n">
        <v>0.1275531756098363</v>
      </c>
      <c r="B6" s="36" t="n">
        <v>0.02</v>
      </c>
      <c r="C6" s="31" t="n">
        <v>1811242461799.132</v>
      </c>
    </row>
    <row r="7" ht="24" customHeight="1">
      <c r="A7" s="35" t="n">
        <v>0.1275531756098363</v>
      </c>
      <c r="B7" s="35" t="n">
        <v>0.025</v>
      </c>
      <c r="C7" s="30" t="n">
        <v>1872810549988.974</v>
      </c>
    </row>
    <row r="8" ht="24" customHeight="1">
      <c r="A8" s="36" t="n">
        <v>0.1375531756098363</v>
      </c>
      <c r="B8" s="36" t="n">
        <v>0.004999999999999999</v>
      </c>
      <c r="C8" s="31" t="n">
        <v>1542718926909.237</v>
      </c>
    </row>
    <row r="9" ht="24" customHeight="1">
      <c r="A9" s="35" t="n">
        <v>0.1375531756098363</v>
      </c>
      <c r="B9" s="35" t="n">
        <v>0.009999999999999998</v>
      </c>
      <c r="C9" s="30" t="n">
        <v>1581490007731.313</v>
      </c>
    </row>
    <row r="10" ht="24" customHeight="1">
      <c r="A10" s="36" t="n">
        <v>0.1375531756098363</v>
      </c>
      <c r="B10" s="36" t="n">
        <v>0.015</v>
      </c>
      <c r="C10" s="31" t="n">
        <v>1623424701460.941</v>
      </c>
    </row>
    <row r="11" ht="24" customHeight="1">
      <c r="A11" s="35" t="n">
        <v>0.1375531756098363</v>
      </c>
      <c r="B11" s="35" t="n">
        <v>0.02</v>
      </c>
      <c r="C11" s="30" t="n">
        <v>1668926690885.652</v>
      </c>
    </row>
    <row r="12" ht="24" customHeight="1">
      <c r="A12" s="36" t="n">
        <v>0.1375531756098363</v>
      </c>
      <c r="B12" s="36" t="n">
        <v>0.025</v>
      </c>
      <c r="C12" s="31" t="n">
        <v>1718471390716.192</v>
      </c>
    </row>
    <row r="13" ht="24" customHeight="1">
      <c r="A13" s="35" t="n">
        <v>0.1425531756098363</v>
      </c>
      <c r="B13" s="35" t="n">
        <v>0.004999999999999999</v>
      </c>
      <c r="C13" s="30" t="n">
        <v>1492691418007.281</v>
      </c>
    </row>
    <row r="14" ht="24" customHeight="1">
      <c r="A14" s="36" t="n">
        <v>0.1425531756098363</v>
      </c>
      <c r="B14" s="36" t="n">
        <v>0.009999999999999998</v>
      </c>
      <c r="C14" s="31" t="n">
        <v>1528018657621.585</v>
      </c>
    </row>
    <row r="15" ht="24" customHeight="1">
      <c r="A15" s="35" t="n">
        <v>0.1425531756098363</v>
      </c>
      <c r="B15" s="35" t="n">
        <v>0.015</v>
      </c>
      <c r="C15" s="30" t="n">
        <v>1566115506024.177</v>
      </c>
    </row>
    <row r="16" ht="24" customHeight="1">
      <c r="A16" s="36" t="n">
        <v>0.1425531756098363</v>
      </c>
      <c r="B16" s="36" t="n">
        <v>0.02</v>
      </c>
      <c r="C16" s="31" t="n">
        <v>1607320951834.631</v>
      </c>
    </row>
    <row r="17" ht="24" customHeight="1">
      <c r="A17" s="35" t="n">
        <v>0.1425531756098363</v>
      </c>
      <c r="B17" s="35" t="n">
        <v>0.025</v>
      </c>
      <c r="C17" s="30" t="n">
        <v>1652031657762.192</v>
      </c>
    </row>
    <row r="18" ht="24" customHeight="1">
      <c r="A18" s="36" t="n">
        <v>0.1475531756098363</v>
      </c>
      <c r="B18" s="36" t="n">
        <v>0.004999999999999999</v>
      </c>
      <c r="C18" s="31" t="n">
        <v>1446630032853.859</v>
      </c>
    </row>
    <row r="19" ht="24" customHeight="1">
      <c r="A19" s="35" t="n">
        <v>0.1475531756098363</v>
      </c>
      <c r="B19" s="35" t="n">
        <v>0.009999999999999998</v>
      </c>
      <c r="C19" s="30" t="n">
        <v>1478910317433.293</v>
      </c>
    </row>
    <row r="20" ht="24" customHeight="1">
      <c r="A20" s="36" t="n">
        <v>0.1475531756098363</v>
      </c>
      <c r="B20" s="36" t="n">
        <v>0.015</v>
      </c>
      <c r="C20" s="31" t="n">
        <v>1513625872569.689</v>
      </c>
    </row>
    <row r="21" ht="24" customHeight="1">
      <c r="A21" s="35" t="n">
        <v>0.1475531756098363</v>
      </c>
      <c r="B21" s="35" t="n">
        <v>0.02</v>
      </c>
      <c r="C21" s="30" t="n">
        <v>1551063081241.594</v>
      </c>
    </row>
    <row r="22" ht="24" customHeight="1">
      <c r="A22" s="36" t="n">
        <v>0.1475531756098363</v>
      </c>
      <c r="B22" s="36" t="n">
        <v>0.025</v>
      </c>
      <c r="C22" s="31" t="n">
        <v>1591555062544.694</v>
      </c>
    </row>
    <row r="23" ht="24" customHeight="1">
      <c r="A23" s="35" t="n">
        <v>0.1575531756098363</v>
      </c>
      <c r="B23" s="35" t="n">
        <v>0.004999999999999999</v>
      </c>
      <c r="C23" s="30" t="n">
        <v>1364794782085.931</v>
      </c>
    </row>
    <row r="24" ht="24" customHeight="1">
      <c r="A24" s="36" t="n">
        <v>0.1575531756098363</v>
      </c>
      <c r="B24" s="36" t="n">
        <v>0.009999999999999998</v>
      </c>
      <c r="C24" s="31" t="n">
        <v>1391955580519.539</v>
      </c>
    </row>
    <row r="25" ht="24" customHeight="1">
      <c r="A25" s="35" t="n">
        <v>0.1575531756098363</v>
      </c>
      <c r="B25" s="35" t="n">
        <v>0.015</v>
      </c>
      <c r="C25" s="30" t="n">
        <v>1421021688906.251</v>
      </c>
    </row>
    <row r="26" ht="24" customHeight="1">
      <c r="A26" s="36" t="n">
        <v>0.1575531756098363</v>
      </c>
      <c r="B26" s="36" t="n">
        <v>0.02</v>
      </c>
      <c r="C26" s="31" t="n">
        <v>1452200878889.07</v>
      </c>
    </row>
    <row r="27" ht="24" customHeight="1">
      <c r="A27" s="35" t="n">
        <v>0.1575531756098363</v>
      </c>
      <c r="B27" s="35" t="n">
        <v>0.025</v>
      </c>
      <c r="C27" s="30" t="n">
        <v>1485732271287.211</v>
      </c>
    </row>
  </sheetData>
  <autoFilter ref="A2:C27"/>
  <mergeCells count="1">
    <mergeCell ref="A1:F1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검증 체크</t>
        </is>
      </c>
    </row>
    <row r="2" ht="24" customHeight="1">
      <c r="A2" s="25" t="inlineStr">
        <is>
          <t>중요도</t>
        </is>
      </c>
      <c r="B2" s="25" t="inlineStr">
        <is>
          <t>코드</t>
        </is>
      </c>
      <c r="C2" s="25" t="inlineStr">
        <is>
          <t>메시지</t>
        </is>
      </c>
    </row>
    <row r="3" ht="24" customHeight="1">
      <c r="A3" s="24" t="inlineStr">
        <is>
          <t>INFO</t>
        </is>
      </c>
      <c r="B3" s="24" t="inlineStr">
        <is>
          <t>NO_MAJOR_WARNINGS</t>
        </is>
      </c>
      <c r="C3" s="24" t="inlineStr">
        <is>
          <t>주요 validation warning 없음</t>
        </is>
      </c>
    </row>
  </sheetData>
  <autoFilter ref="A2:C3"/>
  <mergeCells count="1">
    <mergeCell ref="A1:F1"/>
  </mergeCells>
  <pageMargins left="0.75" right="0.75" top="1" bottom="1" header="0.5" footer="0.5"/>
  <pageSetup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20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대시보드 JSON 내보내기</t>
        </is>
      </c>
    </row>
    <row r="2" ht="24" customHeight="1">
      <c r="A2" s="25" t="inlineStr">
        <is>
          <t>구분</t>
        </is>
      </c>
      <c r="B2" s="25" t="inlineStr">
        <is>
          <t>항목</t>
        </is>
      </c>
      <c r="C2" s="25" t="inlineStr">
        <is>
          <t>값</t>
        </is>
      </c>
      <c r="D2" s="25" t="inlineStr">
        <is>
          <t>설명</t>
        </is>
      </c>
    </row>
    <row r="3" ht="24" customHeight="1">
      <c r="A3" s="24" t="inlineStr">
        <is>
          <t>agent</t>
        </is>
      </c>
      <c r="B3" s="24" t="inlineStr">
        <is>
          <t>값</t>
        </is>
      </c>
      <c r="C3" s="24" t="inlineStr">
        <is>
          <t>valuation</t>
        </is>
      </c>
      <c r="D3" s="24" t="inlineStr">
        <is>
          <t>대시보드 기본값</t>
        </is>
      </c>
    </row>
    <row r="4" ht="24" customHeight="1">
      <c r="A4" s="29" t="inlineStr">
        <is>
          <t>기업코드</t>
        </is>
      </c>
      <c r="B4" s="29" t="inlineStr">
        <is>
          <t>값</t>
        </is>
      </c>
      <c r="C4" s="29" t="inlineStr">
        <is>
          <t>hanmi</t>
        </is>
      </c>
      <c r="D4" s="29" t="inlineStr">
        <is>
          <t>대시보드 기본값</t>
        </is>
      </c>
    </row>
    <row r="5" ht="24" customHeight="1">
      <c r="A5" s="24" t="inlineStr">
        <is>
          <t>기업명</t>
        </is>
      </c>
      <c r="B5" s="24" t="inlineStr">
        <is>
          <t>값</t>
        </is>
      </c>
      <c r="C5" s="24" t="inlineStr">
        <is>
          <t>한미반도체</t>
        </is>
      </c>
      <c r="D5" s="24" t="inlineStr">
        <is>
          <t>대시보드 기본값</t>
        </is>
      </c>
    </row>
    <row r="6" ht="24" customHeight="1">
      <c r="A6" s="29" t="inlineStr">
        <is>
          <t>상태</t>
        </is>
      </c>
      <c r="B6" s="29" t="inlineStr">
        <is>
          <t>값</t>
        </is>
      </c>
      <c r="C6" s="29" t="inlineStr">
        <is>
          <t>PASS</t>
        </is>
      </c>
      <c r="D6" s="29" t="inlineStr">
        <is>
          <t>대시보드 기본값</t>
        </is>
      </c>
    </row>
    <row r="7" ht="24" customHeight="1">
      <c r="A7" s="24" t="inlineStr">
        <is>
          <t>korean_label</t>
        </is>
      </c>
      <c r="B7" s="24" t="inlineStr">
        <is>
          <t>값</t>
        </is>
      </c>
      <c r="C7" s="24" t="inlineStr">
        <is>
          <t>독립 가치평가 에이전트</t>
        </is>
      </c>
      <c r="D7" s="24" t="inlineStr">
        <is>
          <t>대시보드 기본값</t>
        </is>
      </c>
    </row>
    <row r="8" ht="24" customHeight="1">
      <c r="A8" s="29" t="inlineStr">
        <is>
          <t>요약 카드</t>
        </is>
      </c>
      <c r="B8" s="29" t="inlineStr">
        <is>
          <t>상위 블록</t>
        </is>
      </c>
      <c r="C8" s="29" t="inlineStr">
        <is>
          <t>31개 항목</t>
        </is>
      </c>
      <c r="D8" s="29" t="inlineStr">
        <is>
          <t>대시보드에서 객체로 사용</t>
        </is>
      </c>
    </row>
    <row r="9" ht="24" customHeight="1">
      <c r="A9" s="24" t="inlineStr">
        <is>
          <t>요약 카드</t>
        </is>
      </c>
      <c r="B9" s="24" t="inlineStr">
        <is>
          <t>WACC</t>
        </is>
      </c>
      <c r="C9" s="24" t="inlineStr">
        <is>
          <t>WACC</t>
        </is>
      </c>
      <c r="D9" s="24" t="inlineStr">
        <is>
          <t>JSON 상세는 dashboard_payload 파일 참조</t>
        </is>
      </c>
    </row>
    <row r="10" ht="24" customHeight="1">
      <c r="A10" s="29" t="inlineStr">
        <is>
          <t>요약 카드</t>
        </is>
      </c>
      <c r="B10" s="29" t="inlineStr">
        <is>
          <t>기업가치(EV)</t>
        </is>
      </c>
      <c r="C10" s="29" t="inlineStr">
        <is>
          <t>DCF 기업가치</t>
        </is>
      </c>
      <c r="D10" s="29" t="inlineStr">
        <is>
          <t>JSON 상세는 dashboard_payload 파일 참조</t>
        </is>
      </c>
    </row>
    <row r="11" ht="24" customHeight="1">
      <c r="A11" s="24" t="inlineStr">
        <is>
          <t>요약 카드</t>
        </is>
      </c>
      <c r="B11" s="24" t="inlineStr">
        <is>
          <t>equity_value</t>
        </is>
      </c>
      <c r="C11" s="24" t="inlineStr">
        <is>
          <t>DCF 지분가치</t>
        </is>
      </c>
      <c r="D11" s="24" t="inlineStr">
        <is>
          <t>JSON 상세는 dashboard_payload 파일 참조</t>
        </is>
      </c>
    </row>
    <row r="12" ht="24" customHeight="1">
      <c r="A12" s="29" t="inlineStr">
        <is>
          <t>요약 카드</t>
        </is>
      </c>
      <c r="B12" s="29" t="inlineStr">
        <is>
          <t>latest_close</t>
        </is>
      </c>
      <c r="C12" s="29" t="inlineStr">
        <is>
          <t>현재가</t>
        </is>
      </c>
      <c r="D12" s="29" t="inlineStr">
        <is>
          <t>JSON 상세는 dashboard_payload 파일 참조</t>
        </is>
      </c>
    </row>
    <row r="13" ht="24" customHeight="1">
      <c r="A13" s="24" t="inlineStr">
        <is>
          <t>요약 카드</t>
        </is>
      </c>
      <c r="B13" s="24" t="inlineStr">
        <is>
          <t>implied_price</t>
        </is>
      </c>
      <c r="C13" s="24" t="inlineStr">
        <is>
          <t>DCF 내재주가</t>
        </is>
      </c>
      <c r="D13" s="24" t="inlineStr">
        <is>
          <t>JSON 상세는 dashboard_payload 파일 참조</t>
        </is>
      </c>
    </row>
    <row r="14" ht="24" customHeight="1">
      <c r="A14" s="29" t="inlineStr">
        <is>
          <t>요약 카드</t>
        </is>
      </c>
      <c r="B14" s="29" t="inlineStr">
        <is>
          <t>현재가 대비</t>
        </is>
      </c>
      <c r="C14" s="29" t="inlineStr">
        <is>
          <t>현재가 대비 괴리율</t>
        </is>
      </c>
      <c r="D14" s="29" t="inlineStr">
        <is>
          <t>JSON 상세는 dashboard_payload 파일 참조</t>
        </is>
      </c>
    </row>
    <row r="15" ht="24" customHeight="1">
      <c r="A15" s="24" t="inlineStr">
        <is>
          <t>요약 카드</t>
        </is>
      </c>
      <c r="B15" s="24" t="inlineStr">
        <is>
          <t>분석대상 P/S</t>
        </is>
      </c>
      <c r="C15" s="24" t="inlineStr">
        <is>
          <t>P/S</t>
        </is>
      </c>
      <c r="D15" s="24" t="inlineStr">
        <is>
          <t>JSON 상세는 dashboard_payload 파일 참조</t>
        </is>
      </c>
    </row>
    <row r="16" ht="24" customHeight="1">
      <c r="A16" s="29" t="inlineStr">
        <is>
          <t>요약 카드</t>
        </is>
      </c>
      <c r="B16" s="29" t="inlineStr">
        <is>
          <t>Peer P/S 중앙값</t>
        </is>
      </c>
      <c r="C16" s="29" t="inlineStr">
        <is>
          <t>비교기업 P/S 중앙값</t>
        </is>
      </c>
      <c r="D16" s="29" t="inlineStr">
        <is>
          <t>JSON 상세는 dashboard_payload 파일 참조</t>
        </is>
      </c>
    </row>
    <row r="17" ht="24" customHeight="1">
      <c r="A17" s="24" t="inlineStr">
        <is>
          <t>요약 카드</t>
        </is>
      </c>
      <c r="B17" s="24" t="inlineStr">
        <is>
          <t>psr_gap</t>
        </is>
      </c>
      <c r="C17" s="24" t="inlineStr">
        <is>
          <t>P/S 중앙값 대비</t>
        </is>
      </c>
      <c r="D17" s="24" t="inlineStr">
        <is>
          <t>JSON 상세는 dashboard_payload 파일 참조</t>
        </is>
      </c>
    </row>
    <row r="18" ht="24" customHeight="1">
      <c r="A18" s="29" t="inlineStr">
        <is>
          <t>요약 카드</t>
        </is>
      </c>
      <c r="B18" s="29" t="inlineStr">
        <is>
          <t>reference_rows</t>
        </is>
      </c>
      <c r="C18" s="29" t="inlineStr">
        <is>
          <t>208개 반도체 비교군</t>
        </is>
      </c>
      <c r="D18" s="29" t="inlineStr">
        <is>
          <t>JSON 상세는 dashboard_payload 파일 참조</t>
        </is>
      </c>
    </row>
    <row r="19" ht="24" customHeight="1">
      <c r="A19" s="24" t="inlineStr">
        <is>
          <t>요약 카드</t>
        </is>
      </c>
      <c r="B19" s="24" t="inlineStr">
        <is>
          <t>reference_peer_group</t>
        </is>
      </c>
      <c r="C19" s="24" t="inlineStr">
        <is>
          <t>기준 비교군 그룹</t>
        </is>
      </c>
      <c r="D19" s="24" t="inlineStr">
        <is>
          <t>JSON 상세는 dashboard_payload 파일 참조</t>
        </is>
      </c>
    </row>
    <row r="20" ht="24" customHeight="1">
      <c r="A20" s="29" t="inlineStr">
        <is>
          <t>요약 카드</t>
        </is>
      </c>
      <c r="B20" s="29" t="inlineStr">
        <is>
          <t>1년 수익률</t>
        </is>
      </c>
      <c r="C20" s="29" t="inlineStr">
        <is>
          <t>1년 수익률</t>
        </is>
      </c>
      <c r="D20" s="29" t="inlineStr">
        <is>
          <t>JSON 상세는 dashboard_payload 파일 참조</t>
        </is>
      </c>
    </row>
    <row r="21" ht="24" customHeight="1">
      <c r="A21" s="24" t="inlineStr">
        <is>
          <t>요약 카드</t>
        </is>
      </c>
      <c r="B21" s="24" t="inlineStr">
        <is>
          <t>MDD</t>
        </is>
      </c>
      <c r="C21" s="24" t="inlineStr">
        <is>
          <t>MDD</t>
        </is>
      </c>
      <c r="D21" s="24" t="inlineStr">
        <is>
          <t>JSON 상세는 dashboard_payload 파일 참조</t>
        </is>
      </c>
    </row>
    <row r="22" ht="24" customHeight="1">
      <c r="A22" s="29" t="inlineStr">
        <is>
          <t>요약 카드</t>
        </is>
      </c>
      <c r="B22" s="29" t="inlineStr">
        <is>
          <t>volatility</t>
        </is>
      </c>
      <c r="C22" s="29" t="inlineStr">
        <is>
          <t>연환산 변동성</t>
        </is>
      </c>
      <c r="D22" s="29" t="inlineStr">
        <is>
          <t>JSON 상세는 dashboard_payload 파일 참조</t>
        </is>
      </c>
    </row>
    <row r="23" ht="24" customHeight="1">
      <c r="A23" s="24" t="inlineStr">
        <is>
          <t>요약 카드</t>
        </is>
      </c>
      <c r="B23" s="24" t="inlineStr">
        <is>
          <t>시가총액</t>
        </is>
      </c>
      <c r="C23" s="24" t="inlineStr">
        <is>
          <t>시가총액</t>
        </is>
      </c>
      <c r="D23" s="24" t="inlineStr">
        <is>
          <t>JSON 상세는 dashboard_payload 파일 참조</t>
        </is>
      </c>
    </row>
    <row r="24" ht="24" customHeight="1">
      <c r="A24" s="29" t="inlineStr">
        <is>
          <t>요약 카드</t>
        </is>
      </c>
      <c r="B24" s="29" t="inlineStr">
        <is>
          <t>발행주식 수</t>
        </is>
      </c>
      <c r="C24" s="29" t="inlineStr">
        <is>
          <t>발행주식 수</t>
        </is>
      </c>
      <c r="D24" s="29" t="inlineStr">
        <is>
          <t>JSON 상세는 dashboard_payload 파일 참조</t>
        </is>
      </c>
    </row>
    <row r="25" ht="24" customHeight="1">
      <c r="A25" s="24" t="inlineStr">
        <is>
          <t>요약 카드</t>
        </is>
      </c>
      <c r="B25" s="24" t="inlineStr">
        <is>
          <t>20일 평균 거래대금</t>
        </is>
      </c>
      <c r="C25" s="24" t="inlineStr">
        <is>
          <t>20일 평균 거래대금</t>
        </is>
      </c>
      <c r="D25" s="24" t="inlineStr">
        <is>
          <t>JSON 상세는 dashboard_payload 파일 참조</t>
        </is>
      </c>
    </row>
    <row r="26" ht="24" customHeight="1">
      <c r="A26" s="29" t="inlineStr">
        <is>
          <t>요약 카드</t>
        </is>
      </c>
      <c r="B26" s="29" t="inlineStr">
        <is>
          <t>최근 거래회전율</t>
        </is>
      </c>
      <c r="C26" s="29" t="inlineStr">
        <is>
          <t>최근 거래회전율</t>
        </is>
      </c>
      <c r="D26" s="29" t="inlineStr">
        <is>
          <t>JSON 상세는 dashboard_payload 파일 참조</t>
        </is>
      </c>
    </row>
    <row r="27" ht="24" customHeight="1">
      <c r="A27" s="24" t="inlineStr">
        <is>
          <t>latest_financials</t>
        </is>
      </c>
      <c r="B27" s="24" t="inlineStr">
        <is>
          <t>상위 블록</t>
        </is>
      </c>
      <c r="C27" s="24" t="inlineStr">
        <is>
          <t>37개 항목</t>
        </is>
      </c>
      <c r="D27" s="24" t="inlineStr">
        <is>
          <t>대시보드에서 객체로 사용</t>
        </is>
      </c>
    </row>
    <row r="28" ht="24" customHeight="1">
      <c r="A28" s="29" t="inlineStr">
        <is>
          <t>latest_financials</t>
        </is>
      </c>
      <c r="B28" s="29" t="inlineStr">
        <is>
          <t>연도</t>
        </is>
      </c>
      <c r="C28" s="31" t="n">
        <v>2025</v>
      </c>
      <c r="D28" s="29" t="inlineStr">
        <is>
          <t>JSON 상세는 dashboard_payload 파일 참조</t>
        </is>
      </c>
    </row>
    <row r="29" ht="24" customHeight="1">
      <c r="A29" s="24" t="inlineStr">
        <is>
          <t>latest_financials</t>
        </is>
      </c>
      <c r="B29" s="24" t="inlineStr">
        <is>
          <t>매출액</t>
        </is>
      </c>
      <c r="C29" s="30" t="n">
        <v>576684619527</v>
      </c>
      <c r="D29" s="24" t="inlineStr">
        <is>
          <t>JSON 상세는 dashboard_payload 파일 참조</t>
        </is>
      </c>
    </row>
    <row r="30" ht="24" customHeight="1">
      <c r="A30" s="29" t="inlineStr">
        <is>
          <t>latest_financials</t>
        </is>
      </c>
      <c r="B30" s="29" t="inlineStr">
        <is>
          <t>영업이익</t>
        </is>
      </c>
      <c r="C30" s="31" t="n">
        <v>251390142142</v>
      </c>
      <c r="D30" s="29" t="inlineStr">
        <is>
          <t>JSON 상세는 dashboard_payload 파일 참조</t>
        </is>
      </c>
    </row>
    <row r="31" ht="24" customHeight="1">
      <c r="A31" s="24" t="inlineStr">
        <is>
          <t>latest_financials</t>
        </is>
      </c>
      <c r="B31" s="24" t="inlineStr">
        <is>
          <t>순이익</t>
        </is>
      </c>
      <c r="C31" s="30" t="n">
        <v>214007548411</v>
      </c>
      <c r="D31" s="24" t="inlineStr">
        <is>
          <t>JSON 상세는 dashboard_payload 파일 참조</t>
        </is>
      </c>
    </row>
    <row r="32" ht="24" customHeight="1">
      <c r="A32" s="29" t="inlineStr">
        <is>
          <t>latest_financials</t>
        </is>
      </c>
      <c r="B32" s="29" t="inlineStr">
        <is>
          <t>자산총계</t>
        </is>
      </c>
      <c r="C32" s="31" t="n">
        <v>813331626120</v>
      </c>
      <c r="D32" s="29" t="inlineStr">
        <is>
          <t>JSON 상세는 dashboard_payload 파일 참조</t>
        </is>
      </c>
    </row>
    <row r="33" ht="24" customHeight="1">
      <c r="A33" s="24" t="inlineStr">
        <is>
          <t>latest_financials</t>
        </is>
      </c>
      <c r="B33" s="24" t="inlineStr">
        <is>
          <t>부채총계</t>
        </is>
      </c>
      <c r="C33" s="30" t="n">
        <v>123004106583</v>
      </c>
      <c r="D33" s="24" t="inlineStr">
        <is>
          <t>JSON 상세는 dashboard_payload 파일 참조</t>
        </is>
      </c>
    </row>
    <row r="34" ht="24" customHeight="1">
      <c r="A34" s="29" t="inlineStr">
        <is>
          <t>latest_financials</t>
        </is>
      </c>
      <c r="B34" s="29" t="inlineStr">
        <is>
          <t>자본총계</t>
        </is>
      </c>
      <c r="C34" s="31" t="n">
        <v>690327519537</v>
      </c>
      <c r="D34" s="29" t="inlineStr">
        <is>
          <t>JSON 상세는 dashboard_payload 파일 참조</t>
        </is>
      </c>
    </row>
    <row r="35" ht="24" customHeight="1">
      <c r="A35" s="24" t="inlineStr">
        <is>
          <t>latest_financials</t>
        </is>
      </c>
      <c r="B35" s="24" t="inlineStr">
        <is>
          <t>현금성자산</t>
        </is>
      </c>
      <c r="C35" s="30" t="n">
        <v>276235377529</v>
      </c>
      <c r="D35" s="24" t="inlineStr">
        <is>
          <t>JSON 상세는 dashboard_payload 파일 참조</t>
        </is>
      </c>
    </row>
    <row r="36" ht="24" customHeight="1">
      <c r="A36" s="29" t="inlineStr">
        <is>
          <t>latest_financials</t>
        </is>
      </c>
      <c r="B36" s="29" t="inlineStr">
        <is>
          <t>영업현금흐름</t>
        </is>
      </c>
      <c r="C36" s="31" t="n">
        <v>228626759780</v>
      </c>
      <c r="D36" s="29" t="inlineStr">
        <is>
          <t>JSON 상세는 dashboard_payload 파일 참조</t>
        </is>
      </c>
    </row>
    <row r="37" ht="24" customHeight="1">
      <c r="A37" s="24" t="inlineStr">
        <is>
          <t>latest_financials</t>
        </is>
      </c>
      <c r="B37" s="24" t="inlineStr">
        <is>
          <t>CAPEX</t>
        </is>
      </c>
      <c r="C37" s="30" t="n">
        <v>19113861717</v>
      </c>
      <c r="D37" s="24" t="inlineStr">
        <is>
          <t>JSON 상세는 dashboard_payload 파일 참조</t>
        </is>
      </c>
    </row>
    <row r="38" ht="24" customHeight="1">
      <c r="A38" s="29" t="inlineStr">
        <is>
          <t>latest_financials</t>
        </is>
      </c>
      <c r="B38" s="29" t="inlineStr">
        <is>
          <t>FCF</t>
        </is>
      </c>
      <c r="C38" s="31" t="n">
        <v>209512898063</v>
      </c>
      <c r="D38" s="29" t="inlineStr">
        <is>
          <t>JSON 상세는 dashboard_payload 파일 참조</t>
        </is>
      </c>
    </row>
    <row r="39" ht="24" customHeight="1">
      <c r="A39" s="24" t="inlineStr">
        <is>
          <t>latest_financials</t>
        </is>
      </c>
      <c r="B39" s="24" t="inlineStr">
        <is>
          <t>투자현금흐름</t>
        </is>
      </c>
      <c r="C39" s="30" t="n">
        <v>18323837100</v>
      </c>
      <c r="D39" s="24" t="inlineStr">
        <is>
          <t>JSON 상세는 dashboard_payload 파일 참조</t>
        </is>
      </c>
    </row>
    <row r="40" ht="24" customHeight="1">
      <c r="A40" s="29" t="inlineStr">
        <is>
          <t>latest_financials</t>
        </is>
      </c>
      <c r="B40" s="29" t="inlineStr">
        <is>
          <t>원천계정수</t>
        </is>
      </c>
      <c r="C40" s="31" t="n">
        <v>244</v>
      </c>
      <c r="D40" s="29" t="inlineStr">
        <is>
          <t>JSON 상세는 dashboard_payload 파일 참조</t>
        </is>
      </c>
    </row>
    <row r="41" ht="24" customHeight="1">
      <c r="A41" s="24" t="inlineStr">
        <is>
          <t>latest_financials</t>
        </is>
      </c>
      <c r="B41" s="24" t="inlineStr">
        <is>
          <t>매출 원천계정</t>
        </is>
      </c>
      <c r="C41" s="24" t="inlineStr">
        <is>
          <t>수익(매출액)</t>
        </is>
      </c>
      <c r="D41" s="24" t="inlineStr">
        <is>
          <t>JSON 상세는 dashboard_payload 파일 참조</t>
        </is>
      </c>
    </row>
    <row r="42" ht="24" customHeight="1">
      <c r="A42" s="29" t="inlineStr">
        <is>
          <t>latest_financials</t>
        </is>
      </c>
      <c r="B42" s="29" t="inlineStr">
        <is>
          <t>영업이익 원천계정</t>
        </is>
      </c>
      <c r="C42" s="29" t="inlineStr">
        <is>
          <t>영업이익(손실)</t>
        </is>
      </c>
      <c r="D42" s="29" t="inlineStr">
        <is>
          <t>JSON 상세는 dashboard_payload 파일 참조</t>
        </is>
      </c>
    </row>
    <row r="43" ht="24" customHeight="1">
      <c r="A43" s="24" t="inlineStr">
        <is>
          <t>latest_financials</t>
        </is>
      </c>
      <c r="B43" s="24" t="inlineStr">
        <is>
          <t>순이익 원천계정</t>
        </is>
      </c>
      <c r="C43" s="24" t="inlineStr">
        <is>
          <t>당기순이익(손실)</t>
        </is>
      </c>
      <c r="D43" s="24" t="inlineStr">
        <is>
          <t>JSON 상세는 dashboard_payload 파일 참조</t>
        </is>
      </c>
    </row>
    <row r="44" ht="24" customHeight="1">
      <c r="A44" s="29" t="inlineStr">
        <is>
          <t>latest_financials</t>
        </is>
      </c>
      <c r="B44" s="29" t="inlineStr">
        <is>
          <t>자산 원천계정</t>
        </is>
      </c>
      <c r="C44" s="29" t="inlineStr">
        <is>
          <t>자산총계</t>
        </is>
      </c>
      <c r="D44" s="29" t="inlineStr">
        <is>
          <t>JSON 상세는 dashboard_payload 파일 참조</t>
        </is>
      </c>
    </row>
    <row r="45" ht="24" customHeight="1">
      <c r="A45" s="24" t="inlineStr">
        <is>
          <t>latest_financials</t>
        </is>
      </c>
      <c r="B45" s="24" t="inlineStr">
        <is>
          <t>부채 원천계정</t>
        </is>
      </c>
      <c r="C45" s="24" t="inlineStr">
        <is>
          <t>부채총계</t>
        </is>
      </c>
      <c r="D45" s="24" t="inlineStr">
        <is>
          <t>JSON 상세는 dashboard_payload 파일 참조</t>
        </is>
      </c>
    </row>
    <row r="46" ht="24" customHeight="1">
      <c r="A46" s="29" t="inlineStr">
        <is>
          <t>주가 요약</t>
        </is>
      </c>
      <c r="B46" s="29" t="inlineStr">
        <is>
          <t>상위 블록</t>
        </is>
      </c>
      <c r="C46" s="29" t="inlineStr">
        <is>
          <t>19개 항목</t>
        </is>
      </c>
      <c r="D46" s="29" t="inlineStr">
        <is>
          <t>대시보드에서 객체로 사용</t>
        </is>
      </c>
    </row>
    <row r="47" ht="24" customHeight="1">
      <c r="A47" s="24" t="inlineStr">
        <is>
          <t>주가 요약</t>
        </is>
      </c>
      <c r="B47" s="24" t="inlineStr">
        <is>
          <t>latest_close</t>
        </is>
      </c>
      <c r="C47" s="30" t="n">
        <v>291000</v>
      </c>
      <c r="D47" s="24" t="inlineStr">
        <is>
          <t>JSON 상세는 dashboard_payload 파일 참조</t>
        </is>
      </c>
    </row>
    <row r="48" ht="24" customHeight="1">
      <c r="A48" s="29" t="inlineStr">
        <is>
          <t>주가 요약</t>
        </is>
      </c>
      <c r="B48" s="29" t="inlineStr">
        <is>
          <t>first_close</t>
        </is>
      </c>
      <c r="C48" s="31" t="n">
        <v>17125</v>
      </c>
      <c r="D48" s="29" t="inlineStr">
        <is>
          <t>JSON 상세는 dashboard_payload 파일 참조</t>
        </is>
      </c>
    </row>
    <row r="49" ht="24" customHeight="1">
      <c r="A49" s="24" t="inlineStr">
        <is>
          <t>주가 요약</t>
        </is>
      </c>
      <c r="B49" s="24" t="inlineStr">
        <is>
          <t>return_total</t>
        </is>
      </c>
      <c r="C49" s="30" t="n">
        <v>15.99270072992701</v>
      </c>
      <c r="D49" s="24" t="inlineStr">
        <is>
          <t>JSON 상세는 dashboard_payload 파일 참조</t>
        </is>
      </c>
    </row>
    <row r="50" ht="24" customHeight="1">
      <c r="A50" s="29" t="inlineStr">
        <is>
          <t>주가 요약</t>
        </is>
      </c>
      <c r="B50" s="29" t="inlineStr">
        <is>
          <t>1년 수익률</t>
        </is>
      </c>
      <c r="C50" s="31" t="n">
        <v>2.553113553113553</v>
      </c>
      <c r="D50" s="29" t="inlineStr">
        <is>
          <t>JSON 상세는 dashboard_payload 파일 참조</t>
        </is>
      </c>
    </row>
    <row r="51" ht="24" customHeight="1">
      <c r="A51" s="24" t="inlineStr">
        <is>
          <t>주가 요약</t>
        </is>
      </c>
      <c r="B51" s="24" t="inlineStr">
        <is>
          <t>연환산 변동성</t>
        </is>
      </c>
      <c r="C51" s="30" t="n">
        <v>0.662250533231738</v>
      </c>
      <c r="D51" s="24" t="inlineStr">
        <is>
          <t>JSON 상세는 dashboard_payload 파일 참조</t>
        </is>
      </c>
    </row>
    <row r="52" ht="24" customHeight="1">
      <c r="A52" s="29" t="inlineStr">
        <is>
          <t>주가 요약</t>
        </is>
      </c>
      <c r="B52" s="29" t="inlineStr">
        <is>
          <t>MDD</t>
        </is>
      </c>
      <c r="C52" s="31" t="n">
        <v>-0.6814814814814815</v>
      </c>
      <c r="D52" s="29" t="inlineStr">
        <is>
          <t>JSON 상세는 dashboard_payload 파일 참조</t>
        </is>
      </c>
    </row>
    <row r="53" ht="24" customHeight="1">
      <c r="A53" s="24" t="inlineStr">
        <is>
          <t>주가 요약</t>
        </is>
      </c>
      <c r="B53" s="24" t="inlineStr">
        <is>
          <t>52주 고가</t>
        </is>
      </c>
      <c r="C53" s="30" t="n">
        <v>409500</v>
      </c>
      <c r="D53" s="24" t="inlineStr">
        <is>
          <t>JSON 상세는 dashboard_payload 파일 참조</t>
        </is>
      </c>
    </row>
    <row r="54" ht="24" customHeight="1">
      <c r="A54" s="29" t="inlineStr">
        <is>
          <t>주가 요약</t>
        </is>
      </c>
      <c r="B54" s="29" t="inlineStr">
        <is>
          <t>52주 저가</t>
        </is>
      </c>
      <c r="C54" s="31" t="n">
        <v>77400</v>
      </c>
      <c r="D54" s="29" t="inlineStr">
        <is>
          <t>JSON 상세는 dashboard_payload 파일 참조</t>
        </is>
      </c>
    </row>
    <row r="55" ht="24" customHeight="1">
      <c r="A55" s="24" t="inlineStr">
        <is>
          <t>주가 요약</t>
        </is>
      </c>
      <c r="B55" s="24" t="inlineStr">
        <is>
          <t>발행주식 수</t>
        </is>
      </c>
      <c r="C55" s="30" t="n">
        <v>95312200</v>
      </c>
      <c r="D55" s="24" t="inlineStr">
        <is>
          <t>JSON 상세는 dashboard_payload 파일 참조</t>
        </is>
      </c>
    </row>
    <row r="56" ht="24" customHeight="1">
      <c r="A56" s="29" t="inlineStr">
        <is>
          <t>주가 요약</t>
        </is>
      </c>
      <c r="B56" s="29" t="inlineStr">
        <is>
          <t>시가총액</t>
        </is>
      </c>
      <c r="C56" s="31" t="n">
        <v>27735850200000</v>
      </c>
      <c r="D56" s="29" t="inlineStr">
        <is>
          <t>JSON 상세는 dashboard_payload 파일 참조</t>
        </is>
      </c>
    </row>
    <row r="57" ht="24" customHeight="1">
      <c r="A57" s="24" t="inlineStr">
        <is>
          <t>주가 요약</t>
        </is>
      </c>
      <c r="B57" s="24" t="inlineStr">
        <is>
          <t>최근 거래량</t>
        </is>
      </c>
      <c r="C57" s="30" t="n">
        <v>452616</v>
      </c>
      <c r="D57" s="24" t="inlineStr">
        <is>
          <t>JSON 상세는 dashboard_payload 파일 참조</t>
        </is>
      </c>
    </row>
    <row r="58" ht="24" customHeight="1">
      <c r="A58" s="29" t="inlineStr">
        <is>
          <t>주가 요약</t>
        </is>
      </c>
      <c r="B58" s="29" t="inlineStr">
        <is>
          <t>최근 거래대금</t>
        </is>
      </c>
      <c r="C58" s="31" t="n">
        <v>131711256000</v>
      </c>
      <c r="D58" s="29" t="inlineStr">
        <is>
          <t>JSON 상세는 dashboard_payload 파일 참조</t>
        </is>
      </c>
    </row>
    <row r="59" ht="24" customHeight="1">
      <c r="A59" s="24" t="inlineStr">
        <is>
          <t>주가 요약</t>
        </is>
      </c>
      <c r="B59" s="24" t="inlineStr">
        <is>
          <t>20일 평균 거래대금</t>
        </is>
      </c>
      <c r="C59" s="30" t="n">
        <v>513934339150</v>
      </c>
      <c r="D59" s="24" t="inlineStr">
        <is>
          <t>JSON 상세는 dashboard_payload 파일 참조</t>
        </is>
      </c>
    </row>
    <row r="60" ht="24" customHeight="1">
      <c r="A60" s="29" t="inlineStr">
        <is>
          <t>주가 요약</t>
        </is>
      </c>
      <c r="B60" s="29" t="inlineStr">
        <is>
          <t>20일 평균 거래량</t>
        </is>
      </c>
      <c r="C60" s="31" t="n">
        <v>1426830.7</v>
      </c>
      <c r="D60" s="29" t="inlineStr">
        <is>
          <t>JSON 상세는 dashboard_payload 파일 참조</t>
        </is>
      </c>
    </row>
    <row r="61" ht="24" customHeight="1">
      <c r="A61" s="24" t="inlineStr">
        <is>
          <t>주가 요약</t>
        </is>
      </c>
      <c r="B61" s="24" t="inlineStr">
        <is>
          <t>최근 거래회전율</t>
        </is>
      </c>
      <c r="C61" s="30" t="n">
        <v>0.004748772979744461</v>
      </c>
      <c r="D61" s="24" t="inlineStr">
        <is>
          <t>JSON 상세는 dashboard_payload 파일 참조</t>
        </is>
      </c>
    </row>
    <row r="62" ht="24" customHeight="1">
      <c r="A62" s="29" t="inlineStr">
        <is>
          <t>주가 요약</t>
        </is>
      </c>
      <c r="B62" s="29" t="inlineStr">
        <is>
          <t>20일 평균 거래회전율</t>
        </is>
      </c>
      <c r="C62" s="31" t="n">
        <v>0.01497007413531531</v>
      </c>
      <c r="D62" s="29" t="inlineStr">
        <is>
          <t>JSON 상세는 dashboard_payload 파일 참조</t>
        </is>
      </c>
    </row>
    <row r="63" ht="24" customHeight="1">
      <c r="A63" s="24" t="inlineStr">
        <is>
          <t>주가 요약</t>
        </is>
      </c>
      <c r="B63" s="24" t="inlineStr">
        <is>
          <t>price_rows</t>
        </is>
      </c>
      <c r="C63" s="30" t="n">
        <v>1222</v>
      </c>
      <c r="D63" s="24" t="inlineStr">
        <is>
          <t>JSON 상세는 dashboard_payload 파일 참조</t>
        </is>
      </c>
    </row>
    <row r="64" ht="24" customHeight="1">
      <c r="A64" s="29" t="inlineStr">
        <is>
          <t>주가 요약</t>
        </is>
      </c>
      <c r="B64" s="29" t="inlineStr">
        <is>
          <t>price_start</t>
        </is>
      </c>
      <c r="C64" s="29" t="inlineStr">
        <is>
          <t>2021-05-20</t>
        </is>
      </c>
      <c r="D64" s="29" t="inlineStr">
        <is>
          <t>JSON 상세는 dashboard_payload 파일 참조</t>
        </is>
      </c>
    </row>
    <row r="65" ht="24" customHeight="1">
      <c r="A65" s="24" t="inlineStr">
        <is>
          <t>WACC</t>
        </is>
      </c>
      <c r="B65" s="24" t="inlineStr">
        <is>
          <t>상위 블록</t>
        </is>
      </c>
      <c r="C65" s="24" t="inlineStr">
        <is>
          <t>14개 항목</t>
        </is>
      </c>
      <c r="D65" s="24" t="inlineStr">
        <is>
          <t>대시보드에서 객체로 사용</t>
        </is>
      </c>
    </row>
    <row r="66" ht="24" customHeight="1">
      <c r="A66" s="29" t="inlineStr">
        <is>
          <t>WACC</t>
        </is>
      </c>
      <c r="B66" s="29" t="inlineStr">
        <is>
          <t>risk_free_rate</t>
        </is>
      </c>
      <c r="C66" s="31" t="n">
        <v>0.035</v>
      </c>
      <c r="D66" s="29" t="inlineStr">
        <is>
          <t>JSON 상세는 dashboard_payload 파일 참조</t>
        </is>
      </c>
    </row>
    <row r="67" ht="24" customHeight="1">
      <c r="A67" s="24" t="inlineStr">
        <is>
          <t>WACC</t>
        </is>
      </c>
      <c r="B67" s="24" t="inlineStr">
        <is>
          <t>market_risk_premium</t>
        </is>
      </c>
      <c r="C67" s="30" t="n">
        <v>0.06</v>
      </c>
      <c r="D67" s="24" t="inlineStr">
        <is>
          <t>JSON 상세는 dashboard_payload 파일 참조</t>
        </is>
      </c>
    </row>
    <row r="68" ht="24" customHeight="1">
      <c r="A68" s="29" t="inlineStr">
        <is>
          <t>WACC</t>
        </is>
      </c>
      <c r="B68" s="29" t="inlineStr">
        <is>
          <t>beta</t>
        </is>
      </c>
      <c r="C68" s="31" t="n">
        <v>1.8</v>
      </c>
      <c r="D68" s="29" t="inlineStr">
        <is>
          <t>JSON 상세는 dashboard_payload 파일 참조</t>
        </is>
      </c>
    </row>
    <row r="69" ht="24" customHeight="1">
      <c r="A69" s="24" t="inlineStr">
        <is>
          <t>WACC</t>
        </is>
      </c>
      <c r="B69" s="24" t="inlineStr">
        <is>
          <t>cost_of_equity</t>
        </is>
      </c>
      <c r="C69" s="30" t="n">
        <v>0.143</v>
      </c>
      <c r="D69" s="24" t="inlineStr">
        <is>
          <t>JSON 상세는 dashboard_payload 파일 참조</t>
        </is>
      </c>
    </row>
    <row r="70" ht="24" customHeight="1">
      <c r="A70" s="29" t="inlineStr">
        <is>
          <t>WACC</t>
        </is>
      </c>
      <c r="B70" s="29" t="inlineStr">
        <is>
          <t>pre_tax_cost_of_debt</t>
        </is>
      </c>
      <c r="C70" s="31" t="n">
        <v>0.055</v>
      </c>
      <c r="D70" s="29" t="inlineStr">
        <is>
          <t>JSON 상세는 dashboard_payload 파일 참조</t>
        </is>
      </c>
    </row>
    <row r="71" ht="24" customHeight="1">
      <c r="A71" s="24" t="inlineStr">
        <is>
          <t>WACC</t>
        </is>
      </c>
      <c r="B71" s="24" t="inlineStr">
        <is>
          <t>tax_rate</t>
        </is>
      </c>
      <c r="C71" s="30" t="n">
        <v>0.24</v>
      </c>
      <c r="D71" s="24" t="inlineStr">
        <is>
          <t>JSON 상세는 dashboard_payload 파일 참조</t>
        </is>
      </c>
    </row>
    <row r="72" ht="24" customHeight="1">
      <c r="A72" s="29" t="inlineStr">
        <is>
          <t>WACC</t>
        </is>
      </c>
      <c r="B72" s="29" t="inlineStr">
        <is>
          <t>after_tax_cost_of_debt</t>
        </is>
      </c>
      <c r="C72" s="31" t="n">
        <v>0.0418</v>
      </c>
      <c r="D72" s="29" t="inlineStr">
        <is>
          <t>JSON 상세는 dashboard_payload 파일 참조</t>
        </is>
      </c>
    </row>
    <row r="73" ht="24" customHeight="1">
      <c r="A73" s="24" t="inlineStr">
        <is>
          <t>WACC</t>
        </is>
      </c>
      <c r="B73" s="24" t="inlineStr">
        <is>
          <t>debt_weight</t>
        </is>
      </c>
      <c r="C73" s="30" t="n">
        <v>0.004415260772369032</v>
      </c>
      <c r="D73" s="24" t="inlineStr">
        <is>
          <t>JSON 상세는 dashboard_payload 파일 참조</t>
        </is>
      </c>
    </row>
    <row r="74" ht="24" customHeight="1">
      <c r="A74" s="29" t="inlineStr">
        <is>
          <t>WACC</t>
        </is>
      </c>
      <c r="B74" s="29" t="inlineStr">
        <is>
          <t>equity_weight</t>
        </is>
      </c>
      <c r="C74" s="31" t="n">
        <v>0.995584739227631</v>
      </c>
      <c r="D74" s="29" t="inlineStr">
        <is>
          <t>JSON 상세는 dashboard_payload 파일 참조</t>
        </is>
      </c>
    </row>
    <row r="75" ht="24" customHeight="1">
      <c r="A75" s="24" t="inlineStr">
        <is>
          <t>WACC</t>
        </is>
      </c>
      <c r="B75" s="24" t="inlineStr">
        <is>
          <t>book_equity</t>
        </is>
      </c>
      <c r="C75" s="30" t="n">
        <v>690327519537</v>
      </c>
      <c r="D75" s="24" t="inlineStr">
        <is>
          <t>JSON 상세는 dashboard_payload 파일 참조</t>
        </is>
      </c>
    </row>
    <row r="76" ht="24" customHeight="1">
      <c r="A76" s="29" t="inlineStr">
        <is>
          <t>WACC</t>
        </is>
      </c>
      <c r="B76" s="29" t="inlineStr">
        <is>
          <t>market_cap_used_for_equity_weight</t>
        </is>
      </c>
      <c r="C76" s="31" t="n">
        <v>27735850200000</v>
      </c>
      <c r="D76" s="29" t="inlineStr">
        <is>
          <t>JSON 상세는 dashboard_payload 파일 참조</t>
        </is>
      </c>
    </row>
    <row r="77" ht="24" customHeight="1">
      <c r="A77" s="24" t="inlineStr">
        <is>
          <t>WACC</t>
        </is>
      </c>
      <c r="B77" s="24" t="inlineStr">
        <is>
          <t>debt_proxy_liabilities</t>
        </is>
      </c>
      <c r="C77" s="30" t="n">
        <v>123004106583</v>
      </c>
      <c r="D77" s="24" t="inlineStr">
        <is>
          <t>JSON 상세는 dashboard_payload 파일 참조</t>
        </is>
      </c>
    </row>
    <row r="78" ht="24" customHeight="1">
      <c r="A78" s="29" t="inlineStr">
        <is>
          <t>WACC</t>
        </is>
      </c>
      <c r="B78" s="29" t="inlineStr">
        <is>
          <t>WACC</t>
        </is>
      </c>
      <c r="C78" s="31" t="n">
        <v>0.1425531756098363</v>
      </c>
      <c r="D78" s="29" t="inlineStr">
        <is>
          <t>JSON 상세는 dashboard_payload 파일 참조</t>
        </is>
      </c>
    </row>
    <row r="79" ht="24" customHeight="1">
      <c r="A79" s="24" t="inlineStr">
        <is>
          <t>WACC</t>
        </is>
      </c>
      <c r="B79" s="24" t="inlineStr">
        <is>
          <t>weighting_note</t>
        </is>
      </c>
      <c r="C79" s="24" t="inlineStr">
        <is>
          <t>Uses market cap when share-count intake is available; otherwise uses book equity.</t>
        </is>
      </c>
      <c r="D79" s="24" t="inlineStr">
        <is>
          <t>JSON 상세는 dashboard_payload 파일 참조</t>
        </is>
      </c>
    </row>
    <row r="80" ht="24" customHeight="1">
      <c r="A80" s="29" t="inlineStr">
        <is>
          <t>dcf</t>
        </is>
      </c>
      <c r="B80" s="29" t="inlineStr">
        <is>
          <t>상위 블록</t>
        </is>
      </c>
      <c r="C80" s="29" t="inlineStr">
        <is>
          <t>23개 항목</t>
        </is>
      </c>
      <c r="D80" s="29" t="inlineStr">
        <is>
          <t>대시보드에서 객체로 사용</t>
        </is>
      </c>
    </row>
    <row r="81" ht="24" customHeight="1">
      <c r="A81" s="24" t="inlineStr">
        <is>
          <t>dcf</t>
        </is>
      </c>
      <c r="B81" s="24" t="inlineStr">
        <is>
          <t>상태</t>
        </is>
      </c>
      <c r="C81" s="24" t="inlineStr">
        <is>
          <t>OK</t>
        </is>
      </c>
      <c r="D81" s="24" t="inlineStr">
        <is>
          <t>JSON 상세는 dashboard_payload 파일 참조</t>
        </is>
      </c>
    </row>
    <row r="82" ht="24" customHeight="1">
      <c r="A82" s="29" t="inlineStr">
        <is>
          <t>dcf</t>
        </is>
      </c>
      <c r="B82" s="29" t="inlineStr">
        <is>
          <t>base_year</t>
        </is>
      </c>
      <c r="C82" s="31" t="n">
        <v>2025</v>
      </c>
      <c r="D82" s="29" t="inlineStr">
        <is>
          <t>JSON 상세는 dashboard_payload 파일 참조</t>
        </is>
      </c>
    </row>
    <row r="83" ht="24" customHeight="1">
      <c r="A83" s="24" t="inlineStr">
        <is>
          <t>dcf</t>
        </is>
      </c>
      <c r="B83" s="24" t="inlineStr">
        <is>
          <t>base_revenue</t>
        </is>
      </c>
      <c r="C83" s="30" t="n">
        <v>576684619527</v>
      </c>
      <c r="D83" s="24" t="inlineStr">
        <is>
          <t>JSON 상세는 dashboard_payload 파일 참조</t>
        </is>
      </c>
    </row>
    <row r="84" ht="24" customHeight="1">
      <c r="A84" s="29" t="inlineStr">
        <is>
          <t>dcf</t>
        </is>
      </c>
      <c r="B84" s="29" t="inlineStr">
        <is>
          <t>historical_revenue_cagr</t>
        </is>
      </c>
      <c r="C84" s="31" t="n">
        <v>0.1149569154623087</v>
      </c>
      <c r="D84" s="29" t="inlineStr">
        <is>
          <t>JSON 상세는 dashboard_payload 파일 참조</t>
        </is>
      </c>
    </row>
    <row r="85" ht="24" customHeight="1">
      <c r="A85" s="24" t="inlineStr">
        <is>
          <t>dcf</t>
        </is>
      </c>
      <c r="B85" s="24" t="inlineStr">
        <is>
          <t>assumed_revenue_growth</t>
        </is>
      </c>
      <c r="C85" s="30" t="n">
        <v>0.2</v>
      </c>
      <c r="D85" s="24" t="inlineStr">
        <is>
          <t>JSON 상세는 dashboard_payload 파일 참조</t>
        </is>
      </c>
    </row>
    <row r="86" ht="24" customHeight="1">
      <c r="A86" s="29" t="inlineStr">
        <is>
          <t>dcf</t>
        </is>
      </c>
      <c r="B86" s="29" t="inlineStr">
        <is>
          <t>assumed_op_margin</t>
        </is>
      </c>
      <c r="C86" s="31" t="n">
        <v>0.3700938858949352</v>
      </c>
      <c r="D86" s="29" t="inlineStr">
        <is>
          <t>JSON 상세는 dashboard_payload 파일 참조</t>
        </is>
      </c>
    </row>
    <row r="87" ht="24" customHeight="1">
      <c r="A87" s="24" t="inlineStr">
        <is>
          <t>dcf</t>
        </is>
      </c>
      <c r="B87" s="24" t="inlineStr">
        <is>
          <t>assumed_fcf_margin</t>
        </is>
      </c>
      <c r="C87" s="30" t="n">
        <v>0.25</v>
      </c>
      <c r="D87" s="24" t="inlineStr">
        <is>
          <t>JSON 상세는 dashboard_payload 파일 참조</t>
        </is>
      </c>
    </row>
    <row r="88" ht="24" customHeight="1">
      <c r="A88" s="29" t="inlineStr">
        <is>
          <t>dcf</t>
        </is>
      </c>
      <c r="B88" s="29" t="inlineStr">
        <is>
          <t>WACC</t>
        </is>
      </c>
      <c r="C88" s="31" t="n">
        <v>0.1425531756098363</v>
      </c>
      <c r="D88" s="29" t="inlineStr">
        <is>
          <t>JSON 상세는 dashboard_payload 파일 참조</t>
        </is>
      </c>
    </row>
    <row r="89" ht="24" customHeight="1">
      <c r="A89" s="24" t="inlineStr">
        <is>
          <t>dcf</t>
        </is>
      </c>
      <c r="B89" s="24" t="inlineStr">
        <is>
          <t>terminal_growth_rate</t>
        </is>
      </c>
      <c r="C89" s="30" t="n">
        <v>0.015</v>
      </c>
      <c r="D89" s="24" t="inlineStr">
        <is>
          <t>JSON 상세는 dashboard_payload 파일 참조</t>
        </is>
      </c>
    </row>
    <row r="90" ht="24" customHeight="1">
      <c r="A90" s="29" t="inlineStr">
        <is>
          <t>dcf</t>
        </is>
      </c>
      <c r="B90" s="29" t="inlineStr">
        <is>
          <t>projection_years</t>
        </is>
      </c>
      <c r="C90" s="31" t="n">
        <v>5</v>
      </c>
      <c r="D90" s="29" t="inlineStr">
        <is>
          <t>JSON 상세는 dashboard_payload 파일 참조</t>
        </is>
      </c>
    </row>
    <row r="91" ht="24" customHeight="1">
      <c r="A91" s="24" t="inlineStr">
        <is>
          <t>dcf</t>
        </is>
      </c>
      <c r="B91" s="24" t="inlineStr">
        <is>
          <t>FCF 현재가치</t>
        </is>
      </c>
      <c r="C91" s="30" t="n">
        <v>668895802039.4263</v>
      </c>
      <c r="D91" s="24" t="inlineStr">
        <is>
          <t>JSON 상세는 dashboard_payload 파일 참조</t>
        </is>
      </c>
    </row>
    <row r="92" ht="24" customHeight="1">
      <c r="A92" s="29" t="inlineStr">
        <is>
          <t>dcf</t>
        </is>
      </c>
      <c r="B92" s="29" t="inlineStr">
        <is>
          <t>terminal_value</t>
        </is>
      </c>
      <c r="C92" s="31" t="n">
        <v>1746951754544.145</v>
      </c>
      <c r="D92" s="29" t="inlineStr">
        <is>
          <t>JSON 상세는 dashboard_payload 파일 참조</t>
        </is>
      </c>
    </row>
    <row r="93" ht="24" customHeight="1">
      <c r="A93" s="24" t="inlineStr">
        <is>
          <t>dcf</t>
        </is>
      </c>
      <c r="B93" s="24" t="inlineStr">
        <is>
          <t>Terminal 현재가치</t>
        </is>
      </c>
      <c r="C93" s="30" t="n">
        <v>897219703984.7509</v>
      </c>
      <c r="D93" s="24" t="inlineStr">
        <is>
          <t>JSON 상세는 dashboard_payload 파일 참조</t>
        </is>
      </c>
    </row>
    <row r="94" ht="24" customHeight="1">
      <c r="A94" s="29" t="inlineStr">
        <is>
          <t>dcf</t>
        </is>
      </c>
      <c r="B94" s="29" t="inlineStr">
        <is>
          <t>기업가치(EV)</t>
        </is>
      </c>
      <c r="C94" s="31" t="n">
        <v>1566115506024.177</v>
      </c>
      <c r="D94" s="29" t="inlineStr">
        <is>
          <t>JSON 상세는 dashboard_payload 파일 참조</t>
        </is>
      </c>
    </row>
    <row r="95" ht="24" customHeight="1">
      <c r="A95" s="24" t="inlineStr">
        <is>
          <t>dcf</t>
        </is>
      </c>
      <c r="B95" s="24" t="inlineStr">
        <is>
          <t>현금성자산</t>
        </is>
      </c>
      <c r="C95" s="30" t="n">
        <v>276235377529</v>
      </c>
      <c r="D95" s="24" t="inlineStr">
        <is>
          <t>JSON 상세는 dashboard_payload 파일 참조</t>
        </is>
      </c>
    </row>
    <row r="96" ht="24" customHeight="1">
      <c r="A96" s="29" t="inlineStr">
        <is>
          <t>dcf</t>
        </is>
      </c>
      <c r="B96" s="29" t="inlineStr">
        <is>
          <t>debt_proxy_liabilities</t>
        </is>
      </c>
      <c r="C96" s="31" t="n">
        <v>123004106583</v>
      </c>
      <c r="D96" s="29" t="inlineStr">
        <is>
          <t>JSON 상세는 dashboard_payload 파일 참조</t>
        </is>
      </c>
    </row>
    <row r="97" ht="24" customHeight="1">
      <c r="A97" s="24" t="inlineStr">
        <is>
          <t>dcf</t>
        </is>
      </c>
      <c r="B97" s="24" t="inlineStr">
        <is>
          <t>equity_value</t>
        </is>
      </c>
      <c r="C97" s="30" t="n">
        <v>1719346776970.177</v>
      </c>
      <c r="D97" s="24" t="inlineStr">
        <is>
          <t>JSON 상세는 dashboard_payload 파일 참조</t>
        </is>
      </c>
    </row>
    <row r="98" ht="24" customHeight="1">
      <c r="A98" s="29" t="inlineStr">
        <is>
          <t>dcf</t>
        </is>
      </c>
      <c r="B98" s="29" t="inlineStr">
        <is>
          <t>발행주식 수</t>
        </is>
      </c>
      <c r="C98" s="31" t="n">
        <v>95312200</v>
      </c>
      <c r="D98" s="29" t="inlineStr">
        <is>
          <t>JSON 상세는 dashboard_payload 파일 참조</t>
        </is>
      </c>
    </row>
    <row r="99" ht="24" customHeight="1">
      <c r="A99" s="24" t="inlineStr">
        <is>
          <t>chart_series</t>
        </is>
      </c>
      <c r="B99" s="24" t="inlineStr">
        <is>
          <t>상위 블록</t>
        </is>
      </c>
      <c r="C99" s="24" t="inlineStr">
        <is>
          <t>5개 항목</t>
        </is>
      </c>
      <c r="D99" s="24" t="inlineStr">
        <is>
          <t>대시보드에서 객체로 사용</t>
        </is>
      </c>
    </row>
    <row r="100" ht="24" customHeight="1">
      <c r="A100" s="29" t="inlineStr">
        <is>
          <t>chart_series</t>
        </is>
      </c>
      <c r="B100" s="29" t="inlineStr">
        <is>
          <t>historical_financials</t>
        </is>
      </c>
      <c r="C100" s="29" t="inlineStr">
        <is>
          <t>5개 행</t>
        </is>
      </c>
      <c r="D100" s="29" t="inlineStr">
        <is>
          <t>JSON 상세는 dashboard_payload 파일 참조</t>
        </is>
      </c>
    </row>
    <row r="101" ht="24" customHeight="1">
      <c r="A101" s="24" t="inlineStr">
        <is>
          <t>chart_series</t>
        </is>
      </c>
      <c r="B101" s="24" t="inlineStr">
        <is>
          <t>price_history</t>
        </is>
      </c>
      <c r="C101" s="24" t="inlineStr">
        <is>
          <t>260개 행</t>
        </is>
      </c>
      <c r="D101" s="24" t="inlineStr">
        <is>
          <t>JSON 상세는 dashboard_payload 파일 참조</t>
        </is>
      </c>
    </row>
    <row r="102" ht="24" customHeight="1">
      <c r="A102" s="29" t="inlineStr">
        <is>
          <t>chart_series</t>
        </is>
      </c>
      <c r="B102" s="29" t="inlineStr">
        <is>
          <t>fcf_projection</t>
        </is>
      </c>
      <c r="C102" s="29" t="inlineStr">
        <is>
          <t>5개 행</t>
        </is>
      </c>
      <c r="D102" s="29" t="inlineStr">
        <is>
          <t>JSON 상세는 dashboard_payload 파일 참조</t>
        </is>
      </c>
    </row>
    <row r="103" ht="24" customHeight="1">
      <c r="A103" s="24" t="inlineStr">
        <is>
          <t>chart_series</t>
        </is>
      </c>
      <c r="B103" s="24" t="inlineStr">
        <is>
          <t>peer_multiples</t>
        </is>
      </c>
      <c r="C103" s="24" t="inlineStr">
        <is>
          <t>5개 행</t>
        </is>
      </c>
      <c r="D103" s="24" t="inlineStr">
        <is>
          <t>JSON 상세는 dashboard_payload 파일 참조</t>
        </is>
      </c>
    </row>
    <row r="104" ht="24" customHeight="1">
      <c r="A104" s="29" t="inlineStr">
        <is>
          <t>chart_series</t>
        </is>
      </c>
      <c r="B104" s="29" t="inlineStr">
        <is>
          <t>reference_universe_focus</t>
        </is>
      </c>
      <c r="C104" s="29" t="inlineStr">
        <is>
          <t>40개 행</t>
        </is>
      </c>
      <c r="D104" s="29" t="inlineStr">
        <is>
          <t>JSON 상세는 dashboard_payload 파일 참조</t>
        </is>
      </c>
    </row>
    <row r="105" ht="24" customHeight="1">
      <c r="A105" s="24" t="inlineStr">
        <is>
          <t>peer_comps</t>
        </is>
      </c>
      <c r="B105" s="24" t="inlineStr">
        <is>
          <t>상위 블록</t>
        </is>
      </c>
      <c r="C105" s="24" t="inlineStr">
        <is>
          <t>23개 항목</t>
        </is>
      </c>
      <c r="D105" s="24" t="inlineStr">
        <is>
          <t>대시보드에서 객체로 사용</t>
        </is>
      </c>
    </row>
    <row r="106" ht="24" customHeight="1">
      <c r="A106" s="29" t="inlineStr">
        <is>
          <t>peer_comps</t>
        </is>
      </c>
      <c r="B106" s="29" t="inlineStr">
        <is>
          <t>peer_rows</t>
        </is>
      </c>
      <c r="C106" s="29" t="inlineStr">
        <is>
          <t>5개 행</t>
        </is>
      </c>
      <c r="D106" s="29" t="inlineStr">
        <is>
          <t>JSON 상세는 dashboard_payload 파일 참조</t>
        </is>
      </c>
    </row>
    <row r="107" ht="24" customHeight="1">
      <c r="A107" s="24" t="inlineStr">
        <is>
          <t>peer_comps</t>
        </is>
      </c>
      <c r="B107" s="24" t="inlineStr">
        <is>
          <t>target_row</t>
        </is>
      </c>
      <c r="C107" s="24" t="inlineStr">
        <is>
          <t>35개 항목</t>
        </is>
      </c>
      <c r="D107" s="24" t="inlineStr">
        <is>
          <t>JSON 상세는 dashboard_payload 파일 참조</t>
        </is>
      </c>
    </row>
    <row r="108" ht="24" customHeight="1">
      <c r="A108" s="29" t="inlineStr">
        <is>
          <t>peer_comps</t>
        </is>
      </c>
      <c r="B108" s="29" t="inlineStr">
        <is>
          <t>target_company_key</t>
        </is>
      </c>
      <c r="C108" s="29" t="inlineStr">
        <is>
          <t>hanmi</t>
        </is>
      </c>
      <c r="D108" s="29" t="inlineStr">
        <is>
          <t>JSON 상세는 dashboard_payload 파일 참조</t>
        </is>
      </c>
    </row>
    <row r="109" ht="24" customHeight="1">
      <c r="A109" s="24" t="inlineStr">
        <is>
          <t>peer_comps</t>
        </is>
      </c>
      <c r="B109" s="24" t="inlineStr">
        <is>
          <t>분석대상 P/S</t>
        </is>
      </c>
      <c r="C109" s="30" t="n">
        <v>48.17799081027719</v>
      </c>
      <c r="D109" s="24" t="inlineStr">
        <is>
          <t>JSON 상세는 dashboard_payload 파일 참조</t>
        </is>
      </c>
    </row>
    <row r="110" ht="24" customHeight="1">
      <c r="A110" s="29" t="inlineStr">
        <is>
          <t>peer_comps</t>
        </is>
      </c>
      <c r="B110" s="29" t="inlineStr">
        <is>
          <t>target_per</t>
        </is>
      </c>
      <c r="C110" s="31" t="n">
        <v>129.8248893849388</v>
      </c>
      <c r="D110" s="29" t="inlineStr">
        <is>
          <t>JSON 상세는 dashboard_payload 파일 참조</t>
        </is>
      </c>
    </row>
    <row r="111" ht="24" customHeight="1">
      <c r="A111" s="24" t="inlineStr">
        <is>
          <t>peer_comps</t>
        </is>
      </c>
      <c r="B111" s="24" t="inlineStr">
        <is>
          <t>target_pbr</t>
        </is>
      </c>
      <c r="C111" s="30" t="n">
        <v>40.24684734955125</v>
      </c>
      <c r="D111" s="24" t="inlineStr">
        <is>
          <t>JSON 상세는 dashboard_payload 파일 참조</t>
        </is>
      </c>
    </row>
    <row r="112" ht="24" customHeight="1">
      <c r="A112" s="29" t="inlineStr">
        <is>
          <t>peer_comps</t>
        </is>
      </c>
      <c r="B112" s="29" t="inlineStr">
        <is>
          <t>target_ev_sales</t>
        </is>
      </c>
      <c r="C112" s="31" t="n">
        <v>48.39128608887138</v>
      </c>
      <c r="D112" s="29" t="inlineStr">
        <is>
          <t>JSON 상세는 dashboard_payload 파일 참조</t>
        </is>
      </c>
    </row>
    <row r="113" ht="24" customHeight="1">
      <c r="A113" s="24" t="inlineStr">
        <is>
          <t>peer_comps</t>
        </is>
      </c>
      <c r="B113" s="24" t="inlineStr">
        <is>
          <t>target_market_cap</t>
        </is>
      </c>
      <c r="C113" s="30" t="n">
        <v>27783506300000</v>
      </c>
      <c r="D113" s="24" t="inlineStr">
        <is>
          <t>JSON 상세는 dashboard_payload 파일 참조</t>
        </is>
      </c>
    </row>
    <row r="114" ht="24" customHeight="1">
      <c r="A114" s="29" t="inlineStr">
        <is>
          <t>peer_comps</t>
        </is>
      </c>
      <c r="B114" s="29" t="inlineStr">
        <is>
          <t>target_revenue</t>
        </is>
      </c>
      <c r="C114" s="31" t="n">
        <v>576684619527</v>
      </c>
      <c r="D114" s="29" t="inlineStr">
        <is>
          <t>JSON 상세는 dashboard_payload 파일 참조</t>
        </is>
      </c>
    </row>
    <row r="115" ht="24" customHeight="1">
      <c r="A115" s="24" t="inlineStr">
        <is>
          <t>peer_comps</t>
        </is>
      </c>
      <c r="B115" s="24" t="inlineStr">
        <is>
          <t>Peer P/S 중앙값</t>
        </is>
      </c>
      <c r="C115" s="30" t="n">
        <v>3.616106474130175</v>
      </c>
      <c r="D115" s="24" t="inlineStr">
        <is>
          <t>JSON 상세는 dashboard_payload 파일 참조</t>
        </is>
      </c>
    </row>
    <row r="116" ht="24" customHeight="1">
      <c r="A116" s="29" t="inlineStr">
        <is>
          <t>peer_comps</t>
        </is>
      </c>
      <c r="B116" s="29" t="inlineStr">
        <is>
          <t>median_per</t>
        </is>
      </c>
      <c r="C116" s="31" t="n">
        <v>23.26011122627931</v>
      </c>
      <c r="D116" s="29" t="inlineStr">
        <is>
          <t>JSON 상세는 dashboard_payload 파일 참조</t>
        </is>
      </c>
    </row>
    <row r="117" ht="24" customHeight="1">
      <c r="A117" s="24" t="inlineStr">
        <is>
          <t>peer_comps</t>
        </is>
      </c>
      <c r="B117" s="24" t="inlineStr">
        <is>
          <t>median_pbr</t>
        </is>
      </c>
      <c r="C117" s="30" t="n">
        <v>2.715209593567741</v>
      </c>
      <c r="D117" s="24" t="inlineStr">
        <is>
          <t>JSON 상세는 dashboard_payload 파일 참조</t>
        </is>
      </c>
    </row>
    <row r="118" ht="24" customHeight="1">
      <c r="A118" s="29" t="inlineStr">
        <is>
          <t>peer_comps</t>
        </is>
      </c>
      <c r="B118" s="29" t="inlineStr">
        <is>
          <t>median_ev_sales</t>
        </is>
      </c>
      <c r="C118" s="31" t="n">
        <v>4.094722612569916</v>
      </c>
      <c r="D118" s="29" t="inlineStr">
        <is>
          <t>JSON 상세는 dashboard_payload 파일 참조</t>
        </is>
      </c>
    </row>
    <row r="119" ht="24" customHeight="1">
      <c r="A119" s="24" t="inlineStr">
        <is>
          <t>peer_comps</t>
        </is>
      </c>
      <c r="B119" s="24" t="inlineStr">
        <is>
          <t>median_ev_ebit</t>
        </is>
      </c>
      <c r="C119" s="30" t="n">
        <v>23.16798171865195</v>
      </c>
      <c r="D119" s="24" t="inlineStr">
        <is>
          <t>JSON 상세는 dashboard_payload 파일 참조</t>
        </is>
      </c>
    </row>
    <row r="120" ht="24" customHeight="1">
      <c r="A120" s="29" t="inlineStr">
        <is>
          <t>peer_comps</t>
        </is>
      </c>
      <c r="B120" s="29" t="inlineStr">
        <is>
          <t>median_p_fcf</t>
        </is>
      </c>
      <c r="C120" s="31" t="n">
        <v>15.97727386212867</v>
      </c>
      <c r="D120" s="29" t="inlineStr">
        <is>
          <t>JSON 상세는 dashboard_payload 파일 참조</t>
        </is>
      </c>
    </row>
    <row r="121" ht="24" customHeight="1">
      <c r="A121" s="24" t="inlineStr">
        <is>
          <t>peer_comps</t>
        </is>
      </c>
      <c r="B121" s="24" t="inlineStr">
        <is>
          <t>median_op_margin</t>
        </is>
      </c>
      <c r="C121" s="30" t="n">
        <v>0.09546035142742029</v>
      </c>
      <c r="D121" s="24" t="inlineStr">
        <is>
          <t>JSON 상세는 dashboard_payload 파일 참조</t>
        </is>
      </c>
    </row>
    <row r="122" ht="24" customHeight="1">
      <c r="A122" s="29" t="inlineStr">
        <is>
          <t>peer_comps</t>
        </is>
      </c>
      <c r="B122" s="29" t="inlineStr">
        <is>
          <t>median_roe</t>
        </is>
      </c>
      <c r="C122" s="31" t="n">
        <v>0.0821384093070814</v>
      </c>
      <c r="D122" s="29" t="inlineStr">
        <is>
          <t>JSON 상세는 dashboard_payload 파일 참조</t>
        </is>
      </c>
    </row>
    <row r="123" ht="24" customHeight="1">
      <c r="A123" s="24" t="inlineStr">
        <is>
          <t>peer_comps</t>
        </is>
      </c>
      <c r="B123" s="24" t="inlineStr">
        <is>
          <t>P/S 중앙값 대비</t>
        </is>
      </c>
      <c r="C123" s="30" t="n">
        <v>12.32316710111972</v>
      </c>
      <c r="D123" s="24" t="inlineStr">
        <is>
          <t>JSON 상세는 dashboard_payload 파일 참조</t>
        </is>
      </c>
    </row>
    <row r="124" ht="24" customHeight="1">
      <c r="A124" s="29" t="inlineStr">
        <is>
          <t>reference_universe_summary</t>
        </is>
      </c>
      <c r="B124" s="29" t="inlineStr">
        <is>
          <t>상위 블록</t>
        </is>
      </c>
      <c r="C124" s="29" t="inlineStr">
        <is>
          <t>14개 항목</t>
        </is>
      </c>
      <c r="D124" s="29" t="inlineStr">
        <is>
          <t>대시보드에서 객체로 사용</t>
        </is>
      </c>
    </row>
    <row r="125" ht="24" customHeight="1">
      <c r="A125" s="24" t="inlineStr">
        <is>
          <t>reference_universe_summary</t>
        </is>
      </c>
      <c r="B125" s="24" t="inlineStr">
        <is>
          <t>상태</t>
        </is>
      </c>
      <c r="C125" s="24" t="inlineStr">
        <is>
          <t>OK</t>
        </is>
      </c>
      <c r="D125" s="24" t="inlineStr">
        <is>
          <t>JSON 상세는 dashboard_payload 파일 참조</t>
        </is>
      </c>
    </row>
    <row r="126" ht="24" customHeight="1">
      <c r="A126" s="29" t="inlineStr">
        <is>
          <t>reference_universe_summary</t>
        </is>
      </c>
      <c r="B126" s="29" t="inlineStr">
        <is>
          <t>created_at</t>
        </is>
      </c>
      <c r="C126" s="29" t="inlineStr">
        <is>
          <t>2026-05-20T10:30:12</t>
        </is>
      </c>
      <c r="D126" s="29" t="inlineStr">
        <is>
          <t>JSON 상세는 dashboard_payload 파일 참조</t>
        </is>
      </c>
    </row>
    <row r="127" ht="24" customHeight="1">
      <c r="A127" s="24" t="inlineStr">
        <is>
          <t>reference_universe_summary</t>
        </is>
      </c>
      <c r="B127" s="24" t="inlineStr">
        <is>
          <t>reference_universe_rows</t>
        </is>
      </c>
      <c r="C127" s="30" t="n">
        <v>208</v>
      </c>
      <c r="D127" s="24" t="inlineStr">
        <is>
          <t>JSON 상세는 dashboard_payload 파일 참조</t>
        </is>
      </c>
    </row>
    <row r="128" ht="24" customHeight="1">
      <c r="A128" s="29" t="inlineStr">
        <is>
          <t>reference_universe_summary</t>
        </is>
      </c>
      <c r="B128" s="29" t="inlineStr">
        <is>
          <t>focus_rows</t>
        </is>
      </c>
      <c r="C128" s="31" t="n">
        <v>40</v>
      </c>
      <c r="D128" s="29" t="inlineStr">
        <is>
          <t>JSON 상세는 dashboard_payload 파일 참조</t>
        </is>
      </c>
    </row>
    <row r="129" ht="24" customHeight="1">
      <c r="A129" s="24" t="inlineStr">
        <is>
          <t>reference_universe_summary</t>
        </is>
      </c>
      <c r="B129" s="24" t="inlineStr">
        <is>
          <t>focal_5_rows</t>
        </is>
      </c>
      <c r="C129" s="30" t="n">
        <v>5</v>
      </c>
      <c r="D129" s="24" t="inlineStr">
        <is>
          <t>JSON 상세는 dashboard_payload 파일 참조</t>
        </is>
      </c>
    </row>
    <row r="130" ht="24" customHeight="1">
      <c r="A130" s="29" t="inlineStr">
        <is>
          <t>reference_universe_summary</t>
        </is>
      </c>
      <c r="B130" s="29" t="inlineStr">
        <is>
          <t>target_company</t>
        </is>
      </c>
      <c r="C130" s="29" t="inlineStr">
        <is>
          <t>한미반도체</t>
        </is>
      </c>
      <c r="D130" s="29" t="inlineStr">
        <is>
          <t>JSON 상세는 dashboard_payload 파일 참조</t>
        </is>
      </c>
    </row>
    <row r="131" ht="24" customHeight="1">
      <c r="A131" s="24" t="inlineStr">
        <is>
          <t>reference_universe_summary</t>
        </is>
      </c>
      <c r="B131" s="24" t="inlineStr">
        <is>
          <t>target_peer_group</t>
        </is>
      </c>
      <c r="C131" s="24" t="inlineStr">
        <is>
          <t>후공정/패키징/테스트</t>
        </is>
      </c>
      <c r="D131" s="24" t="inlineStr">
        <is>
          <t>JSON 상세는 dashboard_payload 파일 참조</t>
        </is>
      </c>
    </row>
    <row r="132" ht="24" customHeight="1">
      <c r="A132" s="29" t="inlineStr">
        <is>
          <t>reference_universe_summary</t>
        </is>
      </c>
      <c r="B132" s="29" t="inlineStr">
        <is>
          <t>target_peer_group_size</t>
        </is>
      </c>
      <c r="C132" s="31" t="n">
        <v>45</v>
      </c>
      <c r="D132" s="29" t="inlineStr">
        <is>
          <t>JSON 상세는 dashboard_payload 파일 참조</t>
        </is>
      </c>
    </row>
    <row r="133" ht="24" customHeight="1">
      <c r="A133" s="24" t="inlineStr">
        <is>
          <t>reference_universe_summary</t>
        </is>
      </c>
      <c r="B133" s="24" t="inlineStr">
        <is>
          <t>attractive_rows</t>
        </is>
      </c>
      <c r="C133" s="30" t="n">
        <v>43</v>
      </c>
      <c r="D133" s="24" t="inlineStr">
        <is>
          <t>JSON 상세는 dashboard_payload 파일 참조</t>
        </is>
      </c>
    </row>
    <row r="134" ht="24" customHeight="1">
      <c r="A134" s="29" t="inlineStr">
        <is>
          <t>reference_universe_summary</t>
        </is>
      </c>
      <c r="B134" s="29" t="inlineStr">
        <is>
          <t>high_risk_rows</t>
        </is>
      </c>
      <c r="C134" s="31" t="n">
        <v>67</v>
      </c>
      <c r="D134" s="29" t="inlineStr">
        <is>
          <t>JSON 상세는 dashboard_payload 파일 참조</t>
        </is>
      </c>
    </row>
    <row r="135" ht="24" customHeight="1">
      <c r="A135" s="24" t="inlineStr">
        <is>
          <t>reference_universe_summary</t>
        </is>
      </c>
      <c r="B135" s="24" t="inlineStr">
        <is>
          <t>target_reference_row</t>
        </is>
      </c>
      <c r="C135" s="24" t="inlineStr">
        <is>
          <t>32개 항목</t>
        </is>
      </c>
      <c r="D135" s="24" t="inlineStr">
        <is>
          <t>JSON 상세는 dashboard_payload 파일 참조</t>
        </is>
      </c>
    </row>
    <row r="136" ht="24" customHeight="1">
      <c r="A136" s="29" t="inlineStr">
        <is>
          <t>reference_universe_summary</t>
        </is>
      </c>
      <c r="B136" s="29" t="inlineStr">
        <is>
          <t>비고</t>
        </is>
      </c>
      <c r="C136" s="29" t="inlineStr">
        <is>
          <t>Valuation Agent는 live DCF/PSR 산출과 별도로 208개 반도체 universe의 proxy score를 활용해 상대 위치를 보조 판단합니다.</t>
        </is>
      </c>
      <c r="D136" s="29" t="inlineStr">
        <is>
          <t>JSON 상세는 dashboard_payload 파일 참조</t>
        </is>
      </c>
    </row>
    <row r="137" ht="24" customHeight="1">
      <c r="A137" s="24" t="inlineStr">
        <is>
          <t>reference_universe_summary</t>
        </is>
      </c>
      <c r="B137" s="24" t="inlineStr">
        <is>
          <t>source_path</t>
        </is>
      </c>
      <c r="C137" s="24" t="inlineStr">
        <is>
          <t>data/반도체/_sector_common/ml_universe/valuation_credit_ml_overlay_candidate.csv</t>
        </is>
      </c>
      <c r="D137" s="24" t="inlineStr">
        <is>
          <t>JSON 상세는 dashboard_payload 파일 참조</t>
        </is>
      </c>
    </row>
    <row r="138" ht="24" customHeight="1">
      <c r="A138" s="29" t="inlineStr">
        <is>
          <t>reference_universe_summary</t>
        </is>
      </c>
      <c r="B138" s="29" t="inlineStr">
        <is>
          <t>exported_at</t>
        </is>
      </c>
      <c r="C138" s="29" t="inlineStr">
        <is>
          <t>2026-05-20T10:30:12</t>
        </is>
      </c>
      <c r="D138" s="29" t="inlineStr">
        <is>
          <t>JSON 상세는 dashboard_payload 파일 참조</t>
        </is>
      </c>
    </row>
    <row r="139" ht="24" customHeight="1">
      <c r="A139" s="24" t="inlineStr">
        <is>
          <t>reference_universe_focus_rows</t>
        </is>
      </c>
      <c r="B139" s="24" t="inlineStr">
        <is>
          <t>목록</t>
        </is>
      </c>
      <c r="C139" s="24" t="inlineStr">
        <is>
          <t>40개 행</t>
        </is>
      </c>
      <c r="D139" s="24" t="inlineStr">
        <is>
          <t>대시보드 표/차트 원천</t>
        </is>
      </c>
    </row>
    <row r="140" ht="24" customHeight="1">
      <c r="A140" s="29" t="inlineStr">
        <is>
          <t>ml_overlay</t>
        </is>
      </c>
      <c r="B140" s="29" t="inlineStr">
        <is>
          <t>상위 블록</t>
        </is>
      </c>
      <c r="C140" s="29" t="inlineStr">
        <is>
          <t>12개 항목</t>
        </is>
      </c>
      <c r="D140" s="29" t="inlineStr">
        <is>
          <t>대시보드에서 객체로 사용</t>
        </is>
      </c>
    </row>
    <row r="141" ht="24" customHeight="1">
      <c r="A141" s="24" t="inlineStr">
        <is>
          <t>ml_overlay</t>
        </is>
      </c>
      <c r="B141" s="24" t="inlineStr">
        <is>
          <t>산출 방식</t>
        </is>
      </c>
      <c r="C141" s="24" t="inlineStr">
        <is>
          <t>deterministic_live_peer_psr_plus_208_reference_universe_overlay</t>
        </is>
      </c>
      <c r="D141" s="24" t="inlineStr">
        <is>
          <t>JSON 상세는 dashboard_payload 파일 참조</t>
        </is>
      </c>
    </row>
    <row r="142" ht="24" customHeight="1">
      <c r="A142" s="29" t="inlineStr">
        <is>
          <t>ml_overlay</t>
        </is>
      </c>
      <c r="B142" s="29" t="inlineStr">
        <is>
          <t>가치평가 방법</t>
        </is>
      </c>
      <c r="C142" s="29" t="inlineStr">
        <is>
          <t>실시간 DART·주가 기반 PSR/Peer + 208개 반도체 reference universe 보조판단</t>
        </is>
      </c>
      <c r="D142" s="29" t="inlineStr">
        <is>
          <t>JSON 상세는 dashboard_payload 파일 참조</t>
        </is>
      </c>
    </row>
    <row r="143" ht="24" customHeight="1">
      <c r="A143" s="24" t="inlineStr">
        <is>
          <t>ml_overlay</t>
        </is>
      </c>
      <c r="B143" s="24" t="inlineStr">
        <is>
          <t>종합 점수</t>
        </is>
      </c>
      <c r="C143" s="30" t="n">
        <v>66.44</v>
      </c>
      <c r="D143" s="24" t="inlineStr">
        <is>
          <t>JSON 상세는 dashboard_payload 파일 참조</t>
        </is>
      </c>
    </row>
    <row r="144" ht="24" customHeight="1">
      <c r="A144" s="29" t="inlineStr">
        <is>
          <t>ml_overlay</t>
        </is>
      </c>
      <c r="B144" s="29" t="inlineStr">
        <is>
          <t>라벨</t>
        </is>
      </c>
      <c r="C144" s="29" t="inlineStr">
        <is>
          <t>VALUATION_NEUTRAL</t>
        </is>
      </c>
      <c r="D144" s="29" t="inlineStr">
        <is>
          <t>JSON 상세는 dashboard_payload 파일 참조</t>
        </is>
      </c>
    </row>
    <row r="145" ht="24" customHeight="1">
      <c r="A145" s="24" t="inlineStr">
        <is>
          <t>ml_overlay</t>
        </is>
      </c>
      <c r="B145" s="24" t="inlineStr">
        <is>
          <t>한글 라벨</t>
        </is>
      </c>
      <c r="C145" s="24" t="inlineStr">
        <is>
          <t>가치평가 보조근거 중립</t>
        </is>
      </c>
      <c r="D145" s="24" t="inlineStr">
        <is>
          <t>JSON 상세는 dashboard_payload 파일 참조</t>
        </is>
      </c>
    </row>
    <row r="146" ht="24" customHeight="1">
      <c r="A146" s="29" t="inlineStr">
        <is>
          <t>ml_overlay</t>
        </is>
      </c>
      <c r="B146" s="29" t="inlineStr">
        <is>
          <t>factors</t>
        </is>
      </c>
      <c r="C146" s="29" t="inlineStr">
        <is>
          <t>10개 행</t>
        </is>
      </c>
      <c r="D146" s="29" t="inlineStr">
        <is>
          <t>JSON 상세는 dashboard_payload 파일 참조</t>
        </is>
      </c>
    </row>
    <row r="147" ht="24" customHeight="1">
      <c r="A147" s="24" t="inlineStr">
        <is>
          <t>ml_overlay</t>
        </is>
      </c>
      <c r="B147" s="24" t="inlineStr">
        <is>
          <t>kmeans_peer_cluster</t>
        </is>
      </c>
      <c r="C147" s="24" t="inlineStr">
        <is>
          <t>후공정/패키징/테스트</t>
        </is>
      </c>
      <c r="D147" s="24" t="inlineStr">
        <is>
          <t>JSON 상세는 dashboard_payload 파일 참조</t>
        </is>
      </c>
    </row>
    <row r="148" ht="24" customHeight="1">
      <c r="A148" s="29" t="inlineStr">
        <is>
          <t>ml_overlay</t>
        </is>
      </c>
      <c r="B148" s="29" t="inlineStr">
        <is>
          <t>reference_cluster</t>
        </is>
      </c>
      <c r="C148" s="29" t="inlineStr">
        <is>
          <t>6개 항목</t>
        </is>
      </c>
      <c r="D148" s="29" t="inlineStr">
        <is>
          <t>JSON 상세는 dashboard_payload 파일 참조</t>
        </is>
      </c>
    </row>
    <row r="149" ht="24" customHeight="1">
      <c r="A149" s="24" t="inlineStr">
        <is>
          <t>ml_overlay</t>
        </is>
      </c>
      <c r="B149" s="24" t="inlineStr">
        <is>
          <t>reference_universe_summary</t>
        </is>
      </c>
      <c r="C149" s="24" t="inlineStr">
        <is>
          <t>4개 항목</t>
        </is>
      </c>
      <c r="D149" s="24" t="inlineStr">
        <is>
          <t>JSON 상세는 dashboard_payload 파일 참조</t>
        </is>
      </c>
    </row>
    <row r="150" ht="24" customHeight="1">
      <c r="A150" s="29" t="inlineStr">
        <is>
          <t>ml_overlay</t>
        </is>
      </c>
      <c r="B150" s="29" t="inlineStr">
        <is>
          <t>psr_overlay</t>
        </is>
      </c>
      <c r="C150" s="29" t="inlineStr">
        <is>
          <t>5개 항목</t>
        </is>
      </c>
      <c r="D150" s="29" t="inlineStr">
        <is>
          <t>JSON 상세는 dashboard_payload 파일 참조</t>
        </is>
      </c>
    </row>
    <row r="151" ht="24" customHeight="1">
      <c r="A151" s="24" t="inlineStr">
        <is>
          <t>ml_overlay</t>
        </is>
      </c>
      <c r="B151" s="24" t="inlineStr">
        <is>
          <t>비고</t>
        </is>
      </c>
      <c r="C151" s="24" t="inlineStr">
        <is>
          <t>This overlay is a deterministic decision-quality helper, not a realized-return predictor.</t>
        </is>
      </c>
      <c r="D151" s="24" t="inlineStr">
        <is>
          <t>JSON 상세는 dashboard_payload 파일 참조</t>
        </is>
      </c>
    </row>
    <row r="152" ht="24" customHeight="1">
      <c r="A152" s="29" t="inlineStr">
        <is>
          <t>ml_overlay</t>
        </is>
      </c>
      <c r="B152" s="29" t="inlineStr">
        <is>
          <t>note_kr</t>
        </is>
      </c>
      <c r="C152" s="29" t="inlineStr">
        <is>
          <t>미래수익률 예측모델이 아니라 대시보드/Chair용 설명가능 보조 가치평가 점수입니다.</t>
        </is>
      </c>
      <c r="D152" s="29" t="inlineStr">
        <is>
          <t>JSON 상세는 dashboard_payload 파일 참조</t>
        </is>
      </c>
    </row>
    <row r="153" ht="24" customHeight="1">
      <c r="A153" s="24" t="inlineStr">
        <is>
          <t>valuation_scorecard</t>
        </is>
      </c>
      <c r="B153" s="24" t="inlineStr">
        <is>
          <t>상위 블록</t>
        </is>
      </c>
      <c r="C153" s="24" t="inlineStr">
        <is>
          <t>8개 항목</t>
        </is>
      </c>
      <c r="D153" s="24" t="inlineStr">
        <is>
          <t>대시보드에서 객체로 사용</t>
        </is>
      </c>
    </row>
    <row r="154" ht="24" customHeight="1">
      <c r="A154" s="29" t="inlineStr">
        <is>
          <t>valuation_scorecard</t>
        </is>
      </c>
      <c r="B154" s="29" t="inlineStr">
        <is>
          <t>산출 방식</t>
        </is>
      </c>
      <c r="C154" s="29" t="inlineStr">
        <is>
          <t>DCF_25_PSR_15_QUALITY_15_REFERENCE_10_ADVANCED_20_LIQUIDITY_10_VALIDATION_5</t>
        </is>
      </c>
      <c r="D154" s="29" t="inlineStr">
        <is>
          <t>JSON 상세는 dashboard_payload 파일 참조</t>
        </is>
      </c>
    </row>
    <row r="155" ht="24" customHeight="1">
      <c r="A155" s="24" t="inlineStr">
        <is>
          <t>valuation_scorecard</t>
        </is>
      </c>
      <c r="B155" s="24" t="inlineStr">
        <is>
          <t>가치평가 방법</t>
        </is>
      </c>
      <c r="C155" s="24" t="inlineStr">
        <is>
          <t>DCF 25% + Peer P/S 15% + 품질 ML 15% + 208개 Universe 10% + 가치범위표/역산 DCF/오너 이익 20% + 유동성/리스크 10% + 검증 5%</t>
        </is>
      </c>
      <c r="D155" s="24" t="inlineStr">
        <is>
          <t>JSON 상세는 dashboard_payload 파일 참조</t>
        </is>
      </c>
    </row>
    <row r="156" ht="24" customHeight="1">
      <c r="A156" s="29" t="inlineStr">
        <is>
          <t>valuation_scorecard</t>
        </is>
      </c>
      <c r="B156" s="29" t="inlineStr">
        <is>
          <t>점수</t>
        </is>
      </c>
      <c r="C156" s="31" t="n">
        <v>36.88</v>
      </c>
      <c r="D156" s="29" t="inlineStr">
        <is>
          <t>JSON 상세는 dashboard_payload 파일 참조</t>
        </is>
      </c>
    </row>
    <row r="157" ht="24" customHeight="1">
      <c r="A157" s="24" t="inlineStr">
        <is>
          <t>valuation_scorecard</t>
        </is>
      </c>
      <c r="B157" s="24" t="inlineStr">
        <is>
          <t>라벨</t>
        </is>
      </c>
      <c r="C157" s="24" t="inlineStr">
        <is>
          <t>VALUATION_RISK</t>
        </is>
      </c>
      <c r="D157" s="24" t="inlineStr">
        <is>
          <t>JSON 상세는 dashboard_payload 파일 참조</t>
        </is>
      </c>
    </row>
    <row r="158" ht="24" customHeight="1">
      <c r="A158" s="29" t="inlineStr">
        <is>
          <t>valuation_scorecard</t>
        </is>
      </c>
      <c r="B158" s="29" t="inlineStr">
        <is>
          <t>한글 라벨</t>
        </is>
      </c>
      <c r="C158" s="29" t="inlineStr">
        <is>
          <t>밸류에이션 부담</t>
        </is>
      </c>
      <c r="D158" s="29" t="inlineStr">
        <is>
          <t>JSON 상세는 dashboard_payload 파일 참조</t>
        </is>
      </c>
    </row>
    <row r="159" ht="24" customHeight="1">
      <c r="A159" s="24" t="inlineStr">
        <is>
          <t>valuation_scorecard</t>
        </is>
      </c>
      <c r="B159" s="24" t="inlineStr">
        <is>
          <t>종합 해석</t>
        </is>
      </c>
      <c r="C159" s="24" t="inlineStr">
        <is>
          <t>DCF·상대가치 또는 품질 지표의 보수적 확인이 필요합니다.</t>
        </is>
      </c>
      <c r="D159" s="24" t="inlineStr">
        <is>
          <t>JSON 상세는 dashboard_payload 파일 참조</t>
        </is>
      </c>
    </row>
    <row r="160" ht="24" customHeight="1">
      <c r="A160" s="29" t="inlineStr">
        <is>
          <t>valuation_scorecard</t>
        </is>
      </c>
      <c r="B160" s="29" t="inlineStr">
        <is>
          <t>factors</t>
        </is>
      </c>
      <c r="C160" s="29" t="inlineStr">
        <is>
          <t>7개 행</t>
        </is>
      </c>
      <c r="D160" s="29" t="inlineStr">
        <is>
          <t>JSON 상세는 dashboard_payload 파일 참조</t>
        </is>
      </c>
    </row>
    <row r="161" ht="24" customHeight="1">
      <c r="A161" s="24" t="inlineStr">
        <is>
          <t>valuation_scorecard</t>
        </is>
      </c>
      <c r="B161" s="24" t="inlineStr">
        <is>
          <t>dashboard_note_kr</t>
        </is>
      </c>
      <c r="C161" s="24" t="inlineStr">
        <is>
          <t>Chair 최종 가중합을 대체하지 않는 보조 밸류에이션 스코어입니다. DCF 단일값보다 다중 방법 검증을 우선합니다. 대시보드/엑셀 다운로드/투자자 요약에서 사용합니다.</t>
        </is>
      </c>
      <c r="D161" s="24" t="inlineStr">
        <is>
          <t>JSON 상세는 dashboard_payload 파일 참조</t>
        </is>
      </c>
    </row>
    <row r="162" ht="24" customHeight="1">
      <c r="A162" s="29" t="inlineStr">
        <is>
          <t>종합 가치평가</t>
        </is>
      </c>
      <c r="B162" s="29" t="inlineStr">
        <is>
          <t>상위 블록</t>
        </is>
      </c>
      <c r="C162" s="29" t="inlineStr">
        <is>
          <t>12개 항목</t>
        </is>
      </c>
      <c r="D162" s="29" t="inlineStr">
        <is>
          <t>대시보드에서 객체로 사용</t>
        </is>
      </c>
    </row>
    <row r="163" ht="24" customHeight="1">
      <c r="A163" s="24" t="inlineStr">
        <is>
          <t>종합 가치평가</t>
        </is>
      </c>
      <c r="B163" s="24" t="inlineStr">
        <is>
          <t>가치평가 방법</t>
        </is>
      </c>
      <c r="C163" s="24" t="inlineStr">
        <is>
          <t>DCF + 피어 멀티플 가치범위표 + 역산 DCF + 오너 이익/EPV + 시장내재 배수 + 데이터 커버리지</t>
        </is>
      </c>
      <c r="D163" s="24" t="inlineStr">
        <is>
          <t>JSON 상세는 dashboard_payload 파일 참조</t>
        </is>
      </c>
    </row>
    <row r="164" ht="24" customHeight="1">
      <c r="A164" s="29" t="inlineStr">
        <is>
          <t>종합 가치평가</t>
        </is>
      </c>
      <c r="B164" s="29" t="inlineStr">
        <is>
          <t>종합 가치평가 점수</t>
        </is>
      </c>
      <c r="C164" s="31" t="n">
        <v>38</v>
      </c>
      <c r="D164" s="29" t="inlineStr">
        <is>
          <t>JSON 상세는 dashboard_payload 파일 참조</t>
        </is>
      </c>
    </row>
    <row r="165" ht="24" customHeight="1">
      <c r="A165" s="24" t="inlineStr">
        <is>
          <t>종합 가치평가</t>
        </is>
      </c>
      <c r="B165" s="24" t="inlineStr">
        <is>
          <t>신뢰도 등급</t>
        </is>
      </c>
      <c r="C165" s="24" t="inlineStr">
        <is>
          <t>낮음</t>
        </is>
      </c>
      <c r="D165" s="24" t="inlineStr">
        <is>
          <t>JSON 상세는 dashboard_payload 파일 참조</t>
        </is>
      </c>
    </row>
    <row r="166" ht="24" customHeight="1">
      <c r="A166" s="29" t="inlineStr">
        <is>
          <t>종합 가치평가</t>
        </is>
      </c>
      <c r="B166" s="29" t="inlineStr">
        <is>
          <t>가치범위표</t>
        </is>
      </c>
      <c r="C166" s="29" t="inlineStr">
        <is>
          <t>7개 항목</t>
        </is>
      </c>
      <c r="D166" s="29" t="inlineStr">
        <is>
          <t>JSON 상세는 dashboard_payload 파일 참조</t>
        </is>
      </c>
    </row>
    <row r="167" ht="24" customHeight="1">
      <c r="A167" s="24" t="inlineStr">
        <is>
          <t>종합 가치평가</t>
        </is>
      </c>
      <c r="B167" s="24" t="inlineStr">
        <is>
          <t>가치평가 방법</t>
        </is>
      </c>
      <c r="C167" s="24" t="inlineStr">
        <is>
          <t>7개 행</t>
        </is>
      </c>
      <c r="D167" s="24" t="inlineStr">
        <is>
          <t>JSON 상세는 dashboard_payload 파일 참조</t>
        </is>
      </c>
    </row>
    <row r="168" ht="24" customHeight="1">
      <c r="A168" s="29" t="inlineStr">
        <is>
          <t>종합 가치평가</t>
        </is>
      </c>
      <c r="B168" s="29" t="inlineStr">
        <is>
          <t>역산 DCF</t>
        </is>
      </c>
      <c r="C168" s="29" t="inlineStr">
        <is>
          <t>9개 항목</t>
        </is>
      </c>
      <c r="D168" s="29" t="inlineStr">
        <is>
          <t>JSON 상세는 dashboard_payload 파일 참조</t>
        </is>
      </c>
    </row>
    <row r="169" ht="24" customHeight="1">
      <c r="A169" s="24" t="inlineStr">
        <is>
          <t>종합 가치평가</t>
        </is>
      </c>
      <c r="B169" s="24" t="inlineStr">
        <is>
          <t>오너 이익</t>
        </is>
      </c>
      <c r="C169" s="24" t="inlineStr">
        <is>
          <t>11개 항목</t>
        </is>
      </c>
      <c r="D169" s="24" t="inlineStr">
        <is>
          <t>JSON 상세는 dashboard_payload 파일 참조</t>
        </is>
      </c>
    </row>
    <row r="170" ht="24" customHeight="1">
      <c r="A170" s="29" t="inlineStr">
        <is>
          <t>종합 가치평가</t>
        </is>
      </c>
      <c r="B170" s="29" t="inlineStr">
        <is>
          <t>시장내재 배수</t>
        </is>
      </c>
      <c r="C170" s="29" t="inlineStr">
        <is>
          <t>14개 항목</t>
        </is>
      </c>
      <c r="D170" s="29" t="inlineStr">
        <is>
          <t>JSON 상세는 dashboard_payload 파일 참조</t>
        </is>
      </c>
    </row>
    <row r="171" ht="24" customHeight="1">
      <c r="A171" s="24" t="inlineStr">
        <is>
          <t>종합 가치평가</t>
        </is>
      </c>
      <c r="B171" s="24" t="inlineStr">
        <is>
          <t>품질 진단</t>
        </is>
      </c>
      <c r="C171" s="24" t="inlineStr">
        <is>
          <t>8개 행</t>
        </is>
      </c>
      <c r="D171" s="24" t="inlineStr">
        <is>
          <t>JSON 상세는 dashboard_payload 파일 참조</t>
        </is>
      </c>
    </row>
    <row r="172" ht="24" customHeight="1">
      <c r="A172" s="29" t="inlineStr">
        <is>
          <t>종합 가치평가</t>
        </is>
      </c>
      <c r="B172" s="29" t="inlineStr">
        <is>
          <t>source_completion_plan</t>
        </is>
      </c>
      <c r="C172" s="29" t="inlineStr">
        <is>
          <t>6개 행</t>
        </is>
      </c>
      <c r="D172" s="29" t="inlineStr">
        <is>
          <t>JSON 상세는 dashboard_payload 파일 참조</t>
        </is>
      </c>
    </row>
    <row r="173" ht="24" customHeight="1">
      <c r="A173" s="24" t="inlineStr">
        <is>
          <t>종합 가치평가</t>
        </is>
      </c>
      <c r="B173" s="24" t="inlineStr">
        <is>
          <t>market_snapshot</t>
        </is>
      </c>
      <c r="C173" s="24" t="inlineStr">
        <is>
          <t>32개 항목</t>
        </is>
      </c>
      <c r="D173" s="24" t="inlineStr">
        <is>
          <t>JSON 상세는 dashboard_payload 파일 참조</t>
        </is>
      </c>
    </row>
    <row r="174" ht="24" customHeight="1">
      <c r="A174" s="29" t="inlineStr">
        <is>
          <t>종합 가치평가</t>
        </is>
      </c>
      <c r="B174" s="29" t="inlineStr">
        <is>
          <t>dashboard_note_kr</t>
        </is>
      </c>
      <c r="C174" s="29" t="inlineStr">
        <is>
          <t>투자은행식 valuation pack에서 자주 쓰는 DCF·Comps·역산 DCF·오너 이익·시장내재배수 교차검증을 제공합니다.</t>
        </is>
      </c>
      <c r="D174" s="29" t="inlineStr">
        <is>
          <t>JSON 상세는 dashboard_payload 파일 참조</t>
        </is>
      </c>
    </row>
    <row r="175" ht="24" customHeight="1">
      <c r="A175" s="24" t="inlineStr">
        <is>
          <t>시장내재 배수</t>
        </is>
      </c>
      <c r="B175" s="24" t="inlineStr">
        <is>
          <t>상위 블록</t>
        </is>
      </c>
      <c r="C175" s="24" t="inlineStr">
        <is>
          <t>14개 항목</t>
        </is>
      </c>
      <c r="D175" s="24" t="inlineStr">
        <is>
          <t>대시보드에서 객체로 사용</t>
        </is>
      </c>
    </row>
    <row r="176" ht="24" customHeight="1">
      <c r="A176" s="29" t="inlineStr">
        <is>
          <t>시장내재 배수</t>
        </is>
      </c>
      <c r="B176" s="29" t="inlineStr">
        <is>
          <t>latest_close</t>
        </is>
      </c>
      <c r="C176" s="31" t="n">
        <v>291000</v>
      </c>
      <c r="D176" s="29" t="inlineStr">
        <is>
          <t>JSON 상세는 dashboard_payload 파일 참조</t>
        </is>
      </c>
    </row>
    <row r="177" ht="24" customHeight="1">
      <c r="A177" s="24" t="inlineStr">
        <is>
          <t>시장내재 배수</t>
        </is>
      </c>
      <c r="B177" s="24" t="inlineStr">
        <is>
          <t>시가총액</t>
        </is>
      </c>
      <c r="C177" s="30" t="n">
        <v>27735850200000</v>
      </c>
      <c r="D177" s="24" t="inlineStr">
        <is>
          <t>JSON 상세는 dashboard_payload 파일 참조</t>
        </is>
      </c>
    </row>
    <row r="178" ht="24" customHeight="1">
      <c r="A178" s="29" t="inlineStr">
        <is>
          <t>시장내재 배수</t>
        </is>
      </c>
      <c r="B178" s="29" t="inlineStr">
        <is>
          <t>EV proxy</t>
        </is>
      </c>
      <c r="C178" s="31" t="n">
        <v>27582618929054</v>
      </c>
      <c r="D178" s="29" t="inlineStr">
        <is>
          <t>JSON 상세는 dashboard_payload 파일 참조</t>
        </is>
      </c>
    </row>
    <row r="179" ht="24" customHeight="1">
      <c r="A179" s="24" t="inlineStr">
        <is>
          <t>시장내재 배수</t>
        </is>
      </c>
      <c r="B179" s="24" t="inlineStr">
        <is>
          <t>psr_market</t>
        </is>
      </c>
      <c r="C179" s="30" t="n">
        <v>48.09535274713777</v>
      </c>
      <c r="D179" s="24" t="inlineStr">
        <is>
          <t>JSON 상세는 dashboard_payload 파일 참조</t>
        </is>
      </c>
    </row>
    <row r="180" ht="24" customHeight="1">
      <c r="A180" s="29" t="inlineStr">
        <is>
          <t>시장내재 배수</t>
        </is>
      </c>
      <c r="B180" s="29" t="inlineStr">
        <is>
          <t>pbr_market</t>
        </is>
      </c>
      <c r="C180" s="31" t="n">
        <v>40.17781330607004</v>
      </c>
      <c r="D180" s="29" t="inlineStr">
        <is>
          <t>JSON 상세는 dashboard_payload 파일 참조</t>
        </is>
      </c>
    </row>
    <row r="181" ht="24" customHeight="1">
      <c r="A181" s="24" t="inlineStr">
        <is>
          <t>시장내재 배수</t>
        </is>
      </c>
      <c r="B181" s="24" t="inlineStr">
        <is>
          <t>per_market</t>
        </is>
      </c>
      <c r="C181" s="30" t="n">
        <v>129.6022051835924</v>
      </c>
      <c r="D181" s="24" t="inlineStr">
        <is>
          <t>JSON 상세는 dashboard_payload 파일 참조</t>
        </is>
      </c>
    </row>
    <row r="182" ht="24" customHeight="1">
      <c r="A182" s="29" t="inlineStr">
        <is>
          <t>시장내재 배수</t>
        </is>
      </c>
      <c r="B182" s="29" t="inlineStr">
        <is>
          <t>p_fcf_market</t>
        </is>
      </c>
      <c r="C182" s="31" t="n">
        <v>132.382542823974</v>
      </c>
      <c r="D182" s="29" t="inlineStr">
        <is>
          <t>JSON 상세는 dashboard_payload 파일 참조</t>
        </is>
      </c>
    </row>
    <row r="183" ht="24" customHeight="1">
      <c r="A183" s="24" t="inlineStr">
        <is>
          <t>시장내재 배수</t>
        </is>
      </c>
      <c r="B183" s="24" t="inlineStr">
        <is>
          <t>ev_sales_market</t>
        </is>
      </c>
      <c r="C183" s="30" t="n">
        <v>47.82964205231868</v>
      </c>
      <c r="D183" s="24" t="inlineStr">
        <is>
          <t>JSON 상세는 dashboard_payload 파일 참조</t>
        </is>
      </c>
    </row>
    <row r="184" ht="24" customHeight="1">
      <c r="A184" s="29" t="inlineStr">
        <is>
          <t>시장내재 배수</t>
        </is>
      </c>
      <c r="B184" s="29" t="inlineStr">
        <is>
          <t>ev_ebit_market</t>
        </is>
      </c>
      <c r="C184" s="31" t="n">
        <v>109.7203680861667</v>
      </c>
      <c r="D184" s="29" t="inlineStr">
        <is>
          <t>JSON 상세는 dashboard_payload 파일 참조</t>
        </is>
      </c>
    </row>
    <row r="185" ht="24" customHeight="1">
      <c r="A185" s="24" t="inlineStr">
        <is>
          <t>시장내재 배수</t>
        </is>
      </c>
      <c r="B185" s="24" t="inlineStr">
        <is>
          <t>eps_derived</t>
        </is>
      </c>
      <c r="C185" s="30" t="n">
        <v>2245.332165357635</v>
      </c>
      <c r="D185" s="24" t="inlineStr">
        <is>
          <t>JSON 상세는 dashboard_payload 파일 참조</t>
        </is>
      </c>
    </row>
    <row r="186" ht="24" customHeight="1">
      <c r="A186" s="29" t="inlineStr">
        <is>
          <t>시장내재 배수</t>
        </is>
      </c>
      <c r="B186" s="29" t="inlineStr">
        <is>
          <t>bps_derived</t>
        </is>
      </c>
      <c r="C186" s="31" t="n">
        <v>7242.80332986753</v>
      </c>
      <c r="D186" s="29" t="inlineStr">
        <is>
          <t>JSON 상세는 dashboard_payload 파일 참조</t>
        </is>
      </c>
    </row>
    <row r="187" ht="24" customHeight="1">
      <c r="A187" s="24" t="inlineStr">
        <is>
          <t>시장내재 배수</t>
        </is>
      </c>
      <c r="B187" s="24" t="inlineStr">
        <is>
          <t>fcf_yield_market</t>
        </is>
      </c>
      <c r="C187" s="30" t="n">
        <v>0.007553866081343344</v>
      </c>
      <c r="D187" s="24" t="inlineStr">
        <is>
          <t>JSON 상세는 dashboard_payload 파일 참조</t>
        </is>
      </c>
    </row>
    <row r="188" ht="24" customHeight="1">
      <c r="A188" s="29" t="inlineStr">
        <is>
          <t>시장내재 배수</t>
        </is>
      </c>
      <c r="B188" s="29" t="inlineStr">
        <is>
          <t>sales_yield_market</t>
        </is>
      </c>
      <c r="C188" s="31" t="n">
        <v>0.02079202964281225</v>
      </c>
      <c r="D188" s="29" t="inlineStr">
        <is>
          <t>JSON 상세는 dashboard_payload 파일 참조</t>
        </is>
      </c>
    </row>
    <row r="189" ht="24" customHeight="1">
      <c r="A189" s="24" t="inlineStr">
        <is>
          <t>시장내재 배수</t>
        </is>
      </c>
      <c r="B189" s="24" t="inlineStr">
        <is>
          <t>source_kr</t>
        </is>
      </c>
      <c r="C189" s="24" t="inlineStr">
        <is>
          <t>DART 정규화 재무제표 + Valuation Agent 주가/발행주식 수 intake로 자동 산출</t>
        </is>
      </c>
      <c r="D189" s="24" t="inlineStr">
        <is>
          <t>JSON 상세는 dashboard_payload 파일 참조</t>
        </is>
      </c>
    </row>
    <row r="190" ht="24" customHeight="1">
      <c r="A190" s="29" t="inlineStr">
        <is>
          <t>품질 진단</t>
        </is>
      </c>
      <c r="B190" s="29" t="inlineStr">
        <is>
          <t>목록</t>
        </is>
      </c>
      <c r="C190" s="29" t="inlineStr">
        <is>
          <t>8개 행</t>
        </is>
      </c>
      <c r="D190" s="29" t="inlineStr">
        <is>
          <t>대시보드 표/차트 원천</t>
        </is>
      </c>
    </row>
    <row r="191" ht="24" customHeight="1">
      <c r="A191" s="24" t="inlineStr">
        <is>
          <t>검증 결과</t>
        </is>
      </c>
      <c r="B191" s="24" t="inlineStr">
        <is>
          <t>상위 블록</t>
        </is>
      </c>
      <c r="C191" s="24" t="inlineStr">
        <is>
          <t>4개 항목</t>
        </is>
      </c>
      <c r="D191" s="24" t="inlineStr">
        <is>
          <t>대시보드에서 객체로 사용</t>
        </is>
      </c>
    </row>
    <row r="192" ht="24" customHeight="1">
      <c r="A192" s="29" t="inlineStr">
        <is>
          <t>검증 결과</t>
        </is>
      </c>
      <c r="B192" s="29" t="inlineStr">
        <is>
          <t>상태</t>
        </is>
      </c>
      <c r="C192" s="29" t="inlineStr">
        <is>
          <t>PASS</t>
        </is>
      </c>
      <c r="D192" s="29" t="inlineStr">
        <is>
          <t>JSON 상세는 dashboard_payload 파일 참조</t>
        </is>
      </c>
    </row>
    <row r="193" ht="24" customHeight="1">
      <c r="A193" s="24" t="inlineStr">
        <is>
          <t>검증 결과</t>
        </is>
      </c>
      <c r="B193" s="24" t="inlineStr">
        <is>
          <t>issues</t>
        </is>
      </c>
      <c r="C193" s="24" t="inlineStr">
        <is>
          <t>1개 행</t>
        </is>
      </c>
      <c r="D193" s="24" t="inlineStr">
        <is>
          <t>JSON 상세는 dashboard_payload 파일 참조</t>
        </is>
      </c>
    </row>
    <row r="194" ht="24" customHeight="1">
      <c r="A194" s="29" t="inlineStr">
        <is>
          <t>검증 결과</t>
        </is>
      </c>
      <c r="B194" s="29" t="inlineStr">
        <is>
          <t>audit_trail</t>
        </is>
      </c>
      <c r="C194" s="29" t="inlineStr">
        <is>
          <t>6개 행</t>
        </is>
      </c>
      <c r="D194" s="29" t="inlineStr">
        <is>
          <t>JSON 상세는 dashboard_payload 파일 참조</t>
        </is>
      </c>
    </row>
    <row r="195" ht="24" customHeight="1">
      <c r="A195" s="24" t="inlineStr">
        <is>
          <t>검증 결과</t>
        </is>
      </c>
      <c r="B195" s="24" t="inlineStr">
        <is>
          <t>principle</t>
        </is>
      </c>
      <c r="C195" s="24" t="inlineStr">
        <is>
          <t>valuation_agent 자체 데이터/모델 일관성 검증; 기존 web-auditor 의존 없음</t>
        </is>
      </c>
      <c r="D195" s="24" t="inlineStr">
        <is>
          <t>JSON 상세는 dashboard_payload 파일 참조</t>
        </is>
      </c>
    </row>
    <row r="196" ht="24" customHeight="1">
      <c r="A196" s="29" t="inlineStr">
        <is>
          <t>display_labels_kr</t>
        </is>
      </c>
      <c r="B196" s="29" t="inlineStr">
        <is>
          <t>상위 블록</t>
        </is>
      </c>
      <c r="C196" s="29" t="inlineStr">
        <is>
          <t>8개 항목</t>
        </is>
      </c>
      <c r="D196" s="29" t="inlineStr">
        <is>
          <t>대시보드에서 객체로 사용</t>
        </is>
      </c>
    </row>
    <row r="197" ht="24" customHeight="1">
      <c r="A197" s="24" t="inlineStr">
        <is>
          <t>display_labels_kr</t>
        </is>
      </c>
      <c r="B197" s="24" t="inlineStr">
        <is>
          <t>summary_cards</t>
        </is>
      </c>
      <c r="C197" s="24" t="inlineStr">
        <is>
          <t>핵심 요약 카드</t>
        </is>
      </c>
      <c r="D197" s="24" t="inlineStr">
        <is>
          <t>JSON 상세는 dashboard_payload 파일 참조</t>
        </is>
      </c>
    </row>
    <row r="198" ht="24" customHeight="1">
      <c r="A198" s="29" t="inlineStr">
        <is>
          <t>display_labels_kr</t>
        </is>
      </c>
      <c r="B198" s="29" t="inlineStr">
        <is>
          <t>price_history</t>
        </is>
      </c>
      <c r="C198" s="29" t="inlineStr">
        <is>
          <t>주가 차트</t>
        </is>
      </c>
      <c r="D198" s="29" t="inlineStr">
        <is>
          <t>JSON 상세는 dashboard_payload 파일 참조</t>
        </is>
      </c>
    </row>
    <row r="199" ht="24" customHeight="1">
      <c r="A199" s="24" t="inlineStr">
        <is>
          <t>display_labels_kr</t>
        </is>
      </c>
      <c r="B199" s="24" t="inlineStr">
        <is>
          <t>historical_financials</t>
        </is>
      </c>
      <c r="C199" s="24" t="inlineStr">
        <is>
          <t>재무 추이</t>
        </is>
      </c>
      <c r="D199" s="24" t="inlineStr">
        <is>
          <t>JSON 상세는 dashboard_payload 파일 참조</t>
        </is>
      </c>
    </row>
    <row r="200" ht="24" customHeight="1">
      <c r="A200" s="29" t="inlineStr">
        <is>
          <t>display_labels_kr</t>
        </is>
      </c>
      <c r="B200" s="29" t="inlineStr">
        <is>
          <t>fcf_projection</t>
        </is>
      </c>
      <c r="C200" s="29" t="inlineStr">
        <is>
          <t>FCF 추정</t>
        </is>
      </c>
      <c r="D200" s="29" t="inlineStr">
        <is>
          <t>JSON 상세는 dashboard_payload 파일 참조</t>
        </is>
      </c>
    </row>
    <row r="201" ht="24" customHeight="1">
      <c r="A201" s="24" t="inlineStr">
        <is>
          <t>display_labels_kr</t>
        </is>
      </c>
      <c r="B201" s="24" t="inlineStr">
        <is>
          <t>peer_multiples</t>
        </is>
      </c>
      <c r="C201" s="24" t="inlineStr">
        <is>
          <t>비교기업 멀티플 비교</t>
        </is>
      </c>
      <c r="D201" s="24" t="inlineStr">
        <is>
          <t>JSON 상세는 dashboard_payload 파일 참조</t>
        </is>
      </c>
    </row>
    <row r="202" ht="24" customHeight="1">
      <c r="A202" s="29" t="inlineStr">
        <is>
          <t>display_labels_kr</t>
        </is>
      </c>
      <c r="B202" s="29" t="inlineStr">
        <is>
          <t>reference_universe_focus</t>
        </is>
      </c>
      <c r="C202" s="29" t="inlineStr">
        <is>
          <t>208개 반도체 비교군 상대위치</t>
        </is>
      </c>
      <c r="D202" s="29" t="inlineStr">
        <is>
          <t>JSON 상세는 dashboard_payload 파일 참조</t>
        </is>
      </c>
    </row>
    <row r="203" ht="24" customHeight="1">
      <c r="A203" s="24" t="inlineStr">
        <is>
          <t>display_labels_kr</t>
        </is>
      </c>
      <c r="B203" s="24" t="inlineStr">
        <is>
          <t>advanced_valuation</t>
        </is>
      </c>
      <c r="C203" s="24" t="inlineStr">
        <is>
          <t>종합 가치평가</t>
        </is>
      </c>
      <c r="D203" s="24" t="inlineStr">
        <is>
          <t>JSON 상세는 dashboard_payload 파일 참조</t>
        </is>
      </c>
    </row>
    <row r="204" ht="24" customHeight="1">
      <c r="A204" s="29" t="inlineStr">
        <is>
          <t>display_labels_kr</t>
        </is>
      </c>
      <c r="B204" s="29" t="inlineStr">
        <is>
          <t>download_workbook</t>
        </is>
      </c>
      <c r="C204" s="29" t="inlineStr">
        <is>
          <t>엑셀 다운로드</t>
        </is>
      </c>
      <c r="D204" s="29" t="inlineStr">
        <is>
          <t>JSON 상세는 dashboard_payload 파일 참조</t>
        </is>
      </c>
    </row>
    <row r="205" ht="24" customHeight="1">
      <c r="A205" s="24" t="inlineStr">
        <is>
          <t>dashboard_usage_note</t>
        </is>
      </c>
      <c r="B205" s="24" t="inlineStr">
        <is>
          <t>값</t>
        </is>
      </c>
      <c r="C205" s="24" t="inlineStr">
        <is>
          <t>Streamlit/React 대시보드에서 한국어 카드, 주가 차트, DCF·P/S·P/B·PER·가치범위표, 208개 기준 비교군 표/산점도, 검증 배지, 엑셀 다운로드 버튼에 바로 연결할 수 있습니다.</t>
        </is>
      </c>
      <c r="D205" s="24" t="inlineStr">
        <is>
          <t>대시보드 기본값</t>
        </is>
      </c>
    </row>
  </sheetData>
  <autoFilter ref="A2:D205"/>
  <mergeCells count="1">
    <mergeCell ref="A1:F1"/>
  </mergeCells>
  <pageMargins left="0.75" right="0.75" top="1" bottom="1" header="0.5" footer="0.5"/>
  <pageSetup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감사 추적</t>
        </is>
      </c>
    </row>
    <row r="2" ht="24" customHeight="1">
      <c r="A2" s="25" t="inlineStr">
        <is>
          <t>단계</t>
        </is>
      </c>
      <c r="B2" s="25" t="inlineStr">
        <is>
          <t>상태</t>
        </is>
      </c>
      <c r="C2" s="25" t="inlineStr">
        <is>
          <t>rows</t>
        </is>
      </c>
      <c r="D2" s="25" t="inlineStr">
        <is>
          <t>발행주식 수</t>
        </is>
      </c>
      <c r="E2" s="25" t="inlineStr">
        <is>
          <t>시가총액</t>
        </is>
      </c>
      <c r="F2" s="25" t="inlineStr">
        <is>
          <t>20일 평균 거래대금</t>
        </is>
      </c>
    </row>
    <row r="3" ht="24" customHeight="1">
      <c r="A3" s="24" t="inlineStr">
        <is>
          <t>normalized_financials</t>
        </is>
      </c>
      <c r="B3" s="24" t="inlineStr">
        <is>
          <t>OK</t>
        </is>
      </c>
      <c r="C3" s="30" t="n">
        <v>5</v>
      </c>
      <c r="D3" s="24" t="inlineStr">
        <is>
          <t>해당 없음</t>
        </is>
      </c>
      <c r="E3" s="24" t="inlineStr">
        <is>
          <t>해당 없음</t>
        </is>
      </c>
      <c r="F3" s="24" t="inlineStr">
        <is>
          <t>해당 없음</t>
        </is>
      </c>
    </row>
    <row r="4" ht="24" customHeight="1">
      <c r="A4" s="29" t="inlineStr">
        <is>
          <t>price_history</t>
        </is>
      </c>
      <c r="B4" s="29" t="inlineStr">
        <is>
          <t>OK</t>
        </is>
      </c>
      <c r="C4" s="31" t="n">
        <v>1222</v>
      </c>
      <c r="D4" s="29" t="inlineStr">
        <is>
          <t>해당 없음</t>
        </is>
      </c>
      <c r="E4" s="29" t="inlineStr">
        <is>
          <t>해당 없음</t>
        </is>
      </c>
      <c r="F4" s="29" t="inlineStr">
        <is>
          <t>해당 없음</t>
        </is>
      </c>
    </row>
    <row r="5" ht="24" customHeight="1">
      <c r="A5" s="24" t="inlineStr">
        <is>
          <t>share_count</t>
        </is>
      </c>
      <c r="B5" s="24" t="inlineStr">
        <is>
          <t>OK</t>
        </is>
      </c>
      <c r="C5" s="24" t="inlineStr">
        <is>
          <t>해당 없음</t>
        </is>
      </c>
      <c r="D5" s="30" t="n">
        <v>95312200</v>
      </c>
      <c r="E5" s="24" t="inlineStr">
        <is>
          <t>해당 없음</t>
        </is>
      </c>
      <c r="F5" s="24" t="inlineStr">
        <is>
          <t>해당 없음</t>
        </is>
      </c>
    </row>
    <row r="6" ht="24" customHeight="1">
      <c r="A6" s="29" t="inlineStr">
        <is>
          <t>reference_universe</t>
        </is>
      </c>
      <c r="B6" s="29" t="inlineStr">
        <is>
          <t>OK</t>
        </is>
      </c>
      <c r="C6" s="31" t="n">
        <v>208</v>
      </c>
      <c r="D6" s="29" t="inlineStr">
        <is>
          <t>해당 없음</t>
        </is>
      </c>
      <c r="E6" s="29" t="inlineStr">
        <is>
          <t>해당 없음</t>
        </is>
      </c>
      <c r="F6" s="29" t="inlineStr">
        <is>
          <t>해당 없음</t>
        </is>
      </c>
    </row>
    <row r="7" ht="24" customHeight="1">
      <c r="A7" s="24" t="inlineStr">
        <is>
          <t>market_cap</t>
        </is>
      </c>
      <c r="B7" s="24" t="inlineStr">
        <is>
          <t>OK</t>
        </is>
      </c>
      <c r="C7" s="24" t="inlineStr">
        <is>
          <t>해당 없음</t>
        </is>
      </c>
      <c r="D7" s="24" t="inlineStr">
        <is>
          <t>해당 없음</t>
        </is>
      </c>
      <c r="E7" s="30" t="n">
        <v>27735850200000</v>
      </c>
      <c r="F7" s="24" t="inlineStr">
        <is>
          <t>해당 없음</t>
        </is>
      </c>
    </row>
    <row r="8" ht="24" customHeight="1">
      <c r="A8" s="29" t="inlineStr">
        <is>
          <t>liquidity_proxy</t>
        </is>
      </c>
      <c r="B8" s="29" t="inlineStr">
        <is>
          <t>OK</t>
        </is>
      </c>
      <c r="C8" s="29" t="inlineStr">
        <is>
          <t>해당 없음</t>
        </is>
      </c>
      <c r="D8" s="29" t="inlineStr">
        <is>
          <t>해당 없음</t>
        </is>
      </c>
      <c r="E8" s="29" t="inlineStr">
        <is>
          <t>해당 없음</t>
        </is>
      </c>
      <c r="F8" s="31" t="n">
        <v>513934339150</v>
      </c>
    </row>
  </sheetData>
  <autoFilter ref="A2:F8"/>
  <mergeCells count="1">
    <mergeCell ref="A1:F1"/>
  </mergeCells>
  <pageMargins left="0.75" right="0.75" top="1" bottom="1" header="0.5" footer="0.5"/>
  <pageSetup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업로드 파이낸셜 모델링 파일에서 추출한 설계 archetype</t>
        </is>
      </c>
    </row>
    <row r="2" ht="24" customHeight="1">
      <c r="A2" s="25" t="inlineStr">
        <is>
          <t>모델 유형</t>
        </is>
      </c>
      <c r="B2" s="25" t="inlineStr">
        <is>
          <t>설명</t>
        </is>
      </c>
      <c r="C2" s="25" t="inlineStr">
        <is>
          <t>참조 파일 패턴</t>
        </is>
      </c>
      <c r="D2" s="25" t="inlineStr">
        <is>
          <t>관찰된 시트</t>
        </is>
      </c>
      <c r="E2" s="25" t="inlineStr">
        <is>
          <t>권장 시트</t>
        </is>
      </c>
      <c r="F2" s="25" t="inlineStr">
        <is>
          <t>필요 데이터</t>
        </is>
      </c>
      <c r="G2" s="25" t="inlineStr">
        <is>
          <t>키워드</t>
        </is>
      </c>
    </row>
    <row r="3" ht="24" customHeight="1">
      <c r="A3" s="24" t="inlineStr">
        <is>
          <t>DCF_CORE</t>
        </is>
      </c>
      <c r="B3" s="24" t="inlineStr">
        <is>
          <t>DCF 핵심 모델: 가정, 정규화 재무제표, WACC, FCF 추정, DCF, 검증체크.</t>
        </is>
      </c>
      <c r="C3" s="24" t="inlineStr">
        <is>
          <t>파이낸셜 모델링 플레이북 / DCF, Value, Valuation, FCF, WACC 실습형 파일</t>
        </is>
      </c>
      <c r="D3" s="24" t="inlineStr">
        <is>
          <t>DCF | Summary | Sales | COGS | SG&amp;A | CAPEX Dep. | WC | Debt | FCF | WACC | Value</t>
        </is>
      </c>
      <c r="E3" s="24" t="inlineStr">
        <is>
          <t>01_ReadMe | 02_Assumptions | 03_Raw_Financials | 04_Normalized_FS | 05_Key_Ratios | 06_WACC | 07_FCF_Projection | 08_DCF | 09_Sensitivity | 10_Checks</t>
        </is>
      </c>
      <c r="F3" s="24" t="inlineStr">
        <is>
          <t>financial_statements | price_history | capital_structure | macro_assumptions | shares_outstanding</t>
        </is>
      </c>
      <c r="G3" s="24" t="inlineStr">
        <is>
          <t>dcf | wacc | fcf | valuation | value | capex | debt</t>
        </is>
      </c>
    </row>
    <row r="4" ht="24" customHeight="1">
      <c r="A4" s="29" t="inlineStr">
        <is>
          <t>THREE_STATEMENT_MODEL</t>
        </is>
      </c>
      <c r="B4" s="29" t="inlineStr">
        <is>
          <t>Three-statement style model: PL/BS/CF raw data normalization and operating driver projection.</t>
        </is>
      </c>
      <c r="C4" s="29" t="inlineStr">
        <is>
          <t>재무모델링/재무기획 자료 중 FS, BS, PL, CF, Raw data, Normalized 형태</t>
        </is>
      </c>
      <c r="D4" s="29" t="inlineStr">
        <is>
          <t>FS | BS | PL | CF | Raw data | Input | Output | Check</t>
        </is>
      </c>
      <c r="E4" s="29" t="inlineStr">
        <is>
          <t>01_ReadMe | 02_Source_Map | 03_Raw_Financials | 04_Normalized_FS | 05_Ratio_Drivers | 06_Projection | 07_Checks</t>
        </is>
      </c>
      <c r="F4" s="29" t="inlineStr">
        <is>
          <t>financial_statements | account_mapping | historical_ratios | projection_drivers</t>
        </is>
      </c>
      <c r="G4" s="29" t="inlineStr">
        <is>
          <t>fs | bs | pl | cf | raw | normalized | projection</t>
        </is>
      </c>
    </row>
    <row r="5" ht="24" customHeight="1">
      <c r="A5" s="24" t="inlineStr">
        <is>
          <t>PEER_COMPS</t>
        </is>
      </c>
      <c r="B5" s="24" t="inlineStr">
        <is>
          <t>Comparable-company workbook for peer multiples and relative valuation.</t>
        </is>
      </c>
      <c r="C5" s="24" t="inlineStr">
        <is>
          <t>Peer Analysis, 시장/산업 비교, valuation multiple 관련 시트</t>
        </is>
      </c>
      <c r="D5" s="24" t="inlineStr">
        <is>
          <t>Peer Analysis | Comps | Market | Industry | Output</t>
        </is>
      </c>
      <c r="E5" s="24" t="inlineStr">
        <is>
          <t>01_ReadMe | 02_Peer_Universe | 03_Peer_Raw_Data | 04_Peer_Multiples | 05_Relative_Value | 06_Checks</t>
        </is>
      </c>
      <c r="F5" s="24" t="inlineStr">
        <is>
          <t>peer_financials | peer_prices | market_cap | revenue | net_income | equity</t>
        </is>
      </c>
      <c r="G5" s="24" t="inlineStr">
        <is>
          <t>peer | comps | multiple | per | pbr | psr | ev</t>
        </is>
      </c>
    </row>
    <row r="6" ht="24" customHeight="1">
      <c r="A6" s="29" t="inlineStr">
        <is>
          <t>SCENARIO_SENSITIVITY</t>
        </is>
      </c>
      <c r="B6" s="29" t="inlineStr">
        <is>
          <t>Scenario workbook: base/bull/bear assumptions and DCF sensitivity table.</t>
        </is>
      </c>
      <c r="C6" s="29" t="inlineStr">
        <is>
          <t>Scenario, Sensitivity, 가정별 변화 보기, Check 관련 시트</t>
        </is>
      </c>
      <c r="D6" s="29" t="inlineStr">
        <is>
          <t>Scenario | Sensitivity | Input | Check | Output</t>
        </is>
      </c>
      <c r="E6" s="29" t="inlineStr">
        <is>
          <t>01_ReadMe | 02_Assumptions | 03_Scenario_Setup | 04_DCF_Base | 05_Sensitivity | 06_Checks</t>
        </is>
      </c>
      <c r="F6" s="29" t="inlineStr">
        <is>
          <t>base_assumptions | wacc_range | terminal_growth_range | growth_scenarios</t>
        </is>
      </c>
      <c r="G6" s="29" t="inlineStr">
        <is>
          <t>scenario | sensitivity | case | bear | bull | check</t>
        </is>
      </c>
    </row>
    <row r="7" ht="24" customHeight="1">
      <c r="A7" s="24" t="inlineStr">
        <is>
          <t>MANUFACTURING_DRIVER_MODEL</t>
        </is>
      </c>
      <c r="B7" s="24" t="inlineStr">
        <is>
          <t>Manufacturing-style driver model inferred from sheets such as Sales, COGS, CAPEX, SG&amp;A, WC, TAX, DEBT and Backdata.</t>
        </is>
      </c>
      <c r="C7" s="24" t="inlineStr">
        <is>
          <t>제조업/DCF Valuation_after_22ver/DCF+CoCo Valuation+reporting 등 driver-based workbook</t>
        </is>
      </c>
      <c r="D7" s="24" t="inlineStr">
        <is>
          <t>DCF Results | Output☞ | Report | CoCo | DCF | FCST BS | FCST IS | FCST CF | WP☞ | Assumption | Sales | COGS | CAPEX | Payroll | SG&amp;A | DEBT | TAX | WC | WACC | Backdata☞</t>
        </is>
      </c>
      <c r="E7" s="24" t="inlineStr">
        <is>
          <t>01_ReadMe | 02_Assumptions | 03_Raw_Financials | 04_Driver_Input | 05_Revenue_COGS_SGA | 06_CAPEX_WC_Tax | 07_Forecast_FS | 08_WACC | 09_DCF | 10_CoCo | 11_Report</t>
        </is>
      </c>
      <c r="F7" s="24" t="inlineStr">
        <is>
          <t>historical_fs | sales_driver | margin_driver | capex_driver | working_capital_driver | tax_assumption | debt_assumption</t>
        </is>
      </c>
      <c r="G7" s="24" t="inlineStr">
        <is>
          <t>manufacturing | driver | sales | cogs | capex | wc | tax | coco</t>
        </is>
      </c>
    </row>
    <row r="8" ht="24" customHeight="1">
      <c r="A8" s="29" t="inlineStr">
        <is>
          <t>FPNA_BUDGET_FORECAST</t>
        </is>
      </c>
      <c r="B8" s="29" t="inlineStr">
        <is>
          <t>FP&amp;A budget/forecast model inferred from Legend, Scenario, Input, Inventory, Cost, Working Capital and Financial Statement sheets.</t>
        </is>
      </c>
      <c r="C8" s="29" t="inlineStr">
        <is>
          <t>FP&amp;A / Budget &amp; Forecast xlsm examples</t>
        </is>
      </c>
      <c r="D8" s="29" t="inlineStr">
        <is>
          <t>Legend | Scenario | Input | Inventory | Cost | Working capital | Dep &amp; Tax | Debt &amp; Equity | Financial Statement | Valuation | Check | Actual</t>
        </is>
      </c>
      <c r="E8" s="29" t="inlineStr">
        <is>
          <t>01_ReadMe | 02_Scenario | 03_Input | 04_Actual | 05_Budget_Forecast | 06_Working_Capital | 07_Debt_Equity | 08_Financial_Statement | 09_Valuation | 10_Check</t>
        </is>
      </c>
      <c r="F8" s="29" t="inlineStr">
        <is>
          <t>actual_fs | budget_assumptions | scenario_assumptions | inventory_driver | cost_driver | debt_equity_driver</t>
        </is>
      </c>
      <c r="G8" s="29" t="inlineStr">
        <is>
          <t>fp&amp;a | budget | forecast | scenario | inventory | cost | working capital</t>
        </is>
      </c>
    </row>
    <row r="9" ht="24" customHeight="1">
      <c r="A9" s="24" t="inlineStr">
        <is>
          <t>M_AND_A_DEAL_STRUCTURING</t>
        </is>
      </c>
      <c r="B9" s="24" t="inlineStr">
        <is>
          <t>M&amp;A/deal structuring workbook pattern for merger, secondary sale, rights offering and CB issuance outputs.</t>
        </is>
      </c>
      <c r="C9" s="24" t="inlineStr">
        <is>
          <t>M&amp;A modeling pack / deal structuring exercise</t>
        </is>
      </c>
      <c r="D9" s="24" t="inlineStr">
        <is>
          <t>합병 | 구주매각 | 유상증자 | CB발행 | Peer Analysis | FS (dart) | Peer data (CapIQ) | 참고) Peer List (네이버증권)</t>
        </is>
      </c>
      <c r="E9" s="24" t="inlineStr">
        <is>
          <t>01_ReadMe | 02_Deal_Assumptions | 03_Target_FS | 04_Peer_Comps | 05_Merger | 06_Equity_Issuance | 07_CB_Issuance | 08_Value_Impact | 09_Checks</t>
        </is>
      </c>
      <c r="F9" s="24" t="inlineStr">
        <is>
          <t>target_fs | peer_multiples | deal_assumptions | share_price | capital_structure</t>
        </is>
      </c>
      <c r="G9" s="24" t="inlineStr">
        <is>
          <t>m&amp;a | deal | merger | cb | issuance | peer analysis</t>
        </is>
      </c>
    </row>
    <row r="10" ht="24" customHeight="1">
      <c r="A10" s="29" t="inlineStr">
        <is>
          <t>LBO_CREDIT_CASE</t>
        </is>
      </c>
      <c r="B10" s="29" t="inlineStr">
        <is>
          <t>LBO/debt capacity style model inferred from assumptions, covenants, FCFF, debt and country/rate sheets.</t>
        </is>
      </c>
      <c r="C10" s="29" t="inlineStr">
        <is>
          <t>part10 LBO modeling pack</t>
        </is>
      </c>
      <c r="D10" s="29" t="inlineStr">
        <is>
          <t>Assumptions | Covenants | FCFF (Hold Co) | FCFF(Op) | 추정PL | Sales | PL | BS | Summary | 채권수익률</t>
        </is>
      </c>
      <c r="E10" s="29" t="inlineStr">
        <is>
          <t>01_ReadMe | 02_Assumptions | 03_FCFF | 04_Debt_Schedule | 05_Covenants | 06_Returns | 07_Credit_Checks</t>
        </is>
      </c>
      <c r="F10" s="29" t="inlineStr">
        <is>
          <t>fcff | debt_assumption | interest_rate | covenant_threshold | exit_multiple</t>
        </is>
      </c>
      <c r="G10" s="29" t="inlineStr">
        <is>
          <t>lbo | covenant | debt | fcff | exit | credit</t>
        </is>
      </c>
    </row>
    <row r="11" ht="24" customHeight="1">
      <c r="A11" s="24" t="inlineStr">
        <is>
          <t>RISK_DASHBOARD_EXPORT</t>
        </is>
      </c>
      <c r="B11" s="24" t="inlineStr">
        <is>
          <t>Dashboard/export workbook for investor-facing outputs, risk checks and downloadable payloads.</t>
        </is>
      </c>
      <c r="C11" s="24" t="inlineStr">
        <is>
          <t>ChatGPT로 완성하는 파이낸셜 모델링 및 재무기획 / 수업개요, 엑셀함수, 데이터베이스 스키마, Dashboard/Output</t>
        </is>
      </c>
      <c r="D11" s="24" t="inlineStr">
        <is>
          <t>수업개요 | 엑셀함수소개 | Sheet1 | Dashboard | Output</t>
        </is>
      </c>
      <c r="E11" s="24" t="inlineStr">
        <is>
          <t>01_ReadMe | 02_Raw_Data | 03_Normalized | 04_Output | 05_Dashboard_Export | 06_Checks</t>
        </is>
      </c>
      <c r="F11" s="24" t="inlineStr">
        <is>
          <t>valuation_metrics | risk_flags | chart_series | dashboard_payload | validation_status</t>
        </is>
      </c>
      <c r="G11" s="24" t="inlineStr">
        <is>
          <t>dashboard | output | export | risk | schema | check</t>
        </is>
      </c>
    </row>
  </sheetData>
  <autoFilter ref="A2:G11"/>
  <mergeCells count="1">
    <mergeCell ref="A1:F1"/>
  </mergeCells>
  <pageMargins left="0.75" right="0.75" top="1" bottom="1" header="0.5" footer="0.5"/>
  <pageSetup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18" customWidth="1" min="2" max="2"/>
    <col width="4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한미반도체 투자자용 요약</t>
        </is>
      </c>
    </row>
    <row r="2" ht="28" customHeight="1">
      <c r="A2" s="17" t="inlineStr">
        <is>
          <t>Valuation Agent 단독 산출: 재무 원천·주가·DCF·Peer·ML 보조판단을 한 장으로 요약</t>
        </is>
      </c>
    </row>
    <row r="3" ht="24" customHeight="1"/>
    <row r="4" ht="24" customHeight="1">
      <c r="A4" s="22" t="inlineStr">
        <is>
          <t>투자자 핵심 요약</t>
        </is>
      </c>
    </row>
    <row r="5" ht="24" customHeight="1">
      <c r="A5" s="25" t="inlineStr">
        <is>
          <t>구분</t>
        </is>
      </c>
      <c r="B5" s="25" t="inlineStr">
        <is>
          <t>핵심값</t>
        </is>
      </c>
      <c r="C5" s="25" t="inlineStr">
        <is>
          <t>해석</t>
        </is>
      </c>
    </row>
    <row r="6" ht="24" customHeight="1">
      <c r="A6" s="24" t="inlineStr">
        <is>
          <t>데이터 상태</t>
        </is>
      </c>
      <c r="B6" s="24" t="inlineStr">
        <is>
          <t>PASS</t>
        </is>
      </c>
      <c r="C6" s="24" t="inlineStr">
        <is>
          <t>PASS이면 workbook/dashboard용 주요 입력값이 준비된 상태</t>
        </is>
      </c>
    </row>
    <row r="7" ht="24" customHeight="1">
      <c r="A7" s="29" t="inlineStr">
        <is>
          <t>현재가</t>
        </is>
      </c>
      <c r="B7" s="31" t="n">
        <v>291000</v>
      </c>
      <c r="C7" s="29" t="inlineStr">
        <is>
          <t>주가 intake 기준 최근 종가</t>
        </is>
      </c>
    </row>
    <row r="8" ht="24" customHeight="1">
      <c r="A8" s="24" t="inlineStr">
        <is>
          <t>시가총액</t>
        </is>
      </c>
      <c r="B8" s="30" t="n">
        <v>27735850200000</v>
      </c>
      <c r="C8" s="24" t="inlineStr">
        <is>
          <t>현재가 × 발행주식 수</t>
        </is>
      </c>
    </row>
    <row r="9" ht="24" customHeight="1">
      <c r="A9" s="29" t="inlineStr">
        <is>
          <t>최근 매출액</t>
        </is>
      </c>
      <c r="B9" s="31" t="n">
        <v>576684619527</v>
      </c>
      <c r="C9" s="29" t="inlineStr">
        <is>
          <t>DART 기반 정규화 재무제표</t>
        </is>
      </c>
    </row>
    <row r="10" ht="24" customHeight="1">
      <c r="A10" s="24" t="inlineStr">
        <is>
          <t>최근 영업이익률</t>
        </is>
      </c>
      <c r="B10" s="30" t="n">
        <v>0.4359230914606178</v>
      </c>
      <c r="C10" s="24" t="inlineStr">
        <is>
          <t>영업이익 / 매출액</t>
        </is>
      </c>
    </row>
    <row r="11" ht="24" customHeight="1">
      <c r="A11" s="29" t="inlineStr">
        <is>
          <t>최근 FCF margin</t>
        </is>
      </c>
      <c r="B11" s="31" t="n">
        <v>0.3633058537868474</v>
      </c>
      <c r="C11" s="29" t="inlineStr">
        <is>
          <t>FCF / 매출액</t>
        </is>
      </c>
    </row>
    <row r="12" ht="24" customHeight="1">
      <c r="A12" s="24" t="inlineStr">
        <is>
          <t>WACC</t>
        </is>
      </c>
      <c r="B12" s="30" t="n">
        <v>0.1425531756098363</v>
      </c>
      <c r="C12" s="24" t="inlineStr">
        <is>
          <t>DCF 할인율</t>
        </is>
      </c>
    </row>
    <row r="13" ht="24" customHeight="1">
      <c r="A13" s="29" t="inlineStr">
        <is>
          <t>DCF 기업가치</t>
        </is>
      </c>
      <c r="B13" s="31" t="n">
        <v>1566115506024.177</v>
      </c>
      <c r="C13" s="29" t="inlineStr">
        <is>
          <t>명시기간 FCF + Terminal Value 현재가치</t>
        </is>
      </c>
    </row>
    <row r="14" ht="24" customHeight="1">
      <c r="A14" s="24" t="inlineStr">
        <is>
          <t>DCF 내재주가</t>
        </is>
      </c>
      <c r="B14" s="30" t="n">
        <v>18039.10493064033</v>
      </c>
      <c r="C14" s="24" t="inlineStr">
        <is>
          <t>지분가치 / 발행주식 수</t>
        </is>
      </c>
    </row>
    <row r="15" ht="24" customHeight="1">
      <c r="A15" s="29" t="inlineStr">
        <is>
          <t>현재가 대비 괴리율</t>
        </is>
      </c>
      <c r="B15" s="31" t="n">
        <v>-0.9380099486919576</v>
      </c>
      <c r="C15" s="29" t="inlineStr">
        <is>
          <t>내재주가 / 현재가 - 1</t>
        </is>
      </c>
    </row>
    <row r="16" ht="24" customHeight="1">
      <c r="A16" s="24" t="inlineStr">
        <is>
          <t>P/S</t>
        </is>
      </c>
      <c r="B16" s="30" t="n">
        <v>48.17799081027719</v>
      </c>
      <c r="C16" s="24" t="inlineStr">
        <is>
          <t>피어 대비 고PSR 구간: 성장 프리미엄 또는 밸류 부담 확인 필요</t>
        </is>
      </c>
    </row>
    <row r="17" ht="24" customHeight="1">
      <c r="A17" s="29" t="inlineStr">
        <is>
          <t>Peer P/S 중앙값</t>
        </is>
      </c>
      <c r="B17" s="31" t="n">
        <v>3.616106474130175</v>
      </c>
      <c r="C17" s="29" t="inlineStr">
        <is>
          <t>5개 live peer 기준 상대가치 비교</t>
        </is>
      </c>
    </row>
    <row r="18" ht="24" customHeight="1">
      <c r="A18" s="24" t="inlineStr">
        <is>
          <t>208개 Universe</t>
        </is>
      </c>
      <c r="B18" s="30" t="n">
        <v>208</v>
      </c>
      <c r="C18" s="24" t="inlineStr">
        <is>
          <t>후공정/패키징/테스트</t>
        </is>
      </c>
    </row>
    <row r="19" ht="24" customHeight="1">
      <c r="A19" s="29" t="inlineStr">
        <is>
          <t>1년 수익률</t>
        </is>
      </c>
      <c r="B19" s="31" t="n">
        <v>2.553113553113553</v>
      </c>
      <c r="C19" s="29" t="inlineStr">
        <is>
          <t>최근 약 1년 주가 변화</t>
        </is>
      </c>
    </row>
    <row r="20" ht="24" customHeight="1">
      <c r="A20" s="24" t="inlineStr">
        <is>
          <t>MDD</t>
        </is>
      </c>
      <c r="B20" s="30" t="n">
        <v>-0.6814814814814815</v>
      </c>
      <c r="C20" s="24" t="inlineStr">
        <is>
          <t>수집 기간 중 최대 낙폭</t>
        </is>
      </c>
    </row>
    <row r="21" ht="24" customHeight="1">
      <c r="A21" s="29" t="inlineStr">
        <is>
          <t>20일 평균 거래대금</t>
        </is>
      </c>
      <c r="B21" s="31" t="n">
        <v>513934339150</v>
      </c>
      <c r="C21" s="29" t="inlineStr">
        <is>
          <t>거래 유동성 proxy</t>
        </is>
      </c>
    </row>
    <row r="22" ht="24" customHeight="1">
      <c r="A22" s="22" t="inlineStr">
        <is>
          <t>활용 체크포인트</t>
        </is>
      </c>
      <c r="B22" s="32" t="n"/>
      <c r="C22" s="32" t="n"/>
      <c r="D22" s="32" t="n"/>
      <c r="E22" s="32" t="n"/>
      <c r="F22" s="33" t="n"/>
    </row>
    <row r="23" ht="24" customHeight="1">
      <c r="A23" s="25" t="inlineStr">
        <is>
          <t>체크포인트</t>
        </is>
      </c>
      <c r="B23" s="34" t="inlineStr">
        <is>
          <t>내용</t>
        </is>
      </c>
      <c r="C23" s="29" t="inlineStr">
        <is>
          <t>반도체 5개 focal universe</t>
        </is>
      </c>
    </row>
    <row r="24" ht="24" customHeight="1">
      <c r="A24" s="24" t="inlineStr">
        <is>
          <t>가중합 반영</t>
        </is>
      </c>
      <c r="B24" s="24" t="inlineStr">
        <is>
          <t>기존 Chair 5개 에이전트 가중합에는 미반영. 보조 가치평가·다운로드 산출물로 사용</t>
        </is>
      </c>
    </row>
    <row r="25" ht="24" customHeight="1">
      <c r="A25" s="29" t="inlineStr">
        <is>
          <t>Finance와 중복 방지</t>
        </is>
      </c>
      <c r="B25" s="29" t="inlineStr">
        <is>
          <t>finance_agent 산출물을 읽지 않고 valuation/intake 산출물만 사용</t>
        </is>
      </c>
    </row>
    <row r="26" ht="24" customHeight="1">
      <c r="A26" s="24" t="inlineStr">
        <is>
          <t>대시보드 연결</t>
        </is>
      </c>
      <c r="B26" s="24" t="inlineStr">
        <is>
          <t>dashboard_payload.json과 workbook 시트를 그대로 Streamlit/React 다운로드 영역에 연결 가능</t>
        </is>
      </c>
    </row>
    <row r="27" ht="24" customHeight="1">
      <c r="A27" s="29" t="inlineStr">
        <is>
          <t>PSR/208개 Universe</t>
        </is>
      </c>
      <c r="B27" s="29" t="inlineStr">
        <is>
          <t>P/S와 208개 반도체 reference universe를 함께 보여줘 단순 DCF보다 비교 설명력을 강화</t>
        </is>
      </c>
    </row>
    <row r="28" ht="24" customHeight="1">
      <c r="A28" s="24" t="inlineStr">
        <is>
          <t>해석 주의</t>
        </is>
      </c>
      <c r="B28" s="24" t="inlineStr">
        <is>
          <t>DCF는 가정 민감도가 크므로 WACC·성장률·FCF margin 민감도 시트와 함께 확인</t>
        </is>
      </c>
    </row>
  </sheetData>
  <autoFilter ref="A23:B28"/>
  <mergeCells count="4">
    <mergeCell ref="A1:J1"/>
    <mergeCell ref="A22:F22"/>
    <mergeCell ref="A4:F4"/>
    <mergeCell ref="A2:J2"/>
  </mergeCells>
  <pageMargins left="0.75" right="0.75" top="1" bottom="1" header="0.5" footer="0.5"/>
  <pageSetup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AH2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 ht="30" customHeight="1">
      <c r="A1" s="16" t="inlineStr">
        <is>
          <t>208개 반도체 Reference Universe</t>
        </is>
      </c>
    </row>
    <row r="2" ht="28" customHeight="1">
      <c r="A2" s="17" t="inlineStr">
        <is>
          <t>Tech의 대규모 반도체 universe와 같은 축을 Valuation Agent가 자체 intake로 복제해 PSR/ML 보조판단에 활용</t>
        </is>
      </c>
    </row>
    <row r="3" ht="24" customHeight="1"/>
    <row r="4" ht="24" customHeight="1">
      <c r="A4" s="22" t="inlineStr">
        <is>
          <t>Universe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</row>
    <row r="6" ht="24" customHeight="1">
      <c r="A6" s="24" t="inlineStr">
        <is>
          <t>status</t>
        </is>
      </c>
      <c r="B6" s="24" t="inlineStr">
        <is>
          <t>OK</t>
        </is>
      </c>
    </row>
    <row r="7" ht="24" customHeight="1">
      <c r="A7" s="29" t="inlineStr">
        <is>
          <t>created_at</t>
        </is>
      </c>
      <c r="B7" s="29" t="inlineStr">
        <is>
          <t>2026-05-20T10:30:12</t>
        </is>
      </c>
    </row>
    <row r="8" ht="24" customHeight="1">
      <c r="A8" s="24" t="inlineStr">
        <is>
          <t>reference_universe_rows</t>
        </is>
      </c>
      <c r="B8" s="30" t="n">
        <v>208</v>
      </c>
    </row>
    <row r="9" ht="24" customHeight="1">
      <c r="A9" s="29" t="inlineStr">
        <is>
          <t>focus_rows</t>
        </is>
      </c>
      <c r="B9" s="31" t="n">
        <v>40</v>
      </c>
    </row>
    <row r="10" ht="24" customHeight="1">
      <c r="A10" s="24" t="inlineStr">
        <is>
          <t>focal_5_rows</t>
        </is>
      </c>
      <c r="B10" s="30" t="n">
        <v>5</v>
      </c>
    </row>
    <row r="11" ht="24" customHeight="1">
      <c r="A11" s="29" t="inlineStr">
        <is>
          <t>target_company</t>
        </is>
      </c>
      <c r="B11" s="29" t="inlineStr">
        <is>
          <t>한미반도체</t>
        </is>
      </c>
    </row>
    <row r="12" ht="24" customHeight="1">
      <c r="A12" s="24" t="inlineStr">
        <is>
          <t>target_peer_group</t>
        </is>
      </c>
      <c r="B12" s="24" t="inlineStr">
        <is>
          <t>후공정/패키징/테스트</t>
        </is>
      </c>
    </row>
    <row r="13" ht="24" customHeight="1">
      <c r="A13" s="29" t="inlineStr">
        <is>
          <t>target_peer_group_size</t>
        </is>
      </c>
      <c r="B13" s="31" t="n">
        <v>45</v>
      </c>
    </row>
    <row r="14" ht="24" customHeight="1">
      <c r="A14" s="24" t="inlineStr">
        <is>
          <t>attractive_rows</t>
        </is>
      </c>
      <c r="B14" s="30" t="n">
        <v>43</v>
      </c>
    </row>
    <row r="15" ht="24" customHeight="1">
      <c r="A15" s="29" t="inlineStr">
        <is>
          <t>high_risk_rows</t>
        </is>
      </c>
      <c r="B15" s="31" t="n">
        <v>67</v>
      </c>
    </row>
    <row r="16" ht="24" customHeight="1">
      <c r="A16" s="24" t="inlineStr">
        <is>
          <t>note</t>
        </is>
      </c>
      <c r="B16" s="24" t="inlineStr">
        <is>
          <t>Valuation Agent는 live DCF/PSR 산출과 별도로 208개 반도체 universe의 proxy score를 활용해 상대 위치를 보조 판단합니다.</t>
        </is>
      </c>
    </row>
    <row r="17" ht="24" customHeight="1">
      <c r="A17" s="29" t="inlineStr">
        <is>
          <t>source_path</t>
        </is>
      </c>
      <c r="B17" s="29" t="inlineStr">
        <is>
          <t>data/반도체/_sector_common/ml_universe/valuation_credit_ml_overlay_candidate.csv</t>
        </is>
      </c>
    </row>
    <row r="18" ht="24" customHeight="1">
      <c r="A18" s="24" t="inlineStr">
        <is>
          <t>exported_at</t>
        </is>
      </c>
      <c r="B18" s="24" t="inlineStr">
        <is>
          <t>2026-05-20T10:30:12</t>
        </is>
      </c>
    </row>
    <row r="19" ht="24" customHeight="1"/>
    <row r="20" ht="24" customHeight="1"/>
    <row r="21" ht="24" customHeight="1">
      <c r="A21" s="22" t="inlineStr">
        <is>
          <t>Target 중심 비교군</t>
        </is>
      </c>
    </row>
    <row r="22" ht="24" customHeight="1">
      <c r="A22" s="25" t="inlineStr">
        <is>
          <t>Universe 순번</t>
        </is>
      </c>
      <c r="B22" s="25" t="inlineStr">
        <is>
          <t>기업코드</t>
        </is>
      </c>
      <c r="C22" s="25" t="inlineStr">
        <is>
          <t>기업명</t>
        </is>
      </c>
      <c r="D22" s="25" t="inlineStr">
        <is>
          <t>종목코드</t>
        </is>
      </c>
      <c r="E22" s="25" t="inlineStr">
        <is>
          <t>시장</t>
        </is>
      </c>
      <c r="F22" s="25" t="inlineStr">
        <is>
          <t>피어 그룹</t>
        </is>
      </c>
      <c r="G22" s="25" t="inlineStr">
        <is>
          <t>반도체 세부군</t>
        </is>
      </c>
      <c r="H22" s="25" t="inlineStr">
        <is>
          <t>5개 핵심기업</t>
        </is>
      </c>
      <c r="I22" s="25" t="inlineStr">
        <is>
          <t>market_data_available</t>
        </is>
      </c>
      <c r="J22" s="25" t="inlineStr">
        <is>
          <t>데이터 품질</t>
        </is>
      </c>
      <c r="K22" s="25" t="inlineStr">
        <is>
          <t>데이터 품질 해석</t>
        </is>
      </c>
      <c r="L22" s="25" t="inlineStr">
        <is>
          <t>수동검토 우선순위</t>
        </is>
      </c>
      <c r="M22" s="25" t="inlineStr">
        <is>
          <t>수동검토 우선순위 해석</t>
        </is>
      </c>
      <c r="N22" s="25" t="inlineStr">
        <is>
          <t>Valuation Proxy 점수</t>
        </is>
      </c>
      <c r="O22" s="25" t="inlineStr">
        <is>
          <t>Valuation Proxy 라벨</t>
        </is>
      </c>
      <c r="P22" s="25" t="inlineStr">
        <is>
          <t>가치 라벨</t>
        </is>
      </c>
      <c r="Q22" s="25" t="inlineStr">
        <is>
          <t>valuation_pred_label</t>
        </is>
      </c>
      <c r="R22" s="25" t="inlineStr">
        <is>
          <t>Valuation 신뢰도</t>
        </is>
      </c>
      <c r="S22" s="25" t="inlineStr">
        <is>
          <t>valuation_confidence_bucket</t>
        </is>
      </c>
      <c r="T22" s="25" t="inlineStr">
        <is>
          <t>valuation_confidence_bucket_kr</t>
        </is>
      </c>
      <c r="U22" s="25" t="inlineStr">
        <is>
          <t>Credit Risk 점수</t>
        </is>
      </c>
      <c r="V22" s="25" t="inlineStr">
        <is>
          <t>Credit Risk 라벨</t>
        </is>
      </c>
      <c r="W22" s="25" t="inlineStr">
        <is>
          <t>신용위험 라벨</t>
        </is>
      </c>
      <c r="X22" s="25" t="inlineStr">
        <is>
          <t>credit_pred_label</t>
        </is>
      </c>
      <c r="Y22" s="25" t="inlineStr">
        <is>
          <t>Credit 신뢰도</t>
        </is>
      </c>
      <c r="Z22" s="25" t="inlineStr">
        <is>
          <t>credit_confidence_bucket</t>
        </is>
      </c>
      <c r="AA22" s="25" t="inlineStr">
        <is>
          <t>credit_confidence_bucket_kr</t>
        </is>
      </c>
      <c r="AB22" s="25" t="inlineStr">
        <is>
          <t>Credit 이상치 점수</t>
        </is>
      </c>
      <c r="AC22" s="25" t="inlineStr">
        <is>
          <t>credit_anomaly_flag_top15pct</t>
        </is>
      </c>
      <c r="AD22" s="25" t="inlineStr">
        <is>
          <t>auditor_requires_human_review</t>
        </is>
      </c>
      <c r="AE22" s="25" t="inlineStr">
        <is>
          <t>출처 유형</t>
        </is>
      </c>
      <c r="AF22" s="25" t="inlineStr">
        <is>
          <t>출처 설명</t>
        </is>
      </c>
      <c r="AG22" s="25" t="inlineStr">
        <is>
          <t>포함 사유</t>
        </is>
      </c>
      <c r="AH22" s="25" t="inlineStr">
        <is>
          <t>분석대상</t>
        </is>
      </c>
    </row>
    <row r="23" ht="24" customHeight="1">
      <c r="A23" s="24" t="inlineStr">
        <is>
          <t>192</t>
        </is>
      </c>
      <c r="B23" s="24" t="inlineStr">
        <is>
          <t>hanmi</t>
        </is>
      </c>
      <c r="C23" s="24" t="inlineStr">
        <is>
          <t>한미반도체</t>
        </is>
      </c>
      <c r="D23" s="24" t="inlineStr">
        <is>
          <t>042700</t>
        </is>
      </c>
      <c r="E23" s="24" t="inlineStr">
        <is>
          <t>KOSPI</t>
        </is>
      </c>
      <c r="F23" s="24" t="inlineStr">
        <is>
          <t>후공정/패키징/테스트</t>
        </is>
      </c>
      <c r="G23" s="24" t="inlineStr">
        <is>
          <t>후공정/패키징/테스트</t>
        </is>
      </c>
      <c r="H23" s="24" t="inlineStr">
        <is>
          <t>True</t>
        </is>
      </c>
      <c r="I23" s="24" t="inlineStr">
        <is>
          <t>True</t>
        </is>
      </c>
      <c r="J23" s="24" t="inlineStr">
        <is>
          <t>OK</t>
        </is>
      </c>
      <c r="K23" s="24" t="inlineStr">
        <is>
          <t>데이터 사용 가능</t>
        </is>
      </c>
      <c r="L23" s="24" t="inlineStr">
        <is>
          <t>LOW</t>
        </is>
      </c>
      <c r="M23" s="24" t="inlineStr">
        <is>
          <t>LOW</t>
        </is>
      </c>
      <c r="N23" s="24" t="inlineStr">
        <is>
          <t>0.4712592592592592</t>
        </is>
      </c>
      <c r="O23" s="24" t="inlineStr">
        <is>
          <t>FAIR</t>
        </is>
      </c>
      <c r="P23" s="24" t="inlineStr">
        <is>
          <t>FAIR</t>
        </is>
      </c>
      <c r="Q23" s="24" t="inlineStr">
        <is>
          <t>FAIR</t>
        </is>
      </c>
      <c r="R23" s="24" t="inlineStr">
        <is>
          <t>0.618072727307107</t>
        </is>
      </c>
      <c r="S23" s="24" t="inlineStr">
        <is>
          <t>MEDIUM</t>
        </is>
      </c>
      <c r="T23" s="24" t="inlineStr">
        <is>
          <t>MEDIUM</t>
        </is>
      </c>
      <c r="U23" s="24" t="inlineStr">
        <is>
          <t>0.0</t>
        </is>
      </c>
      <c r="V23" s="24" t="inlineStr">
        <is>
          <t>LOW_RISK</t>
        </is>
      </c>
      <c r="W23" s="24" t="inlineStr">
        <is>
          <t>저위험</t>
        </is>
      </c>
      <c r="X23" s="24" t="inlineStr">
        <is>
          <t>LOW_RISK</t>
        </is>
      </c>
      <c r="Y23" s="24" t="inlineStr">
        <is>
          <t>0.9350232170644448</t>
        </is>
      </c>
      <c r="Z23" s="24" t="inlineStr">
        <is>
          <t>HIGH</t>
        </is>
      </c>
      <c r="AA23" s="24" t="inlineStr">
        <is>
          <t>HIGH</t>
        </is>
      </c>
      <c r="AB23" s="24" t="inlineStr">
        <is>
          <t>0.2707179947680644</t>
        </is>
      </c>
      <c r="AC23" s="24" t="inlineStr">
        <is>
          <t>True</t>
        </is>
      </c>
      <c r="AD23" s="24" t="inlineStr">
        <is>
          <t>True</t>
        </is>
      </c>
      <c r="AE23" s="24" t="inlineStr">
        <is>
          <t>valuation_credit_ml_overlay_candidate.csv</t>
        </is>
      </c>
      <c r="AF23" s="24" t="inlineStr">
        <is>
          <t>208개 반도체 reference universe. Valuation Agent가 자체 intake 폴더로 복제해 Peer/ML/대시보드 비교에 사용.</t>
        </is>
      </c>
      <c r="AG23" s="24" t="inlineStr">
        <is>
          <t>TARGET</t>
        </is>
      </c>
      <c r="AH23" s="24" t="inlineStr">
        <is>
          <t>True</t>
        </is>
      </c>
    </row>
    <row r="24" ht="24" customHeight="1">
      <c r="A24" s="29" t="inlineStr">
        <is>
          <t>168</t>
        </is>
      </c>
      <c r="B24" s="29" t="inlineStr">
        <is>
          <t>해당 없음</t>
        </is>
      </c>
      <c r="C24" s="29" t="inlineStr">
        <is>
          <t>성우테크론</t>
        </is>
      </c>
      <c r="D24" s="29" t="inlineStr">
        <is>
          <t>045300</t>
        </is>
      </c>
      <c r="E24" s="29" t="inlineStr">
        <is>
          <t>KOSDAQ</t>
        </is>
      </c>
      <c r="F24" s="29" t="inlineStr">
        <is>
          <t>후공정/패키징/테스트</t>
        </is>
      </c>
      <c r="G24" s="29" t="inlineStr">
        <is>
          <t>후공정/패키징/테스트</t>
        </is>
      </c>
      <c r="H24" s="29" t="inlineStr">
        <is>
          <t>False</t>
        </is>
      </c>
      <c r="I24" s="29" t="inlineStr">
        <is>
          <t>True</t>
        </is>
      </c>
      <c r="J24" s="29" t="inlineStr">
        <is>
          <t>OK</t>
        </is>
      </c>
      <c r="K24" s="29" t="inlineStr">
        <is>
          <t>데이터 사용 가능</t>
        </is>
      </c>
      <c r="L24" s="29" t="inlineStr">
        <is>
          <t>LOW</t>
        </is>
      </c>
      <c r="M24" s="29" t="inlineStr">
        <is>
          <t>LOW</t>
        </is>
      </c>
      <c r="N24" s="29" t="inlineStr">
        <is>
          <t>0.7764444444444445</t>
        </is>
      </c>
      <c r="O24" s="29" t="inlineStr">
        <is>
          <t>ATTRACTIVE</t>
        </is>
      </c>
      <c r="P24" s="29" t="inlineStr">
        <is>
          <t>가치 매력</t>
        </is>
      </c>
      <c r="Q24" s="29" t="inlineStr">
        <is>
          <t>ATTRACTIVE</t>
        </is>
      </c>
      <c r="R24" s="29" t="inlineStr">
        <is>
          <t>0.9526864248076319</t>
        </is>
      </c>
      <c r="S24" s="29" t="inlineStr">
        <is>
          <t>HIGH</t>
        </is>
      </c>
      <c r="T24" s="29" t="inlineStr">
        <is>
          <t>HIGH</t>
        </is>
      </c>
      <c r="U24" s="29" t="inlineStr">
        <is>
          <t>0.0714285714285714</t>
        </is>
      </c>
      <c r="V24" s="29" t="inlineStr">
        <is>
          <t>LOW_RISK</t>
        </is>
      </c>
      <c r="W24" s="29" t="inlineStr">
        <is>
          <t>저위험</t>
        </is>
      </c>
      <c r="X24" s="29" t="inlineStr">
        <is>
          <t>LOW_RISK</t>
        </is>
      </c>
      <c r="Y24" s="29" t="inlineStr">
        <is>
          <t>0.869939352370702</t>
        </is>
      </c>
      <c r="Z24" s="29" t="inlineStr">
        <is>
          <t>HIGH</t>
        </is>
      </c>
      <c r="AA24" s="29" t="inlineStr">
        <is>
          <t>HIGH</t>
        </is>
      </c>
      <c r="AB24" s="29" t="inlineStr">
        <is>
          <t>0.10286671144812394</t>
        </is>
      </c>
      <c r="AC24" s="29" t="inlineStr">
        <is>
          <t>False</t>
        </is>
      </c>
      <c r="AD24" s="29" t="inlineStr">
        <is>
          <t>False</t>
        </is>
      </c>
      <c r="AE24" s="29" t="inlineStr">
        <is>
          <t>valuation_credit_ml_overlay_candidate.csv</t>
        </is>
      </c>
      <c r="AF24" s="29" t="inlineStr">
        <is>
          <t>208개 반도체 reference universe. Valuation Agent가 자체 intake 폴더로 복제해 Peer/ML/대시보드 비교에 사용.</t>
        </is>
      </c>
      <c r="AG24" s="29" t="inlineStr">
        <is>
          <t>SAME_PEER_GROUP</t>
        </is>
      </c>
      <c r="AH24" s="29" t="inlineStr">
        <is>
          <t>False</t>
        </is>
      </c>
    </row>
    <row r="25" ht="24" customHeight="1">
      <c r="A25" s="24" t="inlineStr">
        <is>
          <t>165</t>
        </is>
      </c>
      <c r="B25" s="24" t="inlineStr">
        <is>
          <t>해당 없음</t>
        </is>
      </c>
      <c r="C25" s="24" t="inlineStr">
        <is>
          <t>미래산업</t>
        </is>
      </c>
      <c r="D25" s="24" t="inlineStr">
        <is>
          <t>025560</t>
        </is>
      </c>
      <c r="E25" s="24" t="inlineStr">
        <is>
          <t>KOSPI</t>
        </is>
      </c>
      <c r="F25" s="24" t="inlineStr">
        <is>
          <t>후공정/패키징/테스트</t>
        </is>
      </c>
      <c r="G25" s="24" t="inlineStr">
        <is>
          <t>후공정/패키징/테스트</t>
        </is>
      </c>
      <c r="H25" s="24" t="inlineStr">
        <is>
          <t>False</t>
        </is>
      </c>
      <c r="I25" s="24" t="inlineStr">
        <is>
          <t>True</t>
        </is>
      </c>
      <c r="J25" s="24" t="inlineStr">
        <is>
          <t>OK</t>
        </is>
      </c>
      <c r="K25" s="24" t="inlineStr">
        <is>
          <t>데이터 사용 가능</t>
        </is>
      </c>
      <c r="L25" s="24" t="inlineStr">
        <is>
          <t>LOW</t>
        </is>
      </c>
      <c r="M25" s="24" t="inlineStr">
        <is>
          <t>LOW</t>
        </is>
      </c>
      <c r="N25" s="24" t="inlineStr">
        <is>
          <t>0.7748148148148148</t>
        </is>
      </c>
      <c r="O25" s="24" t="inlineStr">
        <is>
          <t>FAIR</t>
        </is>
      </c>
      <c r="P25" s="24" t="inlineStr">
        <is>
          <t>FAIR</t>
        </is>
      </c>
      <c r="Q25" s="24" t="inlineStr">
        <is>
          <t>FAIR</t>
        </is>
      </c>
      <c r="R25" s="24" t="inlineStr">
        <is>
          <t>0.883291104654336</t>
        </is>
      </c>
      <c r="S25" s="24" t="inlineStr">
        <is>
          <t>HIGH</t>
        </is>
      </c>
      <c r="T25" s="24" t="inlineStr">
        <is>
          <t>HIGH</t>
        </is>
      </c>
      <c r="U25" s="24" t="inlineStr">
        <is>
          <t>0.2857142857142857</t>
        </is>
      </c>
      <c r="V25" s="24" t="inlineStr">
        <is>
          <t>MEDIUM_RISK</t>
        </is>
      </c>
      <c r="W25" s="24" t="inlineStr">
        <is>
          <t>중위험</t>
        </is>
      </c>
      <c r="X25" s="24" t="inlineStr">
        <is>
          <t>MEDIUM_RISK</t>
        </is>
      </c>
      <c r="Y25" s="24" t="inlineStr">
        <is>
          <t>0.695536763680257</t>
        </is>
      </c>
      <c r="Z25" s="24" t="inlineStr">
        <is>
          <t>MEDIUM</t>
        </is>
      </c>
      <c r="AA25" s="24" t="inlineStr">
        <is>
          <t>MEDIUM</t>
        </is>
      </c>
      <c r="AB25" s="24" t="inlineStr">
        <is>
          <t>0.08100242357773374</t>
        </is>
      </c>
      <c r="AC25" s="24" t="inlineStr">
        <is>
          <t>False</t>
        </is>
      </c>
      <c r="AD25" s="24" t="inlineStr">
        <is>
          <t>False</t>
        </is>
      </c>
      <c r="AE25" s="24" t="inlineStr">
        <is>
          <t>valuation_credit_ml_overlay_candidate.csv</t>
        </is>
      </c>
      <c r="AF25" s="24" t="inlineStr">
        <is>
          <t>208개 반도체 reference universe. Valuation Agent가 자체 intake 폴더로 복제해 Peer/ML/대시보드 비교에 사용.</t>
        </is>
      </c>
      <c r="AG25" s="24" t="inlineStr">
        <is>
          <t>SAME_PEER_GROUP</t>
        </is>
      </c>
      <c r="AH25" s="24" t="inlineStr">
        <is>
          <t>False</t>
        </is>
      </c>
    </row>
    <row r="26" ht="24" customHeight="1">
      <c r="A26" s="29" t="inlineStr">
        <is>
          <t>163</t>
        </is>
      </c>
      <c r="B26" s="29" t="inlineStr">
        <is>
          <t>해당 없음</t>
        </is>
      </c>
      <c r="C26" s="29" t="inlineStr">
        <is>
          <t>링크제니시스</t>
        </is>
      </c>
      <c r="D26" s="29" t="inlineStr">
        <is>
          <t>219420</t>
        </is>
      </c>
      <c r="E26" s="29" t="inlineStr">
        <is>
          <t>KOSDAQ</t>
        </is>
      </c>
      <c r="F26" s="29" t="inlineStr">
        <is>
          <t>후공정/패키징/테스트</t>
        </is>
      </c>
      <c r="G26" s="29" t="inlineStr">
        <is>
          <t>후공정/패키징/테스트</t>
        </is>
      </c>
      <c r="H26" s="29" t="inlineStr">
        <is>
          <t>False</t>
        </is>
      </c>
      <c r="I26" s="29" t="inlineStr">
        <is>
          <t>True</t>
        </is>
      </c>
      <c r="J26" s="29" t="inlineStr">
        <is>
          <t>OK</t>
        </is>
      </c>
      <c r="K26" s="29" t="inlineStr">
        <is>
          <t>데이터 사용 가능</t>
        </is>
      </c>
      <c r="L26" s="29" t="inlineStr">
        <is>
          <t>LOW</t>
        </is>
      </c>
      <c r="M26" s="29" t="inlineStr">
        <is>
          <t>LOW</t>
        </is>
      </c>
      <c r="N26" s="29" t="inlineStr">
        <is>
          <t>0.7522962962962964</t>
        </is>
      </c>
      <c r="O26" s="29" t="inlineStr">
        <is>
          <t>ATTRACTIVE</t>
        </is>
      </c>
      <c r="P26" s="29" t="inlineStr">
        <is>
          <t>가치 매력</t>
        </is>
      </c>
      <c r="Q26" s="29" t="inlineStr">
        <is>
          <t>ATTRACTIVE</t>
        </is>
      </c>
      <c r="R26" s="29" t="inlineStr">
        <is>
          <t>0.8724992666433111</t>
        </is>
      </c>
      <c r="S26" s="29" t="inlineStr">
        <is>
          <t>HIGH</t>
        </is>
      </c>
      <c r="T26" s="29" t="inlineStr">
        <is>
          <t>HIGH</t>
        </is>
      </c>
      <c r="U26" s="29" t="inlineStr">
        <is>
          <t>0.0714285714285714</t>
        </is>
      </c>
      <c r="V26" s="29" t="inlineStr">
        <is>
          <t>LOW_RISK</t>
        </is>
      </c>
      <c r="W26" s="29" t="inlineStr">
        <is>
          <t>저위험</t>
        </is>
      </c>
      <c r="X26" s="29" t="inlineStr">
        <is>
          <t>LOW_RISK</t>
        </is>
      </c>
      <c r="Y26" s="29" t="inlineStr">
        <is>
          <t>0.8663667518810074</t>
        </is>
      </c>
      <c r="Z26" s="29" t="inlineStr">
        <is>
          <t>HIGH</t>
        </is>
      </c>
      <c r="AA26" s="29" t="inlineStr">
        <is>
          <t>HIGH</t>
        </is>
      </c>
      <c r="AB26" s="29" t="inlineStr">
        <is>
          <t>0.1247344063934745</t>
        </is>
      </c>
      <c r="AC26" s="29" t="inlineStr">
        <is>
          <t>False</t>
        </is>
      </c>
      <c r="AD26" s="29" t="inlineStr">
        <is>
          <t>False</t>
        </is>
      </c>
      <c r="AE26" s="29" t="inlineStr">
        <is>
          <t>valuation_credit_ml_overlay_candidate.csv</t>
        </is>
      </c>
      <c r="AF26" s="29" t="inlineStr">
        <is>
          <t>208개 반도체 reference universe. Valuation Agent가 자체 intake 폴더로 복제해 Peer/ML/대시보드 비교에 사용.</t>
        </is>
      </c>
      <c r="AG26" s="29" t="inlineStr">
        <is>
          <t>SAME_PEER_GROUP</t>
        </is>
      </c>
      <c r="AH26" s="29" t="inlineStr">
        <is>
          <t>False</t>
        </is>
      </c>
    </row>
    <row r="27" ht="24" customHeight="1">
      <c r="A27" s="24" t="inlineStr">
        <is>
          <t>189</t>
        </is>
      </c>
      <c r="B27" s="24" t="inlineStr">
        <is>
          <t>해당 없음</t>
        </is>
      </c>
      <c r="C27" s="24" t="inlineStr">
        <is>
          <t>프로텍</t>
        </is>
      </c>
      <c r="D27" s="24" t="inlineStr">
        <is>
          <t>053610</t>
        </is>
      </c>
      <c r="E27" s="24" t="inlineStr">
        <is>
          <t>KOSDAQ</t>
        </is>
      </c>
      <c r="F27" s="24" t="inlineStr">
        <is>
          <t>후공정/패키징/테스트</t>
        </is>
      </c>
      <c r="G27" s="24" t="inlineStr">
        <is>
          <t>후공정/패키징/테스트</t>
        </is>
      </c>
      <c r="H27" s="24" t="inlineStr">
        <is>
          <t>False</t>
        </is>
      </c>
      <c r="I27" s="24" t="inlineStr">
        <is>
          <t>True</t>
        </is>
      </c>
      <c r="J27" s="24" t="inlineStr">
        <is>
          <t>OK</t>
        </is>
      </c>
      <c r="K27" s="24" t="inlineStr">
        <is>
          <t>데이터 사용 가능</t>
        </is>
      </c>
      <c r="L27" s="24" t="inlineStr">
        <is>
          <t>LOW</t>
        </is>
      </c>
      <c r="M27" s="24" t="inlineStr">
        <is>
          <t>LOW</t>
        </is>
      </c>
      <c r="N27" s="24" t="inlineStr">
        <is>
          <t>0.7342222222222222</t>
        </is>
      </c>
      <c r="O27" s="24" t="inlineStr">
        <is>
          <t>FAIR</t>
        </is>
      </c>
      <c r="P27" s="24" t="inlineStr">
        <is>
          <t>FAIR</t>
        </is>
      </c>
      <c r="Q27" s="24" t="inlineStr">
        <is>
          <t>FAIR</t>
        </is>
      </c>
      <c r="R27" s="24" t="inlineStr">
        <is>
          <t>0.8971257561900263</t>
        </is>
      </c>
      <c r="S27" s="24" t="inlineStr">
        <is>
          <t>HIGH</t>
        </is>
      </c>
      <c r="T27" s="24" t="inlineStr">
        <is>
          <t>HIGH</t>
        </is>
      </c>
      <c r="U27" s="24" t="inlineStr">
        <is>
          <t>0.0714285714285714</t>
        </is>
      </c>
      <c r="V27" s="24" t="inlineStr">
        <is>
          <t>LOW_RISK</t>
        </is>
      </c>
      <c r="W27" s="24" t="inlineStr">
        <is>
          <t>저위험</t>
        </is>
      </c>
      <c r="X27" s="24" t="inlineStr">
        <is>
          <t>LOW_RISK</t>
        </is>
      </c>
      <c r="Y27" s="24" t="inlineStr">
        <is>
          <t>0.9163768919768406</t>
        </is>
      </c>
      <c r="Z27" s="24" t="inlineStr">
        <is>
          <t>HIGH</t>
        </is>
      </c>
      <c r="AA27" s="24" t="inlineStr">
        <is>
          <t>HIGH</t>
        </is>
      </c>
      <c r="AB27" s="24" t="inlineStr">
        <is>
          <t>0.04594870251712977</t>
        </is>
      </c>
      <c r="AC27" s="24" t="inlineStr">
        <is>
          <t>False</t>
        </is>
      </c>
      <c r="AD27" s="24" t="inlineStr">
        <is>
          <t>False</t>
        </is>
      </c>
      <c r="AE27" s="24" t="inlineStr">
        <is>
          <t>valuation_credit_ml_overlay_candidate.csv</t>
        </is>
      </c>
      <c r="AF27" s="24" t="inlineStr">
        <is>
          <t>208개 반도체 reference universe. Valuation Agent가 자체 intake 폴더로 복제해 Peer/ML/대시보드 비교에 사용.</t>
        </is>
      </c>
      <c r="AG27" s="24" t="inlineStr">
        <is>
          <t>SAME_PEER_GROUP</t>
        </is>
      </c>
      <c r="AH27" s="24" t="inlineStr">
        <is>
          <t>False</t>
        </is>
      </c>
    </row>
    <row r="28" ht="24" customHeight="1">
      <c r="A28" s="29" t="inlineStr">
        <is>
          <t>188</t>
        </is>
      </c>
      <c r="B28" s="29" t="inlineStr">
        <is>
          <t>해당 없음</t>
        </is>
      </c>
      <c r="C28" s="29" t="inlineStr">
        <is>
          <t>프로이천</t>
        </is>
      </c>
      <c r="D28" s="29" t="inlineStr">
        <is>
          <t>321260</t>
        </is>
      </c>
      <c r="E28" s="29" t="inlineStr">
        <is>
          <t>KOSDAQ</t>
        </is>
      </c>
      <c r="F28" s="29" t="inlineStr">
        <is>
          <t>후공정/패키징/테스트</t>
        </is>
      </c>
      <c r="G28" s="29" t="inlineStr">
        <is>
          <t>후공정/패키징/테스트</t>
        </is>
      </c>
      <c r="H28" s="29" t="inlineStr">
        <is>
          <t>False</t>
        </is>
      </c>
      <c r="I28" s="29" t="inlineStr">
        <is>
          <t>True</t>
        </is>
      </c>
      <c r="J28" s="29" t="inlineStr">
        <is>
          <t>OK</t>
        </is>
      </c>
      <c r="K28" s="29" t="inlineStr">
        <is>
          <t>데이터 사용 가능</t>
        </is>
      </c>
      <c r="L28" s="29" t="inlineStr">
        <is>
          <t>LOW</t>
        </is>
      </c>
      <c r="M28" s="29" t="inlineStr">
        <is>
          <t>LOW</t>
        </is>
      </c>
      <c r="N28" s="29" t="inlineStr">
        <is>
          <t>0.6905185185185185</t>
        </is>
      </c>
      <c r="O28" s="29" t="inlineStr">
        <is>
          <t>ATTRACTIVE</t>
        </is>
      </c>
      <c r="P28" s="29" t="inlineStr">
        <is>
          <t>가치 매력</t>
        </is>
      </c>
      <c r="Q28" s="29" t="inlineStr">
        <is>
          <t>ATTRACTIVE</t>
        </is>
      </c>
      <c r="R28" s="29" t="inlineStr">
        <is>
          <t>0.9481469936627798</t>
        </is>
      </c>
      <c r="S28" s="29" t="inlineStr">
        <is>
          <t>HIGH</t>
        </is>
      </c>
      <c r="T28" s="29" t="inlineStr">
        <is>
          <t>HIGH</t>
        </is>
      </c>
      <c r="U28" s="29" t="inlineStr">
        <is>
          <t>0.1428571428571428</t>
        </is>
      </c>
      <c r="V28" s="29" t="inlineStr">
        <is>
          <t>LOW_RISK</t>
        </is>
      </c>
      <c r="W28" s="29" t="inlineStr">
        <is>
          <t>저위험</t>
        </is>
      </c>
      <c r="X28" s="29" t="inlineStr">
        <is>
          <t>LOW_RISK</t>
        </is>
      </c>
      <c r="Y28" s="29" t="inlineStr">
        <is>
          <t>0.7571217577270841</t>
        </is>
      </c>
      <c r="Z28" s="29" t="inlineStr">
        <is>
          <t>HIGH</t>
        </is>
      </c>
      <c r="AA28" s="29" t="inlineStr">
        <is>
          <t>HIGH</t>
        </is>
      </c>
      <c r="AB28" s="29" t="inlineStr">
        <is>
          <t>0.1980202748075635</t>
        </is>
      </c>
      <c r="AC28" s="29" t="inlineStr">
        <is>
          <t>False</t>
        </is>
      </c>
      <c r="AD28" s="29" t="inlineStr">
        <is>
          <t>False</t>
        </is>
      </c>
      <c r="AE28" s="29" t="inlineStr">
        <is>
          <t>valuation_credit_ml_overlay_candidate.csv</t>
        </is>
      </c>
      <c r="AF28" s="29" t="inlineStr">
        <is>
          <t>208개 반도체 reference universe. Valuation Agent가 자체 intake 폴더로 복제해 Peer/ML/대시보드 비교에 사용.</t>
        </is>
      </c>
      <c r="AG28" s="29" t="inlineStr">
        <is>
          <t>SAME_PEER_GROUP</t>
        </is>
      </c>
      <c r="AH28" s="29" t="inlineStr">
        <is>
          <t>False</t>
        </is>
      </c>
    </row>
    <row r="29" ht="24" customHeight="1">
      <c r="A29" s="24" t="inlineStr">
        <is>
          <t>167</t>
        </is>
      </c>
      <c r="B29" s="24" t="inlineStr">
        <is>
          <t>해당 없음</t>
        </is>
      </c>
      <c r="C29" s="24" t="inlineStr">
        <is>
          <t>샘씨엔에스</t>
        </is>
      </c>
      <c r="D29" s="24" t="inlineStr">
        <is>
          <t>252990</t>
        </is>
      </c>
      <c r="E29" s="24" t="inlineStr">
        <is>
          <t>KOSDAQ</t>
        </is>
      </c>
      <c r="F29" s="24" t="inlineStr">
        <is>
          <t>후공정/패키징/테스트</t>
        </is>
      </c>
      <c r="G29" s="24" t="inlineStr">
        <is>
          <t>후공정/패키징/테스트</t>
        </is>
      </c>
      <c r="H29" s="24" t="inlineStr">
        <is>
          <t>False</t>
        </is>
      </c>
      <c r="I29" s="24" t="inlineStr">
        <is>
          <t>True</t>
        </is>
      </c>
      <c r="J29" s="24" t="inlineStr">
        <is>
          <t>OK</t>
        </is>
      </c>
      <c r="K29" s="24" t="inlineStr">
        <is>
          <t>데이터 사용 가능</t>
        </is>
      </c>
      <c r="L29" s="24" t="inlineStr">
        <is>
          <t>LOW</t>
        </is>
      </c>
      <c r="M29" s="24" t="inlineStr">
        <is>
          <t>LOW</t>
        </is>
      </c>
      <c r="N29" s="24" t="inlineStr">
        <is>
          <t>0.6491851851851852</t>
        </is>
      </c>
      <c r="O29" s="24" t="inlineStr">
        <is>
          <t>ATTRACTIVE</t>
        </is>
      </c>
      <c r="P29" s="24" t="inlineStr">
        <is>
          <t>가치 매력</t>
        </is>
      </c>
      <c r="Q29" s="24" t="inlineStr">
        <is>
          <t>ATTRACTIVE</t>
        </is>
      </c>
      <c r="R29" s="24" t="inlineStr">
        <is>
          <t>0.5521991152548656</t>
        </is>
      </c>
      <c r="S29" s="24" t="inlineStr">
        <is>
          <t>MEDIUM</t>
        </is>
      </c>
      <c r="T29" s="24" t="inlineStr">
        <is>
          <t>MEDIUM</t>
        </is>
      </c>
      <c r="U29" s="24" t="inlineStr">
        <is>
          <t>0.1428571428571428</t>
        </is>
      </c>
      <c r="V29" s="24" t="inlineStr">
        <is>
          <t>LOW_RISK</t>
        </is>
      </c>
      <c r="W29" s="24" t="inlineStr">
        <is>
          <t>저위험</t>
        </is>
      </c>
      <c r="X29" s="24" t="inlineStr">
        <is>
          <t>LOW_RISK</t>
        </is>
      </c>
      <c r="Y29" s="24" t="inlineStr">
        <is>
          <t>0.8184283672559926</t>
        </is>
      </c>
      <c r="Z29" s="24" t="inlineStr">
        <is>
          <t>HIGH</t>
        </is>
      </c>
      <c r="AA29" s="24" t="inlineStr">
        <is>
          <t>HIGH</t>
        </is>
      </c>
      <c r="AB29" s="24" t="inlineStr">
        <is>
          <t>0.02862485694144737</t>
        </is>
      </c>
      <c r="AC29" s="24" t="inlineStr">
        <is>
          <t>False</t>
        </is>
      </c>
      <c r="AD29" s="24" t="inlineStr">
        <is>
          <t>False</t>
        </is>
      </c>
      <c r="AE29" s="24" t="inlineStr">
        <is>
          <t>valuation_credit_ml_overlay_candidate.csv</t>
        </is>
      </c>
      <c r="AF29" s="24" t="inlineStr">
        <is>
          <t>208개 반도체 reference universe. Valuation Agent가 자체 intake 폴더로 복제해 Peer/ML/대시보드 비교에 사용.</t>
        </is>
      </c>
      <c r="AG29" s="24" t="inlineStr">
        <is>
          <t>SAME_PEER_GROUP</t>
        </is>
      </c>
      <c r="AH29" s="24" t="inlineStr">
        <is>
          <t>False</t>
        </is>
      </c>
    </row>
    <row r="30" ht="24" customHeight="1">
      <c r="A30" s="29" t="inlineStr">
        <is>
          <t>191</t>
        </is>
      </c>
      <c r="B30" s="29" t="inlineStr">
        <is>
          <t>해당 없음</t>
        </is>
      </c>
      <c r="C30" s="29" t="inlineStr">
        <is>
          <t>하나마이크론</t>
        </is>
      </c>
      <c r="D30" s="29" t="inlineStr">
        <is>
          <t>067310</t>
        </is>
      </c>
      <c r="E30" s="29" t="inlineStr">
        <is>
          <t>KOSDAQ</t>
        </is>
      </c>
      <c r="F30" s="29" t="inlineStr">
        <is>
          <t>후공정/패키징/테스트</t>
        </is>
      </c>
      <c r="G30" s="29" t="inlineStr">
        <is>
          <t>후공정/패키징/테스트</t>
        </is>
      </c>
      <c r="H30" s="29" t="inlineStr">
        <is>
          <t>False</t>
        </is>
      </c>
      <c r="I30" s="29" t="inlineStr">
        <is>
          <t>True</t>
        </is>
      </c>
      <c r="J30" s="29" t="inlineStr">
        <is>
          <t>OK</t>
        </is>
      </c>
      <c r="K30" s="29" t="inlineStr">
        <is>
          <t>데이터 사용 가능</t>
        </is>
      </c>
      <c r="L30" s="29" t="inlineStr">
        <is>
          <t>LOW</t>
        </is>
      </c>
      <c r="M30" s="29" t="inlineStr">
        <is>
          <t>LOW</t>
        </is>
      </c>
      <c r="N30" s="29" t="inlineStr">
        <is>
          <t>0.6405925925925926</t>
        </is>
      </c>
      <c r="O30" s="29" t="inlineStr">
        <is>
          <t>ATTRACTIVE</t>
        </is>
      </c>
      <c r="P30" s="29" t="inlineStr">
        <is>
          <t>가치 매력</t>
        </is>
      </c>
      <c r="Q30" s="29" t="inlineStr">
        <is>
          <t>ATTRACTIVE</t>
        </is>
      </c>
      <c r="R30" s="29" t="inlineStr">
        <is>
          <t>0.8727001075083287</t>
        </is>
      </c>
      <c r="S30" s="29" t="inlineStr">
        <is>
          <t>HIGH</t>
        </is>
      </c>
      <c r="T30" s="29" t="inlineStr">
        <is>
          <t>HIGH</t>
        </is>
      </c>
      <c r="U30" s="29" t="inlineStr">
        <is>
          <t>0.2857142857142857</t>
        </is>
      </c>
      <c r="V30" s="29" t="inlineStr">
        <is>
          <t>MEDIUM_RISK</t>
        </is>
      </c>
      <c r="W30" s="29" t="inlineStr">
        <is>
          <t>중위험</t>
        </is>
      </c>
      <c r="X30" s="29" t="inlineStr">
        <is>
          <t>MEDIUM_RISK</t>
        </is>
      </c>
      <c r="Y30" s="29" t="inlineStr">
        <is>
          <t>0.4659076101576026</t>
        </is>
      </c>
      <c r="Z30" s="29" t="inlineStr">
        <is>
          <t>LOW</t>
        </is>
      </c>
      <c r="AA30" s="29" t="inlineStr">
        <is>
          <t>LOW</t>
        </is>
      </c>
      <c r="AB30" s="29" t="inlineStr">
        <is>
          <t>0.1167493316831868</t>
        </is>
      </c>
      <c r="AC30" s="29" t="inlineStr">
        <is>
          <t>False</t>
        </is>
      </c>
      <c r="AD30" s="29" t="inlineStr">
        <is>
          <t>True</t>
        </is>
      </c>
      <c r="AE30" s="29" t="inlineStr">
        <is>
          <t>valuation_credit_ml_overlay_candidate.csv</t>
        </is>
      </c>
      <c r="AF30" s="29" t="inlineStr">
        <is>
          <t>208개 반도체 reference universe. Valuation Agent가 자체 intake 폴더로 복제해 Peer/ML/대시보드 비교에 사용.</t>
        </is>
      </c>
      <c r="AG30" s="29" t="inlineStr">
        <is>
          <t>SAME_PEER_GROUP</t>
        </is>
      </c>
      <c r="AH30" s="29" t="inlineStr">
        <is>
          <t>False</t>
        </is>
      </c>
    </row>
    <row r="31" ht="24" customHeight="1">
      <c r="A31" s="24" t="inlineStr">
        <is>
          <t>157</t>
        </is>
      </c>
      <c r="B31" s="24" t="inlineStr">
        <is>
          <t>nepes</t>
        </is>
      </c>
      <c r="C31" s="24" t="inlineStr">
        <is>
          <t>네패스</t>
        </is>
      </c>
      <c r="D31" s="24" t="inlineStr">
        <is>
          <t>033640</t>
        </is>
      </c>
      <c r="E31" s="24" t="inlineStr">
        <is>
          <t>KOSDAQ</t>
        </is>
      </c>
      <c r="F31" s="24" t="inlineStr">
        <is>
          <t>후공정/패키징/테스트</t>
        </is>
      </c>
      <c r="G31" s="24" t="inlineStr">
        <is>
          <t>후공정/패키징/테스트</t>
        </is>
      </c>
      <c r="H31" s="24" t="inlineStr">
        <is>
          <t>True</t>
        </is>
      </c>
      <c r="I31" s="24" t="inlineStr">
        <is>
          <t>True</t>
        </is>
      </c>
      <c r="J31" s="24" t="inlineStr">
        <is>
          <t>OK</t>
        </is>
      </c>
      <c r="K31" s="24" t="inlineStr">
        <is>
          <t>데이터 사용 가능</t>
        </is>
      </c>
      <c r="L31" s="24" t="inlineStr">
        <is>
          <t>LOW</t>
        </is>
      </c>
      <c r="M31" s="24" t="inlineStr">
        <is>
          <t>LOW</t>
        </is>
      </c>
      <c r="N31" s="24" t="inlineStr">
        <is>
          <t>0.6385185185185186</t>
        </is>
      </c>
      <c r="O31" s="24" t="inlineStr">
        <is>
          <t>ATTRACTIVE</t>
        </is>
      </c>
      <c r="P31" s="24" t="inlineStr">
        <is>
          <t>가치 매력</t>
        </is>
      </c>
      <c r="Q31" s="24" t="inlineStr">
        <is>
          <t>ATTRACTIVE</t>
        </is>
      </c>
      <c r="R31" s="24" t="inlineStr">
        <is>
          <t>0.8763685947958789</t>
        </is>
      </c>
      <c r="S31" s="24" t="inlineStr">
        <is>
          <t>HIGH</t>
        </is>
      </c>
      <c r="T31" s="24" t="inlineStr">
        <is>
          <t>HIGH</t>
        </is>
      </c>
      <c r="U31" s="24" t="inlineStr">
        <is>
          <t>0.2857142857142857</t>
        </is>
      </c>
      <c r="V31" s="24" t="inlineStr">
        <is>
          <t>MEDIUM_RISK</t>
        </is>
      </c>
      <c r="W31" s="24" t="inlineStr">
        <is>
          <t>중위험</t>
        </is>
      </c>
      <c r="X31" s="24" t="inlineStr">
        <is>
          <t>MEDIUM_RISK</t>
        </is>
      </c>
      <c r="Y31" s="24" t="inlineStr">
        <is>
          <t>0.5963458259503356</t>
        </is>
      </c>
      <c r="Z31" s="24" t="inlineStr">
        <is>
          <t>MEDIUM</t>
        </is>
      </c>
      <c r="AA31" s="24" t="inlineStr">
        <is>
          <t>MEDIUM</t>
        </is>
      </c>
      <c r="AB31" s="24" t="inlineStr">
        <is>
          <t>0.07896643996759804</t>
        </is>
      </c>
      <c r="AC31" s="24" t="inlineStr">
        <is>
          <t>False</t>
        </is>
      </c>
      <c r="AD31" s="24" t="inlineStr">
        <is>
          <t>False</t>
        </is>
      </c>
      <c r="AE31" s="24" t="inlineStr">
        <is>
          <t>valuation_credit_ml_overlay_candidate.csv</t>
        </is>
      </c>
      <c r="AF31" s="24" t="inlineStr">
        <is>
          <t>208개 반도체 reference universe. Valuation Agent가 자체 intake 폴더로 복제해 Peer/ML/대시보드 비교에 사용.</t>
        </is>
      </c>
      <c r="AG31" s="24" t="inlineStr">
        <is>
          <t>SAME_PEER_GROUP</t>
        </is>
      </c>
      <c r="AH31" s="24" t="inlineStr">
        <is>
          <t>False</t>
        </is>
      </c>
    </row>
    <row r="32" ht="24" customHeight="1">
      <c r="A32" s="29" t="inlineStr">
        <is>
          <t>151</t>
        </is>
      </c>
      <c r="B32" s="29" t="inlineStr">
        <is>
          <t>해당 없음</t>
        </is>
      </c>
      <c r="C32" s="29" t="inlineStr">
        <is>
          <t>KX하이텍</t>
        </is>
      </c>
      <c r="D32" s="29" t="inlineStr">
        <is>
          <t>052900</t>
        </is>
      </c>
      <c r="E32" s="29" t="inlineStr">
        <is>
          <t>KOSDAQ</t>
        </is>
      </c>
      <c r="F32" s="29" t="inlineStr">
        <is>
          <t>후공정/패키징/테스트</t>
        </is>
      </c>
      <c r="G32" s="29" t="inlineStr">
        <is>
          <t>후공정/패키징/테스트</t>
        </is>
      </c>
      <c r="H32" s="29" t="inlineStr">
        <is>
          <t>False</t>
        </is>
      </c>
      <c r="I32" s="29" t="inlineStr">
        <is>
          <t>True</t>
        </is>
      </c>
      <c r="J32" s="29" t="inlineStr">
        <is>
          <t>OK</t>
        </is>
      </c>
      <c r="K32" s="29" t="inlineStr">
        <is>
          <t>데이터 사용 가능</t>
        </is>
      </c>
      <c r="L32" s="29" t="inlineStr">
        <is>
          <t>LOW</t>
        </is>
      </c>
      <c r="M32" s="29" t="inlineStr">
        <is>
          <t>LOW</t>
        </is>
      </c>
      <c r="N32" s="29" t="inlineStr">
        <is>
          <t>0.6361481481481482</t>
        </is>
      </c>
      <c r="O32" s="29" t="inlineStr">
        <is>
          <t>ATTRACTIVE</t>
        </is>
      </c>
      <c r="P32" s="29" t="inlineStr">
        <is>
          <t>가치 매력</t>
        </is>
      </c>
      <c r="Q32" s="29" t="inlineStr">
        <is>
          <t>ATTRACTIVE</t>
        </is>
      </c>
      <c r="R32" s="29" t="inlineStr">
        <is>
          <t>0.7896879678479897</t>
        </is>
      </c>
      <c r="S32" s="29" t="inlineStr">
        <is>
          <t>HIGH</t>
        </is>
      </c>
      <c r="T32" s="29" t="inlineStr">
        <is>
          <t>HIGH</t>
        </is>
      </c>
      <c r="U32" s="29" t="inlineStr">
        <is>
          <t>0.0714285714285714</t>
        </is>
      </c>
      <c r="V32" s="29" t="inlineStr">
        <is>
          <t>LOW_RISK</t>
        </is>
      </c>
      <c r="W32" s="29" t="inlineStr">
        <is>
          <t>저위험</t>
        </is>
      </c>
      <c r="X32" s="29" t="inlineStr">
        <is>
          <t>LOW_RISK</t>
        </is>
      </c>
      <c r="Y32" s="29" t="inlineStr">
        <is>
          <t>0.87015899446037</t>
        </is>
      </c>
      <c r="Z32" s="29" t="inlineStr">
        <is>
          <t>HIGH</t>
        </is>
      </c>
      <c r="AA32" s="29" t="inlineStr">
        <is>
          <t>HIGH</t>
        </is>
      </c>
      <c r="AB32" s="29" t="inlineStr">
        <is>
          <t>0.012348610212675635</t>
        </is>
      </c>
      <c r="AC32" s="29" t="inlineStr">
        <is>
          <t>False</t>
        </is>
      </c>
      <c r="AD32" s="29" t="inlineStr">
        <is>
          <t>False</t>
        </is>
      </c>
      <c r="AE32" s="29" t="inlineStr">
        <is>
          <t>valuation_credit_ml_overlay_candidate.csv</t>
        </is>
      </c>
      <c r="AF32" s="29" t="inlineStr">
        <is>
          <t>208개 반도체 reference universe. Valuation Agent가 자체 intake 폴더로 복제해 Peer/ML/대시보드 비교에 사용.</t>
        </is>
      </c>
      <c r="AG32" s="29" t="inlineStr">
        <is>
          <t>SAME_PEER_GROUP</t>
        </is>
      </c>
      <c r="AH32" s="29" t="inlineStr">
        <is>
          <t>False</t>
        </is>
      </c>
    </row>
    <row r="33" ht="24" customHeight="1">
      <c r="A33" s="24" t="inlineStr">
        <is>
          <t>172</t>
        </is>
      </c>
      <c r="B33" s="24" t="inlineStr">
        <is>
          <t>해당 없음</t>
        </is>
      </c>
      <c r="C33" s="24" t="inlineStr">
        <is>
          <t>에이치엠넥스</t>
        </is>
      </c>
      <c r="D33" s="24" t="inlineStr">
        <is>
          <t>036170</t>
        </is>
      </c>
      <c r="E33" s="24" t="inlineStr">
        <is>
          <t>KOSDAQ</t>
        </is>
      </c>
      <c r="F33" s="24" t="inlineStr">
        <is>
          <t>후공정/패키징/테스트</t>
        </is>
      </c>
      <c r="G33" s="24" t="inlineStr">
        <is>
          <t>후공정/패키징/테스트</t>
        </is>
      </c>
      <c r="H33" s="24" t="inlineStr">
        <is>
          <t>False</t>
        </is>
      </c>
      <c r="I33" s="24" t="inlineStr">
        <is>
          <t>True</t>
        </is>
      </c>
      <c r="J33" s="24" t="inlineStr">
        <is>
          <t>OK</t>
        </is>
      </c>
      <c r="K33" s="24" t="inlineStr">
        <is>
          <t>데이터 사용 가능</t>
        </is>
      </c>
      <c r="L33" s="24" t="inlineStr">
        <is>
          <t>LOW</t>
        </is>
      </c>
      <c r="M33" s="24" t="inlineStr">
        <is>
          <t>LOW</t>
        </is>
      </c>
      <c r="N33" s="24" t="inlineStr">
        <is>
          <t>0.621037037037037</t>
        </is>
      </c>
      <c r="O33" s="24" t="inlineStr">
        <is>
          <t>FAIR</t>
        </is>
      </c>
      <c r="P33" s="24" t="inlineStr">
        <is>
          <t>FAIR</t>
        </is>
      </c>
      <c r="Q33" s="24" t="inlineStr">
        <is>
          <t>FAIR</t>
        </is>
      </c>
      <c r="R33" s="24" t="inlineStr">
        <is>
          <t>0.7433115072206052</t>
        </is>
      </c>
      <c r="S33" s="24" t="inlineStr">
        <is>
          <t>HIGH</t>
        </is>
      </c>
      <c r="T33" s="24" t="inlineStr">
        <is>
          <t>HIGH</t>
        </is>
      </c>
      <c r="U33" s="24" t="inlineStr">
        <is>
          <t>0.3571428571428571</t>
        </is>
      </c>
      <c r="V33" s="24" t="inlineStr">
        <is>
          <t>MEDIUM_RISK</t>
        </is>
      </c>
      <c r="W33" s="24" t="inlineStr">
        <is>
          <t>중위험</t>
        </is>
      </c>
      <c r="X33" s="24" t="inlineStr">
        <is>
          <t>MEDIUM_RISK</t>
        </is>
      </c>
      <c r="Y33" s="24" t="inlineStr">
        <is>
          <t>0.7084051764737881</t>
        </is>
      </c>
      <c r="Z33" s="24" t="inlineStr">
        <is>
          <t>HIGH</t>
        </is>
      </c>
      <c r="AA33" s="24" t="inlineStr">
        <is>
          <t>HIGH</t>
        </is>
      </c>
      <c r="AB33" s="24" t="inlineStr">
        <is>
          <t>0.3531105059628509</t>
        </is>
      </c>
      <c r="AC33" s="24" t="inlineStr">
        <is>
          <t>True</t>
        </is>
      </c>
      <c r="AD33" s="24" t="inlineStr">
        <is>
          <t>True</t>
        </is>
      </c>
      <c r="AE33" s="24" t="inlineStr">
        <is>
          <t>valuation_credit_ml_overlay_candidate.csv</t>
        </is>
      </c>
      <c r="AF33" s="24" t="inlineStr">
        <is>
          <t>208개 반도체 reference universe. Valuation Agent가 자체 intake 폴더로 복제해 Peer/ML/대시보드 비교에 사용.</t>
        </is>
      </c>
      <c r="AG33" s="24" t="inlineStr">
        <is>
          <t>SAME_PEER_GROUP</t>
        </is>
      </c>
      <c r="AH33" s="24" t="inlineStr">
        <is>
          <t>False</t>
        </is>
      </c>
    </row>
    <row r="34" ht="24" customHeight="1">
      <c r="A34" s="29" t="inlineStr">
        <is>
          <t>162</t>
        </is>
      </c>
      <c r="B34" s="29" t="inlineStr">
        <is>
          <t>해당 없음</t>
        </is>
      </c>
      <c r="C34" s="29" t="inlineStr">
        <is>
          <t>리노공업</t>
        </is>
      </c>
      <c r="D34" s="29" t="inlineStr">
        <is>
          <t>058470</t>
        </is>
      </c>
      <c r="E34" s="29" t="inlineStr">
        <is>
          <t>KOSDAQ GLOBAL</t>
        </is>
      </c>
      <c r="F34" s="29" t="inlineStr">
        <is>
          <t>후공정/패키징/테스트</t>
        </is>
      </c>
      <c r="G34" s="29" t="inlineStr">
        <is>
          <t>후공정/패키징/테스트</t>
        </is>
      </c>
      <c r="H34" s="29" t="inlineStr">
        <is>
          <t>False</t>
        </is>
      </c>
      <c r="I34" s="29" t="inlineStr">
        <is>
          <t>True</t>
        </is>
      </c>
      <c r="J34" s="29" t="inlineStr">
        <is>
          <t>OK</t>
        </is>
      </c>
      <c r="K34" s="29" t="inlineStr">
        <is>
          <t>데이터 사용 가능</t>
        </is>
      </c>
      <c r="L34" s="29" t="inlineStr">
        <is>
          <t>LOW</t>
        </is>
      </c>
      <c r="M34" s="29" t="inlineStr">
        <is>
          <t>LOW</t>
        </is>
      </c>
      <c r="N34" s="29" t="inlineStr">
        <is>
          <t>0.6191111111111112</t>
        </is>
      </c>
      <c r="O34" s="29" t="inlineStr">
        <is>
          <t>ATTRACTIVE</t>
        </is>
      </c>
      <c r="P34" s="29" t="inlineStr">
        <is>
          <t>가치 매력</t>
        </is>
      </c>
      <c r="Q34" s="29" t="inlineStr">
        <is>
          <t>ATTRACTIVE</t>
        </is>
      </c>
      <c r="R34" s="29" t="inlineStr">
        <is>
          <t>0.6825301704423244</t>
        </is>
      </c>
      <c r="S34" s="29" t="inlineStr">
        <is>
          <t>MEDIUM</t>
        </is>
      </c>
      <c r="T34" s="29" t="inlineStr">
        <is>
          <t>MEDIUM</t>
        </is>
      </c>
      <c r="U34" s="29" t="inlineStr">
        <is>
          <t>0.0</t>
        </is>
      </c>
      <c r="V34" s="29" t="inlineStr">
        <is>
          <t>LOW_RISK</t>
        </is>
      </c>
      <c r="W34" s="29" t="inlineStr">
        <is>
          <t>저위험</t>
        </is>
      </c>
      <c r="X34" s="29" t="inlineStr">
        <is>
          <t>LOW_RISK</t>
        </is>
      </c>
      <c r="Y34" s="29" t="inlineStr">
        <is>
          <t>0.941163557572434</t>
        </is>
      </c>
      <c r="Z34" s="29" t="inlineStr">
        <is>
          <t>HIGH</t>
        </is>
      </c>
      <c r="AA34" s="29" t="inlineStr">
        <is>
          <t>HIGH</t>
        </is>
      </c>
      <c r="AB34" s="29" t="inlineStr">
        <is>
          <t>0.3137137380028342</t>
        </is>
      </c>
      <c r="AC34" s="29" t="inlineStr">
        <is>
          <t>True</t>
        </is>
      </c>
      <c r="AD34" s="29" t="inlineStr">
        <is>
          <t>True</t>
        </is>
      </c>
      <c r="AE34" s="29" t="inlineStr">
        <is>
          <t>valuation_credit_ml_overlay_candidate.csv</t>
        </is>
      </c>
      <c r="AF34" s="29" t="inlineStr">
        <is>
          <t>208개 반도체 reference universe. Valuation Agent가 자체 intake 폴더로 복제해 Peer/ML/대시보드 비교에 사용.</t>
        </is>
      </c>
      <c r="AG34" s="29" t="inlineStr">
        <is>
          <t>SAME_PEER_GROUP</t>
        </is>
      </c>
      <c r="AH34" s="29" t="inlineStr">
        <is>
          <t>False</t>
        </is>
      </c>
    </row>
    <row r="35" ht="24" customHeight="1">
      <c r="A35" s="24" t="inlineStr">
        <is>
          <t>175</t>
        </is>
      </c>
      <c r="B35" s="24" t="inlineStr">
        <is>
          <t>해당 없음</t>
        </is>
      </c>
      <c r="C35" s="24" t="inlineStr">
        <is>
          <t>오킨스전자</t>
        </is>
      </c>
      <c r="D35" s="24" t="inlineStr">
        <is>
          <t>080580</t>
        </is>
      </c>
      <c r="E35" s="24" t="inlineStr">
        <is>
          <t>KOSDAQ</t>
        </is>
      </c>
      <c r="F35" s="24" t="inlineStr">
        <is>
          <t>후공정/패키징/테스트</t>
        </is>
      </c>
      <c r="G35" s="24" t="inlineStr">
        <is>
          <t>후공정/패키징/테스트</t>
        </is>
      </c>
      <c r="H35" s="24" t="inlineStr">
        <is>
          <t>False</t>
        </is>
      </c>
      <c r="I35" s="24" t="inlineStr">
        <is>
          <t>True</t>
        </is>
      </c>
      <c r="J35" s="24" t="inlineStr">
        <is>
          <t>OK</t>
        </is>
      </c>
      <c r="K35" s="24" t="inlineStr">
        <is>
          <t>데이터 사용 가능</t>
        </is>
      </c>
      <c r="L35" s="24" t="inlineStr">
        <is>
          <t>LOW</t>
        </is>
      </c>
      <c r="M35" s="24" t="inlineStr">
        <is>
          <t>LOW</t>
        </is>
      </c>
      <c r="N35" s="24" t="inlineStr">
        <is>
          <t>0.6062222222222222</t>
        </is>
      </c>
      <c r="O35" s="24" t="inlineStr">
        <is>
          <t>ATTRACTIVE</t>
        </is>
      </c>
      <c r="P35" s="24" t="inlineStr">
        <is>
          <t>가치 매력</t>
        </is>
      </c>
      <c r="Q35" s="24" t="inlineStr">
        <is>
          <t>ATTRACTIVE</t>
        </is>
      </c>
      <c r="R35" s="24" t="inlineStr">
        <is>
          <t>0.8105235691914331</t>
        </is>
      </c>
      <c r="S35" s="24" t="inlineStr">
        <is>
          <t>HIGH</t>
        </is>
      </c>
      <c r="T35" s="24" t="inlineStr">
        <is>
          <t>HIGH</t>
        </is>
      </c>
      <c r="U35" s="24" t="inlineStr">
        <is>
          <t>0.2142857142857142</t>
        </is>
      </c>
      <c r="V35" s="24" t="inlineStr">
        <is>
          <t>MEDIUM_RISK</t>
        </is>
      </c>
      <c r="W35" s="24" t="inlineStr">
        <is>
          <t>중위험</t>
        </is>
      </c>
      <c r="X35" s="24" t="inlineStr">
        <is>
          <t>MEDIUM_RISK</t>
        </is>
      </c>
      <c r="Y35" s="24" t="inlineStr">
        <is>
          <t>0.5565647223385506</t>
        </is>
      </c>
      <c r="Z35" s="24" t="inlineStr">
        <is>
          <t>MEDIUM</t>
        </is>
      </c>
      <c r="AA35" s="24" t="inlineStr">
        <is>
          <t>MEDIUM</t>
        </is>
      </c>
      <c r="AB35" s="24" t="inlineStr">
        <is>
          <t>0.05131400931985753</t>
        </is>
      </c>
      <c r="AC35" s="24" t="inlineStr">
        <is>
          <t>False</t>
        </is>
      </c>
      <c r="AD35" s="24" t="inlineStr">
        <is>
          <t>False</t>
        </is>
      </c>
      <c r="AE35" s="24" t="inlineStr">
        <is>
          <t>valuation_credit_ml_overlay_candidate.csv</t>
        </is>
      </c>
      <c r="AF35" s="24" t="inlineStr">
        <is>
          <t>208개 반도체 reference universe. Valuation Agent가 자체 intake 폴더로 복제해 Peer/ML/대시보드 비교에 사용.</t>
        </is>
      </c>
      <c r="AG35" s="24" t="inlineStr">
        <is>
          <t>SAME_PEER_GROUP</t>
        </is>
      </c>
      <c r="AH35" s="24" t="inlineStr">
        <is>
          <t>False</t>
        </is>
      </c>
    </row>
    <row r="36" ht="24" customHeight="1">
      <c r="A36" s="29" t="inlineStr">
        <is>
          <t>160</t>
        </is>
      </c>
      <c r="B36" s="29" t="inlineStr">
        <is>
          <t>해당 없음</t>
        </is>
      </c>
      <c r="C36" s="29" t="inlineStr">
        <is>
          <t>디아이</t>
        </is>
      </c>
      <c r="D36" s="29" t="inlineStr">
        <is>
          <t>003160</t>
        </is>
      </c>
      <c r="E36" s="29" t="inlineStr">
        <is>
          <t>KOSPI</t>
        </is>
      </c>
      <c r="F36" s="29" t="inlineStr">
        <is>
          <t>후공정/패키징/테스트</t>
        </is>
      </c>
      <c r="G36" s="29" t="inlineStr">
        <is>
          <t>후공정/패키징/테스트</t>
        </is>
      </c>
      <c r="H36" s="29" t="inlineStr">
        <is>
          <t>False</t>
        </is>
      </c>
      <c r="I36" s="29" t="inlineStr">
        <is>
          <t>True</t>
        </is>
      </c>
      <c r="J36" s="29" t="inlineStr">
        <is>
          <t>OK</t>
        </is>
      </c>
      <c r="K36" s="29" t="inlineStr">
        <is>
          <t>데이터 사용 가능</t>
        </is>
      </c>
      <c r="L36" s="29" t="inlineStr">
        <is>
          <t>LOW</t>
        </is>
      </c>
      <c r="M36" s="29" t="inlineStr">
        <is>
          <t>LOW</t>
        </is>
      </c>
      <c r="N36" s="29" t="inlineStr">
        <is>
          <t>0.5875555555555555</t>
        </is>
      </c>
      <c r="O36" s="29" t="inlineStr">
        <is>
          <t>ATTRACTIVE</t>
        </is>
      </c>
      <c r="P36" s="29" t="inlineStr">
        <is>
          <t>가치 매력</t>
        </is>
      </c>
      <c r="Q36" s="29" t="inlineStr">
        <is>
          <t>ATTRACTIVE</t>
        </is>
      </c>
      <c r="R36" s="29" t="inlineStr">
        <is>
          <t>0.6560906263736197</t>
        </is>
      </c>
      <c r="S36" s="29" t="inlineStr">
        <is>
          <t>MEDIUM</t>
        </is>
      </c>
      <c r="T36" s="29" t="inlineStr">
        <is>
          <t>MEDIUM</t>
        </is>
      </c>
      <c r="U36" s="29" t="inlineStr">
        <is>
          <t>0.0714285714285714</t>
        </is>
      </c>
      <c r="V36" s="29" t="inlineStr">
        <is>
          <t>LOW_RISK</t>
        </is>
      </c>
      <c r="W36" s="29" t="inlineStr">
        <is>
          <t>저위험</t>
        </is>
      </c>
      <c r="X36" s="29" t="inlineStr">
        <is>
          <t>LOW_RISK</t>
        </is>
      </c>
      <c r="Y36" s="29" t="inlineStr">
        <is>
          <t>0.7571818581431954</t>
        </is>
      </c>
      <c r="Z36" s="29" t="inlineStr">
        <is>
          <t>HIGH</t>
        </is>
      </c>
      <c r="AA36" s="29" t="inlineStr">
        <is>
          <t>HIGH</t>
        </is>
      </c>
      <c r="AB36" s="29" t="inlineStr">
        <is>
          <t>0.027510707117244317</t>
        </is>
      </c>
      <c r="AC36" s="29" t="inlineStr">
        <is>
          <t>False</t>
        </is>
      </c>
      <c r="AD36" s="29" t="inlineStr">
        <is>
          <t>False</t>
        </is>
      </c>
      <c r="AE36" s="29" t="inlineStr">
        <is>
          <t>valuation_credit_ml_overlay_candidate.csv</t>
        </is>
      </c>
      <c r="AF36" s="29" t="inlineStr">
        <is>
          <t>208개 반도체 reference universe. Valuation Agent가 자체 intake 폴더로 복제해 Peer/ML/대시보드 비교에 사용.</t>
        </is>
      </c>
      <c r="AG36" s="29" t="inlineStr">
        <is>
          <t>SAME_PEER_GROUP</t>
        </is>
      </c>
      <c r="AH36" s="29" t="inlineStr">
        <is>
          <t>False</t>
        </is>
      </c>
    </row>
    <row r="37" ht="24" customHeight="1">
      <c r="A37" s="24" t="inlineStr">
        <is>
          <t>174</t>
        </is>
      </c>
      <c r="B37" s="24" t="inlineStr">
        <is>
          <t>해당 없음</t>
        </is>
      </c>
      <c r="C37" s="24" t="inlineStr">
        <is>
          <t>엑시콘</t>
        </is>
      </c>
      <c r="D37" s="24" t="inlineStr">
        <is>
          <t>092870</t>
        </is>
      </c>
      <c r="E37" s="24" t="inlineStr">
        <is>
          <t>KOSDAQ</t>
        </is>
      </c>
      <c r="F37" s="24" t="inlineStr">
        <is>
          <t>후공정/패키징/테스트</t>
        </is>
      </c>
      <c r="G37" s="24" t="inlineStr">
        <is>
          <t>후공정/패키징/테스트</t>
        </is>
      </c>
      <c r="H37" s="24" t="inlineStr">
        <is>
          <t>False</t>
        </is>
      </c>
      <c r="I37" s="24" t="inlineStr">
        <is>
          <t>True</t>
        </is>
      </c>
      <c r="J37" s="24" t="inlineStr">
        <is>
          <t>OK</t>
        </is>
      </c>
      <c r="K37" s="24" t="inlineStr">
        <is>
          <t>데이터 사용 가능</t>
        </is>
      </c>
      <c r="L37" s="24" t="inlineStr">
        <is>
          <t>LOW</t>
        </is>
      </c>
      <c r="M37" s="24" t="inlineStr">
        <is>
          <t>LOW</t>
        </is>
      </c>
      <c r="N37" s="24" t="inlineStr">
        <is>
          <t>0.5711111111111111</t>
        </is>
      </c>
      <c r="O37" s="24" t="inlineStr">
        <is>
          <t>FAIR</t>
        </is>
      </c>
      <c r="P37" s="24" t="inlineStr">
        <is>
          <t>FAIR</t>
        </is>
      </c>
      <c r="Q37" s="24" t="inlineStr">
        <is>
          <t>FAIR</t>
        </is>
      </c>
      <c r="R37" s="24" t="inlineStr">
        <is>
          <t>0.7870958268046786</t>
        </is>
      </c>
      <c r="S37" s="24" t="inlineStr">
        <is>
          <t>HIGH</t>
        </is>
      </c>
      <c r="T37" s="24" t="inlineStr">
        <is>
          <t>HIGH</t>
        </is>
      </c>
      <c r="U37" s="24" t="inlineStr">
        <is>
          <t>0.2142857142857142</t>
        </is>
      </c>
      <c r="V37" s="24" t="inlineStr">
        <is>
          <t>MEDIUM_RISK</t>
        </is>
      </c>
      <c r="W37" s="24" t="inlineStr">
        <is>
          <t>중위험</t>
        </is>
      </c>
      <c r="X37" s="24" t="inlineStr">
        <is>
          <t>MEDIUM_RISK</t>
        </is>
      </c>
      <c r="Y37" s="24" t="inlineStr">
        <is>
          <t>0.6956414267155251</t>
        </is>
      </c>
      <c r="Z37" s="24" t="inlineStr">
        <is>
          <t>MEDIUM</t>
        </is>
      </c>
      <c r="AA37" s="24" t="inlineStr">
        <is>
          <t>MEDIUM</t>
        </is>
      </c>
      <c r="AB37" s="24" t="inlineStr">
        <is>
          <t>0.09079387845598708</t>
        </is>
      </c>
      <c r="AC37" s="24" t="inlineStr">
        <is>
          <t>False</t>
        </is>
      </c>
      <c r="AD37" s="24" t="inlineStr">
        <is>
          <t>False</t>
        </is>
      </c>
      <c r="AE37" s="24" t="inlineStr">
        <is>
          <t>valuation_credit_ml_overlay_candidate.csv</t>
        </is>
      </c>
      <c r="AF37" s="24" t="inlineStr">
        <is>
          <t>208개 반도체 reference universe. Valuation Agent가 자체 intake 폴더로 복제해 Peer/ML/대시보드 비교에 사용.</t>
        </is>
      </c>
      <c r="AG37" s="24" t="inlineStr">
        <is>
          <t>SAME_PEER_GROUP</t>
        </is>
      </c>
      <c r="AH37" s="24" t="inlineStr">
        <is>
          <t>False</t>
        </is>
      </c>
    </row>
    <row r="38" ht="24" customHeight="1">
      <c r="A38" s="29" t="inlineStr">
        <is>
          <t>177</t>
        </is>
      </c>
      <c r="B38" s="29" t="inlineStr">
        <is>
          <t>해당 없음</t>
        </is>
      </c>
      <c r="C38" s="29" t="inlineStr">
        <is>
          <t>우리이앤엘하루틴</t>
        </is>
      </c>
      <c r="D38" s="29" t="inlineStr">
        <is>
          <t>153490</t>
        </is>
      </c>
      <c r="E38" s="29" t="inlineStr">
        <is>
          <t>KOSDAQ</t>
        </is>
      </c>
      <c r="F38" s="29" t="inlineStr">
        <is>
          <t>후공정/패키징/테스트</t>
        </is>
      </c>
      <c r="G38" s="29" t="inlineStr">
        <is>
          <t>후공정/패키징/테스트</t>
        </is>
      </c>
      <c r="H38" s="29" t="inlineStr">
        <is>
          <t>False</t>
        </is>
      </c>
      <c r="I38" s="29" t="inlineStr">
        <is>
          <t>True</t>
        </is>
      </c>
      <c r="J38" s="29" t="inlineStr">
        <is>
          <t>OK</t>
        </is>
      </c>
      <c r="K38" s="29" t="inlineStr">
        <is>
          <t>데이터 사용 가능</t>
        </is>
      </c>
      <c r="L38" s="29" t="inlineStr">
        <is>
          <t>LOW</t>
        </is>
      </c>
      <c r="M38" s="29" t="inlineStr">
        <is>
          <t>LOW</t>
        </is>
      </c>
      <c r="N38" s="29" t="inlineStr">
        <is>
          <t>0.5598518518518519</t>
        </is>
      </c>
      <c r="O38" s="29" t="inlineStr">
        <is>
          <t>FAIR</t>
        </is>
      </c>
      <c r="P38" s="29" t="inlineStr">
        <is>
          <t>FAIR</t>
        </is>
      </c>
      <c r="Q38" s="29" t="inlineStr">
        <is>
          <t>FAIR</t>
        </is>
      </c>
      <c r="R38" s="29" t="inlineStr">
        <is>
          <t>0.803860880134826</t>
        </is>
      </c>
      <c r="S38" s="29" t="inlineStr">
        <is>
          <t>HIGH</t>
        </is>
      </c>
      <c r="T38" s="29" t="inlineStr">
        <is>
          <t>HIGH</t>
        </is>
      </c>
      <c r="U38" s="29" t="inlineStr">
        <is>
          <t>0.1428571428571428</t>
        </is>
      </c>
      <c r="V38" s="29" t="inlineStr">
        <is>
          <t>LOW_RISK</t>
        </is>
      </c>
      <c r="W38" s="29" t="inlineStr">
        <is>
          <t>저위험</t>
        </is>
      </c>
      <c r="X38" s="29" t="inlineStr">
        <is>
          <t>LOW_RISK</t>
        </is>
      </c>
      <c r="Y38" s="29" t="inlineStr">
        <is>
          <t>0.5263237628250668</t>
        </is>
      </c>
      <c r="Z38" s="29" t="inlineStr">
        <is>
          <t>MEDIUM</t>
        </is>
      </c>
      <c r="AA38" s="29" t="inlineStr">
        <is>
          <t>MEDIUM</t>
        </is>
      </c>
      <c r="AB38" s="29" t="inlineStr">
        <is>
          <t>0.12425981563248314</t>
        </is>
      </c>
      <c r="AC38" s="29" t="inlineStr">
        <is>
          <t>False</t>
        </is>
      </c>
      <c r="AD38" s="29" t="inlineStr">
        <is>
          <t>False</t>
        </is>
      </c>
      <c r="AE38" s="29" t="inlineStr">
        <is>
          <t>valuation_credit_ml_overlay_candidate.csv</t>
        </is>
      </c>
      <c r="AF38" s="29" t="inlineStr">
        <is>
          <t>208개 반도체 reference universe. Valuation Agent가 자체 intake 폴더로 복제해 Peer/ML/대시보드 비교에 사용.</t>
        </is>
      </c>
      <c r="AG38" s="29" t="inlineStr">
        <is>
          <t>SAME_PEER_GROUP</t>
        </is>
      </c>
      <c r="AH38" s="29" t="inlineStr">
        <is>
          <t>False</t>
        </is>
      </c>
    </row>
    <row r="39" ht="24" customHeight="1">
      <c r="A39" s="24" t="inlineStr">
        <is>
          <t>176</t>
        </is>
      </c>
      <c r="B39" s="24" t="inlineStr">
        <is>
          <t>해당 없음</t>
        </is>
      </c>
      <c r="C39" s="24" t="inlineStr">
        <is>
          <t>와이씨</t>
        </is>
      </c>
      <c r="D39" s="24" t="inlineStr">
        <is>
          <t>232140</t>
        </is>
      </c>
      <c r="E39" s="24" t="inlineStr">
        <is>
          <t>KOSDAQ</t>
        </is>
      </c>
      <c r="F39" s="24" t="inlineStr">
        <is>
          <t>후공정/패키징/테스트</t>
        </is>
      </c>
      <c r="G39" s="24" t="inlineStr">
        <is>
          <t>후공정/패키징/테스트</t>
        </is>
      </c>
      <c r="H39" s="24" t="inlineStr">
        <is>
          <t>False</t>
        </is>
      </c>
      <c r="I39" s="24" t="inlineStr">
        <is>
          <t>True</t>
        </is>
      </c>
      <c r="J39" s="24" t="inlineStr">
        <is>
          <t>OK</t>
        </is>
      </c>
      <c r="K39" s="24" t="inlineStr">
        <is>
          <t>데이터 사용 가능</t>
        </is>
      </c>
      <c r="L39" s="24" t="inlineStr">
        <is>
          <t>LOW</t>
        </is>
      </c>
      <c r="M39" s="24" t="inlineStr">
        <is>
          <t>LOW</t>
        </is>
      </c>
      <c r="N39" s="24" t="inlineStr">
        <is>
          <t>0.5573333333333333</t>
        </is>
      </c>
      <c r="O39" s="24" t="inlineStr">
        <is>
          <t>FAIR</t>
        </is>
      </c>
      <c r="P39" s="24" t="inlineStr">
        <is>
          <t>FAIR</t>
        </is>
      </c>
      <c r="Q39" s="24" t="inlineStr">
        <is>
          <t>FAIR</t>
        </is>
      </c>
      <c r="R39" s="24" t="inlineStr">
        <is>
          <t>0.5813875575219858</t>
        </is>
      </c>
      <c r="S39" s="24" t="inlineStr">
        <is>
          <t>MEDIUM</t>
        </is>
      </c>
      <c r="T39" s="24" t="inlineStr">
        <is>
          <t>MEDIUM</t>
        </is>
      </c>
      <c r="U39" s="24" t="inlineStr">
        <is>
          <t>0.0</t>
        </is>
      </c>
      <c r="V39" s="24" t="inlineStr">
        <is>
          <t>LOW_RISK</t>
        </is>
      </c>
      <c r="W39" s="24" t="inlineStr">
        <is>
          <t>저위험</t>
        </is>
      </c>
      <c r="X39" s="24" t="inlineStr">
        <is>
          <t>LOW_RISK</t>
        </is>
      </c>
      <c r="Y39" s="24" t="inlineStr">
        <is>
          <t>0.9779169949984006</t>
        </is>
      </c>
      <c r="Z39" s="24" t="inlineStr">
        <is>
          <t>HIGH</t>
        </is>
      </c>
      <c r="AA39" s="24" t="inlineStr">
        <is>
          <t>HIGH</t>
        </is>
      </c>
      <c r="AB39" s="24" t="inlineStr">
        <is>
          <t>0.027903490153269303</t>
        </is>
      </c>
      <c r="AC39" s="24" t="inlineStr">
        <is>
          <t>False</t>
        </is>
      </c>
      <c r="AD39" s="24" t="inlineStr">
        <is>
          <t>False</t>
        </is>
      </c>
      <c r="AE39" s="24" t="inlineStr">
        <is>
          <t>valuation_credit_ml_overlay_candidate.csv</t>
        </is>
      </c>
      <c r="AF39" s="24" t="inlineStr">
        <is>
          <t>208개 반도체 reference universe. Valuation Agent가 자체 intake 폴더로 복제해 Peer/ML/대시보드 비교에 사용.</t>
        </is>
      </c>
      <c r="AG39" s="24" t="inlineStr">
        <is>
          <t>SAME_PEER_GROUP</t>
        </is>
      </c>
      <c r="AH39" s="24" t="inlineStr">
        <is>
          <t>False</t>
        </is>
      </c>
    </row>
    <row r="40" ht="24" customHeight="1">
      <c r="A40" s="29" t="inlineStr">
        <is>
          <t>155</t>
        </is>
      </c>
      <c r="B40" s="29" t="inlineStr">
        <is>
          <t>해당 없음</t>
        </is>
      </c>
      <c r="C40" s="29" t="inlineStr">
        <is>
          <t>기가비스</t>
        </is>
      </c>
      <c r="D40" s="29" t="inlineStr">
        <is>
          <t>420770</t>
        </is>
      </c>
      <c r="E40" s="29" t="inlineStr">
        <is>
          <t>KOSDAQ</t>
        </is>
      </c>
      <c r="F40" s="29" t="inlineStr">
        <is>
          <t>후공정/패키징/테스트</t>
        </is>
      </c>
      <c r="G40" s="29" t="inlineStr">
        <is>
          <t>후공정/패키징/테스트</t>
        </is>
      </c>
      <c r="H40" s="29" t="inlineStr">
        <is>
          <t>False</t>
        </is>
      </c>
      <c r="I40" s="29" t="inlineStr">
        <is>
          <t>True</t>
        </is>
      </c>
      <c r="J40" s="29" t="inlineStr">
        <is>
          <t>OK_LIMITED_HISTORY_OR_GROWTH_NA</t>
        </is>
      </c>
      <c r="K40" s="29" t="inlineStr">
        <is>
          <t>데이터 사용 가능</t>
        </is>
      </c>
      <c r="L40" s="29" t="inlineStr">
        <is>
          <t>LOW</t>
        </is>
      </c>
      <c r="M40" s="29" t="inlineStr">
        <is>
          <t>LOW</t>
        </is>
      </c>
      <c r="N40" s="29" t="inlineStr">
        <is>
          <t>0.5544444444444445</t>
        </is>
      </c>
      <c r="O40" s="29" t="inlineStr">
        <is>
          <t>FAIR</t>
        </is>
      </c>
      <c r="P40" s="29" t="inlineStr">
        <is>
          <t>FAIR</t>
        </is>
      </c>
      <c r="Q40" s="29" t="inlineStr">
        <is>
          <t>FAIR</t>
        </is>
      </c>
      <c r="R40" s="29" t="inlineStr">
        <is>
          <t>0.604283449323821</t>
        </is>
      </c>
      <c r="S40" s="29" t="inlineStr">
        <is>
          <t>MEDIUM</t>
        </is>
      </c>
      <c r="T40" s="29" t="inlineStr">
        <is>
          <t>MEDIUM</t>
        </is>
      </c>
      <c r="U40" s="29" t="inlineStr">
        <is>
          <t>0.0714285714285714</t>
        </is>
      </c>
      <c r="V40" s="29" t="inlineStr">
        <is>
          <t>LOW_RISK</t>
        </is>
      </c>
      <c r="W40" s="29" t="inlineStr">
        <is>
          <t>저위험</t>
        </is>
      </c>
      <c r="X40" s="29" t="inlineStr">
        <is>
          <t>LOW_RISK</t>
        </is>
      </c>
      <c r="Y40" s="29" t="inlineStr">
        <is>
          <t>0.9462252670112353</t>
        </is>
      </c>
      <c r="Z40" s="29" t="inlineStr">
        <is>
          <t>HIGH</t>
        </is>
      </c>
      <c r="AA40" s="29" t="inlineStr">
        <is>
          <t>HIGH</t>
        </is>
      </c>
      <c r="AB40" s="29" t="inlineStr">
        <is>
          <t>0.34444594339538714</t>
        </is>
      </c>
      <c r="AC40" s="29" t="inlineStr">
        <is>
          <t>True</t>
        </is>
      </c>
      <c r="AD40" s="29" t="inlineStr">
        <is>
          <t>True</t>
        </is>
      </c>
      <c r="AE40" s="29" t="inlineStr">
        <is>
          <t>valuation_credit_ml_overlay_candidate.csv</t>
        </is>
      </c>
      <c r="AF40" s="29" t="inlineStr">
        <is>
          <t>208개 반도체 reference universe. Valuation Agent가 자체 intake 폴더로 복제해 Peer/ML/대시보드 비교에 사용.</t>
        </is>
      </c>
      <c r="AG40" s="29" t="inlineStr">
        <is>
          <t>SAME_PEER_GROUP</t>
        </is>
      </c>
      <c r="AH40" s="29" t="inlineStr">
        <is>
          <t>False</t>
        </is>
      </c>
    </row>
    <row r="41" ht="24" customHeight="1">
      <c r="A41" s="24" t="inlineStr">
        <is>
          <t>194</t>
        </is>
      </c>
      <c r="B41" s="24" t="inlineStr">
        <is>
          <t>해당 없음</t>
        </is>
      </c>
      <c r="C41" s="24" t="inlineStr">
        <is>
          <t>해성디에스</t>
        </is>
      </c>
      <c r="D41" s="24" t="inlineStr">
        <is>
          <t>195870</t>
        </is>
      </c>
      <c r="E41" s="24" t="inlineStr">
        <is>
          <t>KOSPI</t>
        </is>
      </c>
      <c r="F41" s="24" t="inlineStr">
        <is>
          <t>후공정/패키징/테스트</t>
        </is>
      </c>
      <c r="G41" s="24" t="inlineStr">
        <is>
          <t>후공정/패키징/테스트</t>
        </is>
      </c>
      <c r="H41" s="24" t="inlineStr">
        <is>
          <t>False</t>
        </is>
      </c>
      <c r="I41" s="24" t="inlineStr">
        <is>
          <t>True</t>
        </is>
      </c>
      <c r="J41" s="24" t="inlineStr">
        <is>
          <t>OK</t>
        </is>
      </c>
      <c r="K41" s="24" t="inlineStr">
        <is>
          <t>데이터 사용 가능</t>
        </is>
      </c>
      <c r="L41" s="24" t="inlineStr">
        <is>
          <t>LOW</t>
        </is>
      </c>
      <c r="M41" s="24" t="inlineStr">
        <is>
          <t>LOW</t>
        </is>
      </c>
      <c r="N41" s="24" t="inlineStr">
        <is>
          <t>0.5333333333333333</t>
        </is>
      </c>
      <c r="O41" s="24" t="inlineStr">
        <is>
          <t>FAIR</t>
        </is>
      </c>
      <c r="P41" s="24" t="inlineStr">
        <is>
          <t>FAIR</t>
        </is>
      </c>
      <c r="Q41" s="24" t="inlineStr">
        <is>
          <t>FAIR</t>
        </is>
      </c>
      <c r="R41" s="24" t="inlineStr">
        <is>
          <t>0.8942165906576592</t>
        </is>
      </c>
      <c r="S41" s="24" t="inlineStr">
        <is>
          <t>HIGH</t>
        </is>
      </c>
      <c r="T41" s="24" t="inlineStr">
        <is>
          <t>HIGH</t>
        </is>
      </c>
      <c r="U41" s="24" t="inlineStr">
        <is>
          <t>0.0714285714285714</t>
        </is>
      </c>
      <c r="V41" s="24" t="inlineStr">
        <is>
          <t>LOW_RISK</t>
        </is>
      </c>
      <c r="W41" s="24" t="inlineStr">
        <is>
          <t>저위험</t>
        </is>
      </c>
      <c r="X41" s="24" t="inlineStr">
        <is>
          <t>LOW_RISK</t>
        </is>
      </c>
      <c r="Y41" s="24" t="inlineStr">
        <is>
          <t>0.7552918248784374</t>
        </is>
      </c>
      <c r="Z41" s="24" t="inlineStr">
        <is>
          <t>HIGH</t>
        </is>
      </c>
      <c r="AA41" s="24" t="inlineStr">
        <is>
          <t>HIGH</t>
        </is>
      </c>
      <c r="AB41" s="24" t="inlineStr">
        <is>
          <t>0.0</t>
        </is>
      </c>
      <c r="AC41" s="24" t="inlineStr">
        <is>
          <t>False</t>
        </is>
      </c>
      <c r="AD41" s="24" t="inlineStr">
        <is>
          <t>False</t>
        </is>
      </c>
      <c r="AE41" s="24" t="inlineStr">
        <is>
          <t>valuation_credit_ml_overlay_candidate.csv</t>
        </is>
      </c>
      <c r="AF41" s="24" t="inlineStr">
        <is>
          <t>208개 반도체 reference universe. Valuation Agent가 자체 intake 폴더로 복제해 Peer/ML/대시보드 비교에 사용.</t>
        </is>
      </c>
      <c r="AG41" s="24" t="inlineStr">
        <is>
          <t>SAME_PEER_GROUP</t>
        </is>
      </c>
      <c r="AH41" s="24" t="inlineStr">
        <is>
          <t>False</t>
        </is>
      </c>
    </row>
    <row r="42" ht="24" customHeight="1">
      <c r="A42" s="29" t="inlineStr">
        <is>
          <t>150</t>
        </is>
      </c>
      <c r="B42" s="29" t="inlineStr">
        <is>
          <t>해당 없음</t>
        </is>
      </c>
      <c r="C42" s="29" t="inlineStr">
        <is>
          <t>ISC</t>
        </is>
      </c>
      <c r="D42" s="29" t="inlineStr">
        <is>
          <t>095340</t>
        </is>
      </c>
      <c r="E42" s="29" t="inlineStr">
        <is>
          <t>KOSDAQ GLOBAL</t>
        </is>
      </c>
      <c r="F42" s="29" t="inlineStr">
        <is>
          <t>후공정/패키징/테스트</t>
        </is>
      </c>
      <c r="G42" s="29" t="inlineStr">
        <is>
          <t>후공정/패키징/테스트</t>
        </is>
      </c>
      <c r="H42" s="29" t="inlineStr">
        <is>
          <t>False</t>
        </is>
      </c>
      <c r="I42" s="29" t="inlineStr">
        <is>
          <t>True</t>
        </is>
      </c>
      <c r="J42" s="29" t="inlineStr">
        <is>
          <t>OK</t>
        </is>
      </c>
      <c r="K42" s="29" t="inlineStr">
        <is>
          <t>데이터 사용 가능</t>
        </is>
      </c>
      <c r="L42" s="29" t="inlineStr">
        <is>
          <t>LOW</t>
        </is>
      </c>
      <c r="M42" s="29" t="inlineStr">
        <is>
          <t>LOW</t>
        </is>
      </c>
      <c r="N42" s="29" t="inlineStr">
        <is>
          <t>0.5176296296296296</t>
        </is>
      </c>
      <c r="O42" s="29" t="inlineStr">
        <is>
          <t>FAIR</t>
        </is>
      </c>
      <c r="P42" s="29" t="inlineStr">
        <is>
          <t>FAIR</t>
        </is>
      </c>
      <c r="Q42" s="29" t="inlineStr">
        <is>
          <t>FAIR</t>
        </is>
      </c>
      <c r="R42" s="29" t="inlineStr">
        <is>
          <t>0.5753148434947495</t>
        </is>
      </c>
      <c r="S42" s="29" t="inlineStr">
        <is>
          <t>MEDIUM</t>
        </is>
      </c>
      <c r="T42" s="29" t="inlineStr">
        <is>
          <t>MEDIUM</t>
        </is>
      </c>
      <c r="U42" s="29" t="inlineStr">
        <is>
          <t>0.0</t>
        </is>
      </c>
      <c r="V42" s="29" t="inlineStr">
        <is>
          <t>LOW_RISK</t>
        </is>
      </c>
      <c r="W42" s="29" t="inlineStr">
        <is>
          <t>저위험</t>
        </is>
      </c>
      <c r="X42" s="29" t="inlineStr">
        <is>
          <t>LOW_RISK</t>
        </is>
      </c>
      <c r="Y42" s="29" t="inlineStr">
        <is>
          <t>0.9755870924998499</t>
        </is>
      </c>
      <c r="Z42" s="29" t="inlineStr">
        <is>
          <t>HIGH</t>
        </is>
      </c>
      <c r="AA42" s="29" t="inlineStr">
        <is>
          <t>HIGH</t>
        </is>
      </c>
      <c r="AB42" s="29" t="inlineStr">
        <is>
          <t>0.14006921921799445</t>
        </is>
      </c>
      <c r="AC42" s="29" t="inlineStr">
        <is>
          <t>False</t>
        </is>
      </c>
      <c r="AD42" s="29" t="inlineStr">
        <is>
          <t>False</t>
        </is>
      </c>
      <c r="AE42" s="29" t="inlineStr">
        <is>
          <t>valuation_credit_ml_overlay_candidate.csv</t>
        </is>
      </c>
      <c r="AF42" s="29" t="inlineStr">
        <is>
          <t>208개 반도체 reference universe. Valuation Agent가 자체 intake 폴더로 복제해 Peer/ML/대시보드 비교에 사용.</t>
        </is>
      </c>
      <c r="AG42" s="29" t="inlineStr">
        <is>
          <t>SAME_PEER_GROUP</t>
        </is>
      </c>
      <c r="AH42" s="29" t="inlineStr">
        <is>
          <t>False</t>
        </is>
      </c>
    </row>
    <row r="43" ht="24" customHeight="1">
      <c r="A43" s="24" t="inlineStr">
        <is>
          <t>173</t>
        </is>
      </c>
      <c r="B43" s="24" t="inlineStr">
        <is>
          <t>해당 없음</t>
        </is>
      </c>
      <c r="C43" s="24" t="inlineStr">
        <is>
          <t>에이팩트</t>
        </is>
      </c>
      <c r="D43" s="24" t="inlineStr">
        <is>
          <t>200470</t>
        </is>
      </c>
      <c r="E43" s="24" t="inlineStr">
        <is>
          <t>KOSDAQ</t>
        </is>
      </c>
      <c r="F43" s="24" t="inlineStr">
        <is>
          <t>후공정/패키징/테스트</t>
        </is>
      </c>
      <c r="G43" s="24" t="inlineStr">
        <is>
          <t>후공정/패키징/테스트</t>
        </is>
      </c>
      <c r="H43" s="24" t="inlineStr">
        <is>
          <t>False</t>
        </is>
      </c>
      <c r="I43" s="24" t="inlineStr">
        <is>
          <t>True</t>
        </is>
      </c>
      <c r="J43" s="24" t="inlineStr">
        <is>
          <t>OK</t>
        </is>
      </c>
      <c r="K43" s="24" t="inlineStr">
        <is>
          <t>데이터 사용 가능</t>
        </is>
      </c>
      <c r="L43" s="24" t="inlineStr">
        <is>
          <t>LOW</t>
        </is>
      </c>
      <c r="M43" s="24" t="inlineStr">
        <is>
          <t>LOW</t>
        </is>
      </c>
      <c r="N43" s="24" t="inlineStr">
        <is>
          <t>0.5026666666666667</t>
        </is>
      </c>
      <c r="O43" s="24" t="inlineStr">
        <is>
          <t>FAIR</t>
        </is>
      </c>
      <c r="P43" s="24" t="inlineStr">
        <is>
          <t>FAIR</t>
        </is>
      </c>
      <c r="Q43" s="24" t="inlineStr">
        <is>
          <t>FAIR</t>
        </is>
      </c>
      <c r="R43" s="24" t="inlineStr">
        <is>
          <t>0.8010795762920226</t>
        </is>
      </c>
      <c r="S43" s="24" t="inlineStr">
        <is>
          <t>HIGH</t>
        </is>
      </c>
      <c r="T43" s="24" t="inlineStr">
        <is>
          <t>HIGH</t>
        </is>
      </c>
      <c r="U43" s="24" t="inlineStr">
        <is>
          <t>0.4285714285714285</t>
        </is>
      </c>
      <c r="V43" s="24" t="inlineStr">
        <is>
          <t>HIGH_RISK</t>
        </is>
      </c>
      <c r="W43" s="24" t="inlineStr">
        <is>
          <t>고위험</t>
        </is>
      </c>
      <c r="X43" s="24" t="inlineStr">
        <is>
          <t>MEDIUM_RISK</t>
        </is>
      </c>
      <c r="Y43" s="24" t="inlineStr">
        <is>
          <t>0.40666664980482187</t>
        </is>
      </c>
      <c r="Z43" s="24" t="inlineStr">
        <is>
          <t>LOW</t>
        </is>
      </c>
      <c r="AA43" s="24" t="inlineStr">
        <is>
          <t>LOW</t>
        </is>
      </c>
      <c r="AB43" s="24" t="inlineStr">
        <is>
          <t>0.060282917359955154</t>
        </is>
      </c>
      <c r="AC43" s="24" t="inlineStr">
        <is>
          <t>False</t>
        </is>
      </c>
      <c r="AD43" s="24" t="inlineStr">
        <is>
          <t>True</t>
        </is>
      </c>
      <c r="AE43" s="24" t="inlineStr">
        <is>
          <t>valuation_credit_ml_overlay_candidate.csv</t>
        </is>
      </c>
      <c r="AF43" s="24" t="inlineStr">
        <is>
          <t>208개 반도체 reference universe. Valuation Agent가 자체 intake 폴더로 복제해 Peer/ML/대시보드 비교에 사용.</t>
        </is>
      </c>
      <c r="AG43" s="24" t="inlineStr">
        <is>
          <t>SAME_PEER_GROUP</t>
        </is>
      </c>
      <c r="AH43" s="24" t="inlineStr">
        <is>
          <t>False</t>
        </is>
      </c>
    </row>
    <row r="44" ht="24" customHeight="1">
      <c r="A44" s="29" t="inlineStr">
        <is>
          <t>148</t>
        </is>
      </c>
      <c r="B44" s="29" t="inlineStr">
        <is>
          <t>hansol</t>
        </is>
      </c>
      <c r="C44" s="29" t="inlineStr">
        <is>
          <t>한솔케미칼</t>
        </is>
      </c>
      <c r="D44" s="29" t="inlineStr">
        <is>
          <t>014680</t>
        </is>
      </c>
      <c r="E44" s="29" t="inlineStr">
        <is>
          <t>KOSPI</t>
        </is>
      </c>
      <c r="F44" s="29" t="inlineStr">
        <is>
          <t>소재</t>
        </is>
      </c>
      <c r="G44" s="29" t="inlineStr">
        <is>
          <t>소재</t>
        </is>
      </c>
      <c r="H44" s="29" t="inlineStr">
        <is>
          <t>True</t>
        </is>
      </c>
      <c r="I44" s="29" t="inlineStr">
        <is>
          <t>True</t>
        </is>
      </c>
      <c r="J44" s="29" t="inlineStr">
        <is>
          <t>OK</t>
        </is>
      </c>
      <c r="K44" s="29" t="inlineStr">
        <is>
          <t>데이터 사용 가능</t>
        </is>
      </c>
      <c r="L44" s="29" t="inlineStr">
        <is>
          <t>LOW</t>
        </is>
      </c>
      <c r="M44" s="29" t="inlineStr">
        <is>
          <t>LOW</t>
        </is>
      </c>
      <c r="N44" s="29" t="inlineStr">
        <is>
          <t>0.6330769230769231</t>
        </is>
      </c>
      <c r="O44" s="29" t="inlineStr">
        <is>
          <t>ATTRACTIVE</t>
        </is>
      </c>
      <c r="P44" s="29" t="inlineStr">
        <is>
          <t>가치 매력</t>
        </is>
      </c>
      <c r="Q44" s="29" t="inlineStr">
        <is>
          <t>ATTRACTIVE</t>
        </is>
      </c>
      <c r="R44" s="29" t="inlineStr">
        <is>
          <t>0.8364696976606926</t>
        </is>
      </c>
      <c r="S44" s="29" t="inlineStr">
        <is>
          <t>HIGH</t>
        </is>
      </c>
      <c r="T44" s="29" t="inlineStr">
        <is>
          <t>HIGH</t>
        </is>
      </c>
      <c r="U44" s="29" t="inlineStr">
        <is>
          <t>0.0</t>
        </is>
      </c>
      <c r="V44" s="29" t="inlineStr">
        <is>
          <t>LOW_RISK</t>
        </is>
      </c>
      <c r="W44" s="29" t="inlineStr">
        <is>
          <t>저위험</t>
        </is>
      </c>
      <c r="X44" s="29" t="inlineStr">
        <is>
          <t>LOW_RISK</t>
        </is>
      </c>
      <c r="Y44" s="29" t="inlineStr">
        <is>
          <t>0.9711543901439185</t>
        </is>
      </c>
      <c r="Z44" s="29" t="inlineStr">
        <is>
          <t>HIGH</t>
        </is>
      </c>
      <c r="AA44" s="29" t="inlineStr">
        <is>
          <t>HIGH</t>
        </is>
      </c>
      <c r="AB44" s="29" t="inlineStr">
        <is>
          <t>0.058190310497948615</t>
        </is>
      </c>
      <c r="AC44" s="29" t="inlineStr">
        <is>
          <t>False</t>
        </is>
      </c>
      <c r="AD44" s="29" t="inlineStr">
        <is>
          <t>False</t>
        </is>
      </c>
      <c r="AE44" s="29" t="inlineStr">
        <is>
          <t>valuation_credit_ml_overlay_candidate.csv</t>
        </is>
      </c>
      <c r="AF44" s="29" t="inlineStr">
        <is>
          <t>208개 반도체 reference universe. Valuation Agent가 자체 intake 폴더로 복제해 Peer/ML/대시보드 비교에 사용.</t>
        </is>
      </c>
      <c r="AG44" s="29" t="inlineStr">
        <is>
          <t>FOCAL_5</t>
        </is>
      </c>
      <c r="AH44" s="29" t="inlineStr">
        <is>
          <t>False</t>
        </is>
      </c>
    </row>
    <row r="45" ht="24" customHeight="1">
      <c r="A45" s="24" t="inlineStr">
        <is>
          <t>133</t>
        </is>
      </c>
      <c r="B45" s="24" t="inlineStr">
        <is>
          <t>ltc</t>
        </is>
      </c>
      <c r="C45" s="24" t="inlineStr">
        <is>
          <t>엘티씨</t>
        </is>
      </c>
      <c r="D45" s="24" t="inlineStr">
        <is>
          <t>170920</t>
        </is>
      </c>
      <c r="E45" s="24" t="inlineStr">
        <is>
          <t>KOSDAQ</t>
        </is>
      </c>
      <c r="F45" s="24" t="inlineStr">
        <is>
          <t>소재</t>
        </is>
      </c>
      <c r="G45" s="24" t="inlineStr">
        <is>
          <t>소재</t>
        </is>
      </c>
      <c r="H45" s="24" t="inlineStr">
        <is>
          <t>True</t>
        </is>
      </c>
      <c r="I45" s="24" t="inlineStr">
        <is>
          <t>True</t>
        </is>
      </c>
      <c r="J45" s="24" t="inlineStr">
        <is>
          <t>OK</t>
        </is>
      </c>
      <c r="K45" s="24" t="inlineStr">
        <is>
          <t>데이터 사용 가능</t>
        </is>
      </c>
      <c r="L45" s="24" t="inlineStr">
        <is>
          <t>LOW</t>
        </is>
      </c>
      <c r="M45" s="24" t="inlineStr">
        <is>
          <t>LOW</t>
        </is>
      </c>
      <c r="N45" s="24" t="inlineStr">
        <is>
          <t>0.5838461538461538</t>
        </is>
      </c>
      <c r="O45" s="24" t="inlineStr">
        <is>
          <t>FAIR</t>
        </is>
      </c>
      <c r="P45" s="24" t="inlineStr">
        <is>
          <t>FAIR</t>
        </is>
      </c>
      <c r="Q45" s="24" t="inlineStr">
        <is>
          <t>ATTRACTIVE</t>
        </is>
      </c>
      <c r="R45" s="24" t="inlineStr">
        <is>
          <t>0.6353016273848794</t>
        </is>
      </c>
      <c r="S45" s="24" t="inlineStr">
        <is>
          <t>MEDIUM</t>
        </is>
      </c>
      <c r="T45" s="24" t="inlineStr">
        <is>
          <t>MEDIUM</t>
        </is>
      </c>
      <c r="U45" s="24" t="inlineStr">
        <is>
          <t>0.0</t>
        </is>
      </c>
      <c r="V45" s="24" t="inlineStr">
        <is>
          <t>LOW_RISK</t>
        </is>
      </c>
      <c r="W45" s="24" t="inlineStr">
        <is>
          <t>저위험</t>
        </is>
      </c>
      <c r="X45" s="24" t="inlineStr">
        <is>
          <t>LOW_RISK</t>
        </is>
      </c>
      <c r="Y45" s="24" t="inlineStr">
        <is>
          <t>0.9205018564538214</t>
        </is>
      </c>
      <c r="Z45" s="24" t="inlineStr">
        <is>
          <t>HIGH</t>
        </is>
      </c>
      <c r="AA45" s="24" t="inlineStr">
        <is>
          <t>HIGH</t>
        </is>
      </c>
      <c r="AB45" s="24" t="inlineStr">
        <is>
          <t>0.0038993876391341673</t>
        </is>
      </c>
      <c r="AC45" s="24" t="inlineStr">
        <is>
          <t>False</t>
        </is>
      </c>
      <c r="AD45" s="24" t="inlineStr">
        <is>
          <t>False</t>
        </is>
      </c>
      <c r="AE45" s="24" t="inlineStr">
        <is>
          <t>valuation_credit_ml_overlay_candidate.csv</t>
        </is>
      </c>
      <c r="AF45" s="24" t="inlineStr">
        <is>
          <t>208개 반도체 reference universe. Valuation Agent가 자체 intake 폴더로 복제해 Peer/ML/대시보드 비교에 사용.</t>
        </is>
      </c>
      <c r="AG45" s="24" t="inlineStr">
        <is>
          <t>FOCAL_5</t>
        </is>
      </c>
      <c r="AH45" s="24" t="inlineStr">
        <is>
          <t>False</t>
        </is>
      </c>
    </row>
    <row r="46" ht="24" customHeight="1">
      <c r="A46" s="29" t="inlineStr">
        <is>
          <t>125</t>
        </is>
      </c>
      <c r="B46" s="29" t="inlineStr">
        <is>
          <t>duksan</t>
        </is>
      </c>
      <c r="C46" s="29" t="inlineStr">
        <is>
          <t>덕산테코피아</t>
        </is>
      </c>
      <c r="D46" s="29" t="inlineStr">
        <is>
          <t>317330</t>
        </is>
      </c>
      <c r="E46" s="29" t="inlineStr">
        <is>
          <t>KOSDAQ</t>
        </is>
      </c>
      <c r="F46" s="29" t="inlineStr">
        <is>
          <t>소재</t>
        </is>
      </c>
      <c r="G46" s="29" t="inlineStr">
        <is>
          <t>소재</t>
        </is>
      </c>
      <c r="H46" s="29" t="inlineStr">
        <is>
          <t>True</t>
        </is>
      </c>
      <c r="I46" s="29" t="inlineStr">
        <is>
          <t>True</t>
        </is>
      </c>
      <c r="J46" s="29" t="inlineStr">
        <is>
          <t>OK</t>
        </is>
      </c>
      <c r="K46" s="29" t="inlineStr">
        <is>
          <t>데이터 사용 가능</t>
        </is>
      </c>
      <c r="L46" s="29" t="inlineStr">
        <is>
          <t>LOW</t>
        </is>
      </c>
      <c r="M46" s="29" t="inlineStr">
        <is>
          <t>LOW</t>
        </is>
      </c>
      <c r="N46" s="29" t="inlineStr">
        <is>
          <t>0.251025641025641</t>
        </is>
      </c>
      <c r="O46" s="29" t="inlineStr">
        <is>
          <t>EXPENSIVE</t>
        </is>
      </c>
      <c r="P46" s="29" t="inlineStr">
        <is>
          <t>EXPENSIVE</t>
        </is>
      </c>
      <c r="Q46" s="29" t="inlineStr">
        <is>
          <t>EXPENSIVE</t>
        </is>
      </c>
      <c r="R46" s="29" t="inlineStr">
        <is>
          <t>0.9683283970250778</t>
        </is>
      </c>
      <c r="S46" s="29" t="inlineStr">
        <is>
          <t>HIGH</t>
        </is>
      </c>
      <c r="T46" s="29" t="inlineStr">
        <is>
          <t>HIGH</t>
        </is>
      </c>
      <c r="U46" s="29" t="inlineStr">
        <is>
          <t>0.7142857142857143</t>
        </is>
      </c>
      <c r="V46" s="29" t="inlineStr">
        <is>
          <t>HIGH_RISK</t>
        </is>
      </c>
      <c r="W46" s="29" t="inlineStr">
        <is>
          <t>고위험</t>
        </is>
      </c>
      <c r="X46" s="29" t="inlineStr">
        <is>
          <t>HIGH_RISK</t>
        </is>
      </c>
      <c r="Y46" s="29" t="inlineStr">
        <is>
          <t>0.9663044353705786</t>
        </is>
      </c>
      <c r="Z46" s="29" t="inlineStr">
        <is>
          <t>HIGH</t>
        </is>
      </c>
      <c r="AA46" s="29" t="inlineStr">
        <is>
          <t>HIGH</t>
        </is>
      </c>
      <c r="AB46" s="29" t="inlineStr">
        <is>
          <t>0.3843555232614074</t>
        </is>
      </c>
      <c r="AC46" s="29" t="inlineStr">
        <is>
          <t>True</t>
        </is>
      </c>
      <c r="AD46" s="29" t="inlineStr">
        <is>
          <t>True</t>
        </is>
      </c>
      <c r="AE46" s="29" t="inlineStr">
        <is>
          <t>valuation_credit_ml_overlay_candidate.csv</t>
        </is>
      </c>
      <c r="AF46" s="29" t="inlineStr">
        <is>
          <t>208개 반도체 reference universe. Valuation Agent가 자체 intake 폴더로 복제해 Peer/ML/대시보드 비교에 사용.</t>
        </is>
      </c>
      <c r="AG46" s="29" t="inlineStr">
        <is>
          <t>FOCAL_5</t>
        </is>
      </c>
      <c r="AH46" s="29" t="inlineStr">
        <is>
          <t>False</t>
        </is>
      </c>
    </row>
    <row r="47" ht="24" customHeight="1">
      <c r="A47" s="24" t="inlineStr">
        <is>
          <t>99</t>
        </is>
      </c>
      <c r="B47" s="24" t="inlineStr">
        <is>
          <t>해당 없음</t>
        </is>
      </c>
      <c r="C47" s="24" t="inlineStr">
        <is>
          <t>엔투텍</t>
        </is>
      </c>
      <c r="D47" s="24" t="inlineStr">
        <is>
          <t>227950</t>
        </is>
      </c>
      <c r="E47" s="24" t="inlineStr">
        <is>
          <t>KOSDAQ</t>
        </is>
      </c>
      <c r="F47" s="24" t="inlineStr">
        <is>
          <t>장비</t>
        </is>
      </c>
      <c r="G47" s="24" t="inlineStr">
        <is>
          <t>장비</t>
        </is>
      </c>
      <c r="H47" s="24" t="inlineStr">
        <is>
          <t>False</t>
        </is>
      </c>
      <c r="I47" s="24" t="inlineStr">
        <is>
          <t>True</t>
        </is>
      </c>
      <c r="J47" s="24" t="inlineStr">
        <is>
          <t>OK</t>
        </is>
      </c>
      <c r="K47" s="24" t="inlineStr">
        <is>
          <t>데이터 사용 가능</t>
        </is>
      </c>
      <c r="L47" s="24" t="inlineStr">
        <is>
          <t>LOW</t>
        </is>
      </c>
      <c r="M47" s="24" t="inlineStr">
        <is>
          <t>LOW</t>
        </is>
      </c>
      <c r="N47" s="24" t="inlineStr">
        <is>
          <t>0.8128666666666667</t>
        </is>
      </c>
      <c r="O47" s="24" t="inlineStr">
        <is>
          <t>ATTRACTIVE</t>
        </is>
      </c>
      <c r="P47" s="24" t="inlineStr">
        <is>
          <t>가치 매력</t>
        </is>
      </c>
      <c r="Q47" s="24" t="inlineStr">
        <is>
          <t>ATTRACTIVE</t>
        </is>
      </c>
      <c r="R47" s="24" t="inlineStr">
        <is>
          <t>0.8347222629406851</t>
        </is>
      </c>
      <c r="S47" s="24" t="inlineStr">
        <is>
          <t>HIGH</t>
        </is>
      </c>
      <c r="T47" s="24" t="inlineStr">
        <is>
          <t>HIGH</t>
        </is>
      </c>
      <c r="U47" s="24" t="inlineStr">
        <is>
          <t>0.2142857142857142</t>
        </is>
      </c>
      <c r="V47" s="24" t="inlineStr">
        <is>
          <t>MEDIUM_RISK</t>
        </is>
      </c>
      <c r="W47" s="24" t="inlineStr">
        <is>
          <t>중위험</t>
        </is>
      </c>
      <c r="X47" s="24" t="inlineStr">
        <is>
          <t>MEDIUM_RISK</t>
        </is>
      </c>
      <c r="Y47" s="24" t="inlineStr">
        <is>
          <t>0.5142933547274794</t>
        </is>
      </c>
      <c r="Z47" s="24" t="inlineStr">
        <is>
          <t>MEDIUM</t>
        </is>
      </c>
      <c r="AA47" s="24" t="inlineStr">
        <is>
          <t>MEDIUM</t>
        </is>
      </c>
      <c r="AB47" s="24" t="inlineStr">
        <is>
          <t>0.21193857896314997</t>
        </is>
      </c>
      <c r="AC47" s="24" t="inlineStr">
        <is>
          <t>False</t>
        </is>
      </c>
      <c r="AD47" s="24" t="inlineStr">
        <is>
          <t>False</t>
        </is>
      </c>
      <c r="AE47" s="24" t="inlineStr">
        <is>
          <t>valuation_credit_ml_overlay_candidate.csv</t>
        </is>
      </c>
      <c r="AF47" s="24" t="inlineStr">
        <is>
          <t>208개 반도체 reference universe. Valuation Agent가 자체 intake 폴더로 복제해 Peer/ML/대시보드 비교에 사용.</t>
        </is>
      </c>
      <c r="AG47" s="24" t="inlineStr">
        <is>
          <t>TOP_REFERENCE</t>
        </is>
      </c>
      <c r="AH47" s="24" t="inlineStr">
        <is>
          <t>False</t>
        </is>
      </c>
    </row>
    <row r="48" ht="24" customHeight="1">
      <c r="A48" s="29" t="inlineStr">
        <is>
          <t>62</t>
        </is>
      </c>
      <c r="B48" s="29" t="inlineStr">
        <is>
          <t>해당 없음</t>
        </is>
      </c>
      <c r="C48" s="29" t="inlineStr">
        <is>
          <t>에스에이엠티</t>
        </is>
      </c>
      <c r="D48" s="29" t="inlineStr">
        <is>
          <t>031330</t>
        </is>
      </c>
      <c r="E48" s="29" t="inlineStr">
        <is>
          <t>KOSDAQ</t>
        </is>
      </c>
      <c r="F48" s="29" t="inlineStr">
        <is>
          <t>팹리스/설계</t>
        </is>
      </c>
      <c r="G48" s="29" t="inlineStr">
        <is>
          <t>팹리스/설계</t>
        </is>
      </c>
      <c r="H48" s="29" t="inlineStr">
        <is>
          <t>False</t>
        </is>
      </c>
      <c r="I48" s="29" t="inlineStr">
        <is>
          <t>True</t>
        </is>
      </c>
      <c r="J48" s="29" t="inlineStr">
        <is>
          <t>OK</t>
        </is>
      </c>
      <c r="K48" s="29" t="inlineStr">
        <is>
          <t>데이터 사용 가능</t>
        </is>
      </c>
      <c r="L48" s="29" t="inlineStr">
        <is>
          <t>LOW</t>
        </is>
      </c>
      <c r="M48" s="29" t="inlineStr">
        <is>
          <t>LOW</t>
        </is>
      </c>
      <c r="N48" s="29" t="inlineStr">
        <is>
          <t>0.7838383838383839</t>
        </is>
      </c>
      <c r="O48" s="29" t="inlineStr">
        <is>
          <t>FAIR</t>
        </is>
      </c>
      <c r="P48" s="29" t="inlineStr">
        <is>
          <t>FAIR</t>
        </is>
      </c>
      <c r="Q48" s="29" t="inlineStr">
        <is>
          <t>FAIR</t>
        </is>
      </c>
      <c r="R48" s="29" t="inlineStr">
        <is>
          <t>0.8575928985222669</t>
        </is>
      </c>
      <c r="S48" s="29" t="inlineStr">
        <is>
          <t>HIGH</t>
        </is>
      </c>
      <c r="T48" s="29" t="inlineStr">
        <is>
          <t>HIGH</t>
        </is>
      </c>
      <c r="U48" s="29" t="inlineStr">
        <is>
          <t>0.5</t>
        </is>
      </c>
      <c r="V48" s="29" t="inlineStr">
        <is>
          <t>HIGH_RISK</t>
        </is>
      </c>
      <c r="W48" s="29" t="inlineStr">
        <is>
          <t>고위험</t>
        </is>
      </c>
      <c r="X48" s="29" t="inlineStr">
        <is>
          <t>HIGH_RISK</t>
        </is>
      </c>
      <c r="Y48" s="29" t="inlineStr">
        <is>
          <t>0.5021487096911619</t>
        </is>
      </c>
      <c r="Z48" s="29" t="inlineStr">
        <is>
          <t>MEDIUM</t>
        </is>
      </c>
      <c r="AA48" s="29" t="inlineStr">
        <is>
          <t>MEDIUM</t>
        </is>
      </c>
      <c r="AB48" s="29" t="inlineStr">
        <is>
          <t>0.11372149345925425</t>
        </is>
      </c>
      <c r="AC48" s="29" t="inlineStr">
        <is>
          <t>False</t>
        </is>
      </c>
      <c r="AD48" s="29" t="inlineStr">
        <is>
          <t>False</t>
        </is>
      </c>
      <c r="AE48" s="29" t="inlineStr">
        <is>
          <t>valuation_credit_ml_overlay_candidate.csv</t>
        </is>
      </c>
      <c r="AF48" s="29" t="inlineStr">
        <is>
          <t>208개 반도체 reference universe. Valuation Agent가 자체 intake 폴더로 복제해 Peer/ML/대시보드 비교에 사용.</t>
        </is>
      </c>
      <c r="AG48" s="29" t="inlineStr">
        <is>
          <t>TOP_REFERENCE</t>
        </is>
      </c>
      <c r="AH48" s="29" t="inlineStr">
        <is>
          <t>False</t>
        </is>
      </c>
    </row>
    <row r="49" ht="24" customHeight="1">
      <c r="A49" s="24" t="inlineStr">
        <is>
          <t>10</t>
        </is>
      </c>
      <c r="B49" s="24" t="inlineStr">
        <is>
          <t>해당 없음</t>
        </is>
      </c>
      <c r="C49" s="24" t="inlineStr">
        <is>
          <t>미코</t>
        </is>
      </c>
      <c r="D49" s="24" t="inlineStr">
        <is>
          <t>059090</t>
        </is>
      </c>
      <c r="E49" s="24" t="inlineStr">
        <is>
          <t>KOSDAQ</t>
        </is>
      </c>
      <c r="F49" s="24" t="inlineStr">
        <is>
          <t>IDM/제조/메모리</t>
        </is>
      </c>
      <c r="G49" s="24" t="inlineStr">
        <is>
          <t>IDM/제조/메모리</t>
        </is>
      </c>
      <c r="H49" s="24" t="inlineStr">
        <is>
          <t>False</t>
        </is>
      </c>
      <c r="I49" s="24" t="inlineStr">
        <is>
          <t>True</t>
        </is>
      </c>
      <c r="J49" s="24" t="inlineStr">
        <is>
          <t>OK</t>
        </is>
      </c>
      <c r="K49" s="24" t="inlineStr">
        <is>
          <t>데이터 사용 가능</t>
        </is>
      </c>
      <c r="L49" s="24" t="inlineStr">
        <is>
          <t>LOW</t>
        </is>
      </c>
      <c r="M49" s="24" t="inlineStr">
        <is>
          <t>LOW</t>
        </is>
      </c>
      <c r="N49" s="24" t="inlineStr">
        <is>
          <t>0.7733333333333334</t>
        </is>
      </c>
      <c r="O49" s="24" t="inlineStr">
        <is>
          <t>FAIR</t>
        </is>
      </c>
      <c r="P49" s="24" t="inlineStr">
        <is>
          <t>FAIR</t>
        </is>
      </c>
      <c r="Q49" s="24" t="inlineStr">
        <is>
          <t>FAIR</t>
        </is>
      </c>
      <c r="R49" s="24" t="inlineStr">
        <is>
          <t>0.9066669659525092</t>
        </is>
      </c>
      <c r="S49" s="24" t="inlineStr">
        <is>
          <t>HIGH</t>
        </is>
      </c>
      <c r="T49" s="24" t="inlineStr">
        <is>
          <t>HIGH</t>
        </is>
      </c>
      <c r="U49" s="24" t="inlineStr">
        <is>
          <t>0.2142857142857142</t>
        </is>
      </c>
      <c r="V49" s="24" t="inlineStr">
        <is>
          <t>MEDIUM_RISK</t>
        </is>
      </c>
      <c r="W49" s="24" t="inlineStr">
        <is>
          <t>중위험</t>
        </is>
      </c>
      <c r="X49" s="24" t="inlineStr">
        <is>
          <t>MEDIUM_RISK</t>
        </is>
      </c>
      <c r="Y49" s="24" t="inlineStr">
        <is>
          <t>0.6769145960065608</t>
        </is>
      </c>
      <c r="Z49" s="24" t="inlineStr">
        <is>
          <t>MEDIUM</t>
        </is>
      </c>
      <c r="AA49" s="24" t="inlineStr">
        <is>
          <t>MEDIUM</t>
        </is>
      </c>
      <c r="AB49" s="24" t="inlineStr">
        <is>
          <t>0.10646038380774528</t>
        </is>
      </c>
      <c r="AC49" s="24" t="inlineStr">
        <is>
          <t>False</t>
        </is>
      </c>
      <c r="AD49" s="24" t="inlineStr">
        <is>
          <t>False</t>
        </is>
      </c>
      <c r="AE49" s="24" t="inlineStr">
        <is>
          <t>valuation_credit_ml_overlay_candidate.csv</t>
        </is>
      </c>
      <c r="AF49" s="24" t="inlineStr">
        <is>
          <t>208개 반도체 reference universe. Valuation Agent가 자체 intake 폴더로 복제해 Peer/ML/대시보드 비교에 사용.</t>
        </is>
      </c>
      <c r="AG49" s="24" t="inlineStr">
        <is>
          <t>TOP_REFERENCE</t>
        </is>
      </c>
      <c r="AH49" s="24" t="inlineStr">
        <is>
          <t>False</t>
        </is>
      </c>
    </row>
    <row r="50" ht="24" customHeight="1">
      <c r="A50" s="29" t="inlineStr">
        <is>
          <t>22</t>
        </is>
      </c>
      <c r="B50" s="29" t="inlineStr">
        <is>
          <t>해당 없음</t>
        </is>
      </c>
      <c r="C50" s="29" t="inlineStr">
        <is>
          <t>엘디티</t>
        </is>
      </c>
      <c r="D50" s="29" t="inlineStr">
        <is>
          <t>096870</t>
        </is>
      </c>
      <c r="E50" s="29" t="inlineStr">
        <is>
          <t>KOSDAQ</t>
        </is>
      </c>
      <c r="F50" s="29" t="inlineStr">
        <is>
          <t>IDM/제조/메모리</t>
        </is>
      </c>
      <c r="G50" s="29" t="inlineStr">
        <is>
          <t>IDM/제조/메모리</t>
        </is>
      </c>
      <c r="H50" s="29" t="inlineStr">
        <is>
          <t>False</t>
        </is>
      </c>
      <c r="I50" s="29" t="inlineStr">
        <is>
          <t>True</t>
        </is>
      </c>
      <c r="J50" s="29" t="inlineStr">
        <is>
          <t>OK</t>
        </is>
      </c>
      <c r="K50" s="29" t="inlineStr">
        <is>
          <t>데이터 사용 가능</t>
        </is>
      </c>
      <c r="L50" s="29" t="inlineStr">
        <is>
          <t>LOW</t>
        </is>
      </c>
      <c r="M50" s="29" t="inlineStr">
        <is>
          <t>LOW</t>
        </is>
      </c>
      <c r="N50" s="29" t="inlineStr">
        <is>
          <t>0.7518333333333332</t>
        </is>
      </c>
      <c r="O50" s="29" t="inlineStr">
        <is>
          <t>ATTRACTIVE</t>
        </is>
      </c>
      <c r="P50" s="29" t="inlineStr">
        <is>
          <t>가치 매력</t>
        </is>
      </c>
      <c r="Q50" s="29" t="inlineStr">
        <is>
          <t>ATTRACTIVE</t>
        </is>
      </c>
      <c r="R50" s="29" t="inlineStr">
        <is>
          <t>0.8817908899004964</t>
        </is>
      </c>
      <c r="S50" s="29" t="inlineStr">
        <is>
          <t>HIGH</t>
        </is>
      </c>
      <c r="T50" s="29" t="inlineStr">
        <is>
          <t>HIGH</t>
        </is>
      </c>
      <c r="U50" s="29" t="inlineStr">
        <is>
          <t>0.0714285714285714</t>
        </is>
      </c>
      <c r="V50" s="29" t="inlineStr">
        <is>
          <t>LOW_RISK</t>
        </is>
      </c>
      <c r="W50" s="29" t="inlineStr">
        <is>
          <t>저위험</t>
        </is>
      </c>
      <c r="X50" s="29" t="inlineStr">
        <is>
          <t>LOW_RISK</t>
        </is>
      </c>
      <c r="Y50" s="29" t="inlineStr">
        <is>
          <t>0.8068970516192283</t>
        </is>
      </c>
      <c r="Z50" s="29" t="inlineStr">
        <is>
          <t>HIGH</t>
        </is>
      </c>
      <c r="AA50" s="29" t="inlineStr">
        <is>
          <t>HIGH</t>
        </is>
      </c>
      <c r="AB50" s="29" t="inlineStr">
        <is>
          <t>0.2312715560027526</t>
        </is>
      </c>
      <c r="AC50" s="29" t="inlineStr">
        <is>
          <t>False</t>
        </is>
      </c>
      <c r="AD50" s="29" t="inlineStr">
        <is>
          <t>False</t>
        </is>
      </c>
      <c r="AE50" s="29" t="inlineStr">
        <is>
          <t>valuation_credit_ml_overlay_candidate.csv</t>
        </is>
      </c>
      <c r="AF50" s="29" t="inlineStr">
        <is>
          <t>208개 반도체 reference universe. Valuation Agent가 자체 intake 폴더로 복제해 Peer/ML/대시보드 비교에 사용.</t>
        </is>
      </c>
      <c r="AG50" s="29" t="inlineStr">
        <is>
          <t>TOP_REFERENCE</t>
        </is>
      </c>
      <c r="AH50" s="29" t="inlineStr">
        <is>
          <t>False</t>
        </is>
      </c>
    </row>
    <row r="51" ht="24" customHeight="1">
      <c r="A51" s="24" t="inlineStr">
        <is>
          <t>65</t>
        </is>
      </c>
      <c r="B51" s="24" t="inlineStr">
        <is>
          <t>해당 없음</t>
        </is>
      </c>
      <c r="C51" s="24" t="inlineStr">
        <is>
          <t>유니트론텍</t>
        </is>
      </c>
      <c r="D51" s="24" t="inlineStr">
        <is>
          <t>142210</t>
        </is>
      </c>
      <c r="E51" s="24" t="inlineStr">
        <is>
          <t>KOSDAQ</t>
        </is>
      </c>
      <c r="F51" s="24" t="inlineStr">
        <is>
          <t>팹리스/설계</t>
        </is>
      </c>
      <c r="G51" s="24" t="inlineStr">
        <is>
          <t>팹리스/설계</t>
        </is>
      </c>
      <c r="H51" s="24" t="inlineStr">
        <is>
          <t>False</t>
        </is>
      </c>
      <c r="I51" s="24" t="inlineStr">
        <is>
          <t>True</t>
        </is>
      </c>
      <c r="J51" s="24" t="inlineStr">
        <is>
          <t>OK</t>
        </is>
      </c>
      <c r="K51" s="24" t="inlineStr">
        <is>
          <t>데이터 사용 가능</t>
        </is>
      </c>
      <c r="L51" s="24" t="inlineStr">
        <is>
          <t>LOW</t>
        </is>
      </c>
      <c r="M51" s="24" t="inlineStr">
        <is>
          <t>LOW</t>
        </is>
      </c>
      <c r="N51" s="24" t="inlineStr">
        <is>
          <t>0.7478787878787879</t>
        </is>
      </c>
      <c r="O51" s="24" t="inlineStr">
        <is>
          <t>FAIR</t>
        </is>
      </c>
      <c r="P51" s="24" t="inlineStr">
        <is>
          <t>FAIR</t>
        </is>
      </c>
      <c r="Q51" s="24" t="inlineStr">
        <is>
          <t>FAIR</t>
        </is>
      </c>
      <c r="R51" s="24" t="inlineStr">
        <is>
          <t>0.8593164302034415</t>
        </is>
      </c>
      <c r="S51" s="24" t="inlineStr">
        <is>
          <t>HIGH</t>
        </is>
      </c>
      <c r="T51" s="24" t="inlineStr">
        <is>
          <t>HIGH</t>
        </is>
      </c>
      <c r="U51" s="24" t="inlineStr">
        <is>
          <t>0.3571428571428571</t>
        </is>
      </c>
      <c r="V51" s="24" t="inlineStr">
        <is>
          <t>MEDIUM_RISK</t>
        </is>
      </c>
      <c r="W51" s="24" t="inlineStr">
        <is>
          <t>중위험</t>
        </is>
      </c>
      <c r="X51" s="24" t="inlineStr">
        <is>
          <t>MEDIUM_RISK</t>
        </is>
      </c>
      <c r="Y51" s="24" t="inlineStr">
        <is>
          <t>0.6687746551665015</t>
        </is>
      </c>
      <c r="Z51" s="24" t="inlineStr">
        <is>
          <t>MEDIUM</t>
        </is>
      </c>
      <c r="AA51" s="24" t="inlineStr">
        <is>
          <t>MEDIUM</t>
        </is>
      </c>
      <c r="AB51" s="24" t="inlineStr">
        <is>
          <t>0.05354194050015521</t>
        </is>
      </c>
      <c r="AC51" s="24" t="inlineStr">
        <is>
          <t>False</t>
        </is>
      </c>
      <c r="AD51" s="24" t="inlineStr">
        <is>
          <t>False</t>
        </is>
      </c>
      <c r="AE51" s="24" t="inlineStr">
        <is>
          <t>valuation_credit_ml_overlay_candidate.csv</t>
        </is>
      </c>
      <c r="AF51" s="24" t="inlineStr">
        <is>
          <t>208개 반도체 reference universe. Valuation Agent가 자체 intake 폴더로 복제해 Peer/ML/대시보드 비교에 사용.</t>
        </is>
      </c>
      <c r="AG51" s="24" t="inlineStr">
        <is>
          <t>TOP_REFERENCE</t>
        </is>
      </c>
      <c r="AH51" s="24" t="inlineStr">
        <is>
          <t>False</t>
        </is>
      </c>
    </row>
    <row r="52" ht="24" customHeight="1">
      <c r="A52" s="29" t="inlineStr">
        <is>
          <t>9</t>
        </is>
      </c>
      <c r="B52" s="29" t="inlineStr">
        <is>
          <t>해당 없음</t>
        </is>
      </c>
      <c r="C52" s="29" t="inlineStr">
        <is>
          <t>메카로</t>
        </is>
      </c>
      <c r="D52" s="29" t="inlineStr">
        <is>
          <t>241770</t>
        </is>
      </c>
      <c r="E52" s="29" t="inlineStr">
        <is>
          <t>KOSDAQ</t>
        </is>
      </c>
      <c r="F52" s="29" t="inlineStr">
        <is>
          <t>IDM/제조/메모리</t>
        </is>
      </c>
      <c r="G52" s="29" t="inlineStr">
        <is>
          <t>IDM/제조/메모리</t>
        </is>
      </c>
      <c r="H52" s="29" t="inlineStr">
        <is>
          <t>False</t>
        </is>
      </c>
      <c r="I52" s="29" t="inlineStr">
        <is>
          <t>True</t>
        </is>
      </c>
      <c r="J52" s="29" t="inlineStr">
        <is>
          <t>OK</t>
        </is>
      </c>
      <c r="K52" s="29" t="inlineStr">
        <is>
          <t>데이터 사용 가능</t>
        </is>
      </c>
      <c r="L52" s="29" t="inlineStr">
        <is>
          <t>LOW</t>
        </is>
      </c>
      <c r="M52" s="29" t="inlineStr">
        <is>
          <t>LOW</t>
        </is>
      </c>
      <c r="N52" s="29" t="inlineStr">
        <is>
          <t>0.7476666666666667</t>
        </is>
      </c>
      <c r="O52" s="29" t="inlineStr">
        <is>
          <t>ATTRACTIVE</t>
        </is>
      </c>
      <c r="P52" s="29" t="inlineStr">
        <is>
          <t>가치 매력</t>
        </is>
      </c>
      <c r="Q52" s="29" t="inlineStr">
        <is>
          <t>ATTRACTIVE</t>
        </is>
      </c>
      <c r="R52" s="29" t="inlineStr">
        <is>
          <t>0.9154158498128573</t>
        </is>
      </c>
      <c r="S52" s="29" t="inlineStr">
        <is>
          <t>HIGH</t>
        </is>
      </c>
      <c r="T52" s="29" t="inlineStr">
        <is>
          <t>HIGH</t>
        </is>
      </c>
      <c r="U52" s="29" t="inlineStr">
        <is>
          <t>0.0</t>
        </is>
      </c>
      <c r="V52" s="29" t="inlineStr">
        <is>
          <t>LOW_RISK</t>
        </is>
      </c>
      <c r="W52" s="29" t="inlineStr">
        <is>
          <t>저위험</t>
        </is>
      </c>
      <c r="X52" s="29" t="inlineStr">
        <is>
          <t>LOW_RISK</t>
        </is>
      </c>
      <c r="Y52" s="29" t="inlineStr">
        <is>
          <t>0.9196609311939408</t>
        </is>
      </c>
      <c r="Z52" s="29" t="inlineStr">
        <is>
          <t>HIGH</t>
        </is>
      </c>
      <c r="AA52" s="29" t="inlineStr">
        <is>
          <t>HIGH</t>
        </is>
      </c>
      <c r="AB52" s="29" t="inlineStr">
        <is>
          <t>0.12775877727770685</t>
        </is>
      </c>
      <c r="AC52" s="29" t="inlineStr">
        <is>
          <t>False</t>
        </is>
      </c>
      <c r="AD52" s="29" t="inlineStr">
        <is>
          <t>False</t>
        </is>
      </c>
      <c r="AE52" s="29" t="inlineStr">
        <is>
          <t>valuation_credit_ml_overlay_candidate.csv</t>
        </is>
      </c>
      <c r="AF52" s="29" t="inlineStr">
        <is>
          <t>208개 반도체 reference universe. Valuation Agent가 자체 intake 폴더로 복제해 Peer/ML/대시보드 비교에 사용.</t>
        </is>
      </c>
      <c r="AG52" s="29" t="inlineStr">
        <is>
          <t>TOP_REFERENCE</t>
        </is>
      </c>
      <c r="AH52" s="29" t="inlineStr">
        <is>
          <t>False</t>
        </is>
      </c>
    </row>
    <row r="53" ht="24" customHeight="1">
      <c r="A53" s="24" t="inlineStr">
        <is>
          <t>139</t>
        </is>
      </c>
      <c r="B53" s="24" t="inlineStr">
        <is>
          <t>해당 없음</t>
        </is>
      </c>
      <c r="C53" s="24" t="inlineStr">
        <is>
          <t>월덱스</t>
        </is>
      </c>
      <c r="D53" s="24" t="inlineStr">
        <is>
          <t>101160</t>
        </is>
      </c>
      <c r="E53" s="24" t="inlineStr">
        <is>
          <t>KOSDAQ</t>
        </is>
      </c>
      <c r="F53" s="24" t="inlineStr">
        <is>
          <t>소재</t>
        </is>
      </c>
      <c r="G53" s="24" t="inlineStr">
        <is>
          <t>소재</t>
        </is>
      </c>
      <c r="H53" s="24" t="inlineStr">
        <is>
          <t>False</t>
        </is>
      </c>
      <c r="I53" s="24" t="inlineStr">
        <is>
          <t>True</t>
        </is>
      </c>
      <c r="J53" s="24" t="inlineStr">
        <is>
          <t>OK</t>
        </is>
      </c>
      <c r="K53" s="24" t="inlineStr">
        <is>
          <t>데이터 사용 가능</t>
        </is>
      </c>
      <c r="L53" s="24" t="inlineStr">
        <is>
          <t>LOW</t>
        </is>
      </c>
      <c r="M53" s="24" t="inlineStr">
        <is>
          <t>LOW</t>
        </is>
      </c>
      <c r="N53" s="24" t="inlineStr">
        <is>
          <t>0.745897435897436</t>
        </is>
      </c>
      <c r="O53" s="24" t="inlineStr">
        <is>
          <t>ATTRACTIVE</t>
        </is>
      </c>
      <c r="P53" s="24" t="inlineStr">
        <is>
          <t>가치 매력</t>
        </is>
      </c>
      <c r="Q53" s="24" t="inlineStr">
        <is>
          <t>ATTRACTIVE</t>
        </is>
      </c>
      <c r="R53" s="24" t="inlineStr">
        <is>
          <t>0.9476922450763601</t>
        </is>
      </c>
      <c r="S53" s="24" t="inlineStr">
        <is>
          <t>HIGH</t>
        </is>
      </c>
      <c r="T53" s="24" t="inlineStr">
        <is>
          <t>HIGH</t>
        </is>
      </c>
      <c r="U53" s="24" t="inlineStr">
        <is>
          <t>0.0</t>
        </is>
      </c>
      <c r="V53" s="24" t="inlineStr">
        <is>
          <t>LOW_RISK</t>
        </is>
      </c>
      <c r="W53" s="24" t="inlineStr">
        <is>
          <t>저위험</t>
        </is>
      </c>
      <c r="X53" s="24" t="inlineStr">
        <is>
          <t>LOW_RISK</t>
        </is>
      </c>
      <c r="Y53" s="24" t="inlineStr">
        <is>
          <t>0.9681016473230849</t>
        </is>
      </c>
      <c r="Z53" s="24" t="inlineStr">
        <is>
          <t>HIGH</t>
        </is>
      </c>
      <c r="AA53" s="24" t="inlineStr">
        <is>
          <t>HIGH</t>
        </is>
      </c>
      <c r="AB53" s="24" t="inlineStr">
        <is>
          <t>0.15527064195126172</t>
        </is>
      </c>
      <c r="AC53" s="24" t="inlineStr">
        <is>
          <t>False</t>
        </is>
      </c>
      <c r="AD53" s="24" t="inlineStr">
        <is>
          <t>False</t>
        </is>
      </c>
      <c r="AE53" s="24" t="inlineStr">
        <is>
          <t>valuation_credit_ml_overlay_candidate.csv</t>
        </is>
      </c>
      <c r="AF53" s="24" t="inlineStr">
        <is>
          <t>208개 반도체 reference universe. Valuation Agent가 자체 intake 폴더로 복제해 Peer/ML/대시보드 비교에 사용.</t>
        </is>
      </c>
      <c r="AG53" s="24" t="inlineStr">
        <is>
          <t>TOP_REFERENCE</t>
        </is>
      </c>
      <c r="AH53" s="24" t="inlineStr">
        <is>
          <t>False</t>
        </is>
      </c>
    </row>
    <row r="54" ht="24" customHeight="1">
      <c r="A54" s="29" t="inlineStr">
        <is>
          <t>60</t>
        </is>
      </c>
      <c r="B54" s="29" t="inlineStr">
        <is>
          <t>해당 없음</t>
        </is>
      </c>
      <c r="C54" s="29" t="inlineStr">
        <is>
          <t>앤씨앤</t>
        </is>
      </c>
      <c r="D54" s="29" t="inlineStr">
        <is>
          <t>092600</t>
        </is>
      </c>
      <c r="E54" s="29" t="inlineStr">
        <is>
          <t>KOSDAQ</t>
        </is>
      </c>
      <c r="F54" s="29" t="inlineStr">
        <is>
          <t>팹리스/설계</t>
        </is>
      </c>
      <c r="G54" s="29" t="inlineStr">
        <is>
          <t>팹리스/설계</t>
        </is>
      </c>
      <c r="H54" s="29" t="inlineStr">
        <is>
          <t>False</t>
        </is>
      </c>
      <c r="I54" s="29" t="inlineStr">
        <is>
          <t>True</t>
        </is>
      </c>
      <c r="J54" s="29" t="inlineStr">
        <is>
          <t>OK</t>
        </is>
      </c>
      <c r="K54" s="29" t="inlineStr">
        <is>
          <t>데이터 사용 가능</t>
        </is>
      </c>
      <c r="L54" s="29" t="inlineStr">
        <is>
          <t>LOW</t>
        </is>
      </c>
      <c r="M54" s="29" t="inlineStr">
        <is>
          <t>LOW</t>
        </is>
      </c>
      <c r="N54" s="29" t="inlineStr">
        <is>
          <t>0.7450505050505051</t>
        </is>
      </c>
      <c r="O54" s="29" t="inlineStr">
        <is>
          <t>FAIR</t>
        </is>
      </c>
      <c r="P54" s="29" t="inlineStr">
        <is>
          <t>FAIR</t>
        </is>
      </c>
      <c r="Q54" s="29" t="inlineStr">
        <is>
          <t>FAIR</t>
        </is>
      </c>
      <c r="R54" s="29" t="inlineStr">
        <is>
          <t>0.8450252323777523</t>
        </is>
      </c>
      <c r="S54" s="29" t="inlineStr">
        <is>
          <t>HIGH</t>
        </is>
      </c>
      <c r="T54" s="29" t="inlineStr">
        <is>
          <t>HIGH</t>
        </is>
      </c>
      <c r="U54" s="29" t="inlineStr">
        <is>
          <t>0.5</t>
        </is>
      </c>
      <c r="V54" s="29" t="inlineStr">
        <is>
          <t>HIGH_RISK</t>
        </is>
      </c>
      <c r="W54" s="29" t="inlineStr">
        <is>
          <t>고위험</t>
        </is>
      </c>
      <c r="X54" s="29" t="inlineStr">
        <is>
          <t>HIGH_RISK</t>
        </is>
      </c>
      <c r="Y54" s="29" t="inlineStr">
        <is>
          <t>0.6852720703017778</t>
        </is>
      </c>
      <c r="Z54" s="29" t="inlineStr">
        <is>
          <t>MEDIUM</t>
        </is>
      </c>
      <c r="AA54" s="29" t="inlineStr">
        <is>
          <t>MEDIUM</t>
        </is>
      </c>
      <c r="AB54" s="29" t="inlineStr">
        <is>
          <t>0.05126917274476802</t>
        </is>
      </c>
      <c r="AC54" s="29" t="inlineStr">
        <is>
          <t>False</t>
        </is>
      </c>
      <c r="AD54" s="29" t="inlineStr">
        <is>
          <t>False</t>
        </is>
      </c>
      <c r="AE54" s="29" t="inlineStr">
        <is>
          <t>valuation_credit_ml_overlay_candidate.csv</t>
        </is>
      </c>
      <c r="AF54" s="29" t="inlineStr">
        <is>
          <t>208개 반도체 reference universe. Valuation Agent가 자체 intake 폴더로 복제해 Peer/ML/대시보드 비교에 사용.</t>
        </is>
      </c>
      <c r="AG54" s="29" t="inlineStr">
        <is>
          <t>TOP_REFERENCE</t>
        </is>
      </c>
      <c r="AH54" s="29" t="inlineStr">
        <is>
          <t>False</t>
        </is>
      </c>
    </row>
    <row r="55" ht="24" customHeight="1">
      <c r="A55" s="24" t="inlineStr">
        <is>
          <t>147</t>
        </is>
      </c>
      <c r="B55" s="24" t="inlineStr">
        <is>
          <t>해당 없음</t>
        </is>
      </c>
      <c r="C55" s="24" t="inlineStr">
        <is>
          <t>퓨릿</t>
        </is>
      </c>
      <c r="D55" s="24" t="inlineStr">
        <is>
          <t>445180</t>
        </is>
      </c>
      <c r="E55" s="24" t="inlineStr">
        <is>
          <t>KOSDAQ</t>
        </is>
      </c>
      <c r="F55" s="24" t="inlineStr">
        <is>
          <t>소재</t>
        </is>
      </c>
      <c r="G55" s="24" t="inlineStr">
        <is>
          <t>소재</t>
        </is>
      </c>
      <c r="H55" s="24" t="inlineStr">
        <is>
          <t>False</t>
        </is>
      </c>
      <c r="I55" s="24" t="inlineStr">
        <is>
          <t>True</t>
        </is>
      </c>
      <c r="J55" s="24" t="inlineStr">
        <is>
          <t>OK_LIMITED_HISTORY_OR_GROWTH_NA</t>
        </is>
      </c>
      <c r="K55" s="24" t="inlineStr">
        <is>
          <t>데이터 사용 가능</t>
        </is>
      </c>
      <c r="L55" s="24" t="inlineStr">
        <is>
          <t>LOW</t>
        </is>
      </c>
      <c r="M55" s="24" t="inlineStr">
        <is>
          <t>LOW</t>
        </is>
      </c>
      <c r="N55" s="24" t="inlineStr">
        <is>
          <t>0.7448717948717948</t>
        </is>
      </c>
      <c r="O55" s="24" t="inlineStr">
        <is>
          <t>ATTRACTIVE</t>
        </is>
      </c>
      <c r="P55" s="24" t="inlineStr">
        <is>
          <t>가치 매력</t>
        </is>
      </c>
      <c r="Q55" s="24" t="inlineStr">
        <is>
          <t>ATTRACTIVE</t>
        </is>
      </c>
      <c r="R55" s="24" t="inlineStr">
        <is>
          <t>0.8817607106455689</t>
        </is>
      </c>
      <c r="S55" s="24" t="inlineStr">
        <is>
          <t>HIGH</t>
        </is>
      </c>
      <c r="T55" s="24" t="inlineStr">
        <is>
          <t>HIGH</t>
        </is>
      </c>
      <c r="U55" s="24" t="inlineStr">
        <is>
          <t>0.0714285714285714</t>
        </is>
      </c>
      <c r="V55" s="24" t="inlineStr">
        <is>
          <t>LOW_RISK</t>
        </is>
      </c>
      <c r="W55" s="24" t="inlineStr">
        <is>
          <t>저위험</t>
        </is>
      </c>
      <c r="X55" s="24" t="inlineStr">
        <is>
          <t>LOW_RISK</t>
        </is>
      </c>
      <c r="Y55" s="24" t="inlineStr">
        <is>
          <t>0.9587686707140917</t>
        </is>
      </c>
      <c r="Z55" s="24" t="inlineStr">
        <is>
          <t>HIGH</t>
        </is>
      </c>
      <c r="AA55" s="24" t="inlineStr">
        <is>
          <t>HIGH</t>
        </is>
      </c>
      <c r="AB55" s="24" t="inlineStr">
        <is>
          <t>0.09055441585311619</t>
        </is>
      </c>
      <c r="AC55" s="24" t="inlineStr">
        <is>
          <t>False</t>
        </is>
      </c>
      <c r="AD55" s="24" t="inlineStr">
        <is>
          <t>True</t>
        </is>
      </c>
      <c r="AE55" s="24" t="inlineStr">
        <is>
          <t>valuation_credit_ml_overlay_candidate.csv</t>
        </is>
      </c>
      <c r="AF55" s="24" t="inlineStr">
        <is>
          <t>208개 반도체 reference universe. Valuation Agent가 자체 intake 폴더로 복제해 Peer/ML/대시보드 비교에 사용.</t>
        </is>
      </c>
      <c r="AG55" s="24" t="inlineStr">
        <is>
          <t>TOP_REFERENCE</t>
        </is>
      </c>
      <c r="AH55" s="24" t="inlineStr">
        <is>
          <t>False</t>
        </is>
      </c>
    </row>
    <row r="56" ht="24" customHeight="1">
      <c r="A56" s="29" t="inlineStr">
        <is>
          <t>47</t>
        </is>
      </c>
      <c r="B56" s="29" t="inlineStr">
        <is>
          <t>해당 없음</t>
        </is>
      </c>
      <c r="C56" s="29" t="inlineStr">
        <is>
          <t>마이크로컨텍솔</t>
        </is>
      </c>
      <c r="D56" s="29" t="inlineStr">
        <is>
          <t>098120</t>
        </is>
      </c>
      <c r="E56" s="29" t="inlineStr">
        <is>
          <t>KOSDAQ</t>
        </is>
      </c>
      <c r="F56" s="29" t="inlineStr">
        <is>
          <t>팹리스/설계</t>
        </is>
      </c>
      <c r="G56" s="29" t="inlineStr">
        <is>
          <t>팹리스/설계</t>
        </is>
      </c>
      <c r="H56" s="29" t="inlineStr">
        <is>
          <t>False</t>
        </is>
      </c>
      <c r="I56" s="29" t="inlineStr">
        <is>
          <t>True</t>
        </is>
      </c>
      <c r="J56" s="29" t="inlineStr">
        <is>
          <t>OK</t>
        </is>
      </c>
      <c r="K56" s="29" t="inlineStr">
        <is>
          <t>데이터 사용 가능</t>
        </is>
      </c>
      <c r="L56" s="29" t="inlineStr">
        <is>
          <t>LOW</t>
        </is>
      </c>
      <c r="M56" s="29" t="inlineStr">
        <is>
          <t>LOW</t>
        </is>
      </c>
      <c r="N56" s="29" t="inlineStr">
        <is>
          <t>0.7383838383838384</t>
        </is>
      </c>
      <c r="O56" s="29" t="inlineStr">
        <is>
          <t>ATTRACTIVE</t>
        </is>
      </c>
      <c r="P56" s="29" t="inlineStr">
        <is>
          <t>가치 매력</t>
        </is>
      </c>
      <c r="Q56" s="29" t="inlineStr">
        <is>
          <t>ATTRACTIVE</t>
        </is>
      </c>
      <c r="R56" s="29" t="inlineStr">
        <is>
          <t>0.8262966149459129</t>
        </is>
      </c>
      <c r="S56" s="29" t="inlineStr">
        <is>
          <t>HIGH</t>
        </is>
      </c>
      <c r="T56" s="29" t="inlineStr">
        <is>
          <t>HIGH</t>
        </is>
      </c>
      <c r="U56" s="29" t="inlineStr">
        <is>
          <t>0.1428571428571428</t>
        </is>
      </c>
      <c r="V56" s="29" t="inlineStr">
        <is>
          <t>LOW_RISK</t>
        </is>
      </c>
      <c r="W56" s="29" t="inlineStr">
        <is>
          <t>저위험</t>
        </is>
      </c>
      <c r="X56" s="29" t="inlineStr">
        <is>
          <t>LOW_RISK</t>
        </is>
      </c>
      <c r="Y56" s="29" t="inlineStr">
        <is>
          <t>0.7491981695245683</t>
        </is>
      </c>
      <c r="Z56" s="29" t="inlineStr">
        <is>
          <t>HIGH</t>
        </is>
      </c>
      <c r="AA56" s="29" t="inlineStr">
        <is>
          <t>HIGH</t>
        </is>
      </c>
      <c r="AB56" s="29" t="inlineStr">
        <is>
          <t>0.08427857084894262</t>
        </is>
      </c>
      <c r="AC56" s="29" t="inlineStr">
        <is>
          <t>False</t>
        </is>
      </c>
      <c r="AD56" s="29" t="inlineStr">
        <is>
          <t>False</t>
        </is>
      </c>
      <c r="AE56" s="29" t="inlineStr">
        <is>
          <t>valuation_credit_ml_overlay_candidate.csv</t>
        </is>
      </c>
      <c r="AF56" s="29" t="inlineStr">
        <is>
          <t>208개 반도체 reference universe. Valuation Agent가 자체 intake 폴더로 복제해 Peer/ML/대시보드 비교에 사용.</t>
        </is>
      </c>
      <c r="AG56" s="29" t="inlineStr">
        <is>
          <t>TOP_REFERENCE</t>
        </is>
      </c>
      <c r="AH56" s="29" t="inlineStr">
        <is>
          <t>False</t>
        </is>
      </c>
    </row>
    <row r="57" ht="24" customHeight="1">
      <c r="A57" s="24" t="inlineStr">
        <is>
          <t>55</t>
        </is>
      </c>
      <c r="B57" s="24" t="inlineStr">
        <is>
          <t>해당 없음</t>
        </is>
      </c>
      <c r="C57" s="24" t="inlineStr">
        <is>
          <t>아이앤씨</t>
        </is>
      </c>
      <c r="D57" s="24" t="inlineStr">
        <is>
          <t>052860</t>
        </is>
      </c>
      <c r="E57" s="24" t="inlineStr">
        <is>
          <t>KOSDAQ</t>
        </is>
      </c>
      <c r="F57" s="24" t="inlineStr">
        <is>
          <t>팹리스/설계</t>
        </is>
      </c>
      <c r="G57" s="24" t="inlineStr">
        <is>
          <t>팹리스/설계</t>
        </is>
      </c>
      <c r="H57" s="24" t="inlineStr">
        <is>
          <t>False</t>
        </is>
      </c>
      <c r="I57" s="24" t="inlineStr">
        <is>
          <t>True</t>
        </is>
      </c>
      <c r="J57" s="24" t="inlineStr">
        <is>
          <t>OK</t>
        </is>
      </c>
      <c r="K57" s="24" t="inlineStr">
        <is>
          <t>데이터 사용 가능</t>
        </is>
      </c>
      <c r="L57" s="24" t="inlineStr">
        <is>
          <t>LOW</t>
        </is>
      </c>
      <c r="M57" s="24" t="inlineStr">
        <is>
          <t>LOW</t>
        </is>
      </c>
      <c r="N57" s="24" t="inlineStr">
        <is>
          <t>0.7325252525252526</t>
        </is>
      </c>
      <c r="O57" s="24" t="inlineStr">
        <is>
          <t>ATTRACTIVE</t>
        </is>
      </c>
      <c r="P57" s="24" t="inlineStr">
        <is>
          <t>가치 매력</t>
        </is>
      </c>
      <c r="Q57" s="24" t="inlineStr">
        <is>
          <t>ATTRACTIVE</t>
        </is>
      </c>
      <c r="R57" s="24" t="inlineStr">
        <is>
          <t>0.9267130449922303</t>
        </is>
      </c>
      <c r="S57" s="24" t="inlineStr">
        <is>
          <t>HIGH</t>
        </is>
      </c>
      <c r="T57" s="24" t="inlineStr">
        <is>
          <t>HIGH</t>
        </is>
      </c>
      <c r="U57" s="24" t="inlineStr">
        <is>
          <t>0.0</t>
        </is>
      </c>
      <c r="V57" s="24" t="inlineStr">
        <is>
          <t>LOW_RISK</t>
        </is>
      </c>
      <c r="W57" s="24" t="inlineStr">
        <is>
          <t>저위험</t>
        </is>
      </c>
      <c r="X57" s="24" t="inlineStr">
        <is>
          <t>LOW_RISK</t>
        </is>
      </c>
      <c r="Y57" s="24" t="inlineStr">
        <is>
          <t>0.8920304728976969</t>
        </is>
      </c>
      <c r="Z57" s="24" t="inlineStr">
        <is>
          <t>HIGH</t>
        </is>
      </c>
      <c r="AA57" s="24" t="inlineStr">
        <is>
          <t>HIGH</t>
        </is>
      </c>
      <c r="AB57" s="24" t="inlineStr">
        <is>
          <t>0.022475117759514655</t>
        </is>
      </c>
      <c r="AC57" s="24" t="inlineStr">
        <is>
          <t>False</t>
        </is>
      </c>
      <c r="AD57" s="24" t="inlineStr">
        <is>
          <t>False</t>
        </is>
      </c>
      <c r="AE57" s="24" t="inlineStr">
        <is>
          <t>valuation_credit_ml_overlay_candidate.csv</t>
        </is>
      </c>
      <c r="AF57" s="24" t="inlineStr">
        <is>
          <t>208개 반도체 reference universe. Valuation Agent가 자체 intake 폴더로 복제해 Peer/ML/대시보드 비교에 사용.</t>
        </is>
      </c>
      <c r="AG57" s="24" t="inlineStr">
        <is>
          <t>TOP_REFERENCE</t>
        </is>
      </c>
      <c r="AH57" s="24" t="inlineStr">
        <is>
          <t>False</t>
        </is>
      </c>
    </row>
    <row r="58" ht="24" customHeight="1">
      <c r="A58" s="29" t="inlineStr">
        <is>
          <t>88</t>
        </is>
      </c>
      <c r="B58" s="29" t="inlineStr">
        <is>
          <t>해당 없음</t>
        </is>
      </c>
      <c r="C58" s="29" t="inlineStr">
        <is>
          <t>비아트론</t>
        </is>
      </c>
      <c r="D58" s="29" t="inlineStr">
        <is>
          <t>141000</t>
        </is>
      </c>
      <c r="E58" s="29" t="inlineStr">
        <is>
          <t>KOSDAQ</t>
        </is>
      </c>
      <c r="F58" s="29" t="inlineStr">
        <is>
          <t>장비</t>
        </is>
      </c>
      <c r="G58" s="29" t="inlineStr">
        <is>
          <t>장비</t>
        </is>
      </c>
      <c r="H58" s="29" t="inlineStr">
        <is>
          <t>False</t>
        </is>
      </c>
      <c r="I58" s="29" t="inlineStr">
        <is>
          <t>True</t>
        </is>
      </c>
      <c r="J58" s="29" t="inlineStr">
        <is>
          <t>OK</t>
        </is>
      </c>
      <c r="K58" s="29" t="inlineStr">
        <is>
          <t>데이터 사용 가능</t>
        </is>
      </c>
      <c r="L58" s="29" t="inlineStr">
        <is>
          <t>LOW</t>
        </is>
      </c>
      <c r="M58" s="29" t="inlineStr">
        <is>
          <t>LOW</t>
        </is>
      </c>
      <c r="N58" s="29" t="inlineStr">
        <is>
          <t>0.7105333333333335</t>
        </is>
      </c>
      <c r="O58" s="29" t="inlineStr">
        <is>
          <t>ATTRACTIVE</t>
        </is>
      </c>
      <c r="P58" s="29" t="inlineStr">
        <is>
          <t>가치 매력</t>
        </is>
      </c>
      <c r="Q58" s="29" t="inlineStr">
        <is>
          <t>ATTRACTIVE</t>
        </is>
      </c>
      <c r="R58" s="29" t="inlineStr">
        <is>
          <t>0.934708213344448</t>
        </is>
      </c>
      <c r="S58" s="29" t="inlineStr">
        <is>
          <t>HIGH</t>
        </is>
      </c>
      <c r="T58" s="29" t="inlineStr">
        <is>
          <t>HIGH</t>
        </is>
      </c>
      <c r="U58" s="29" t="inlineStr">
        <is>
          <t>0.0</t>
        </is>
      </c>
      <c r="V58" s="29" t="inlineStr">
        <is>
          <t>LOW_RISK</t>
        </is>
      </c>
      <c r="W58" s="29" t="inlineStr">
        <is>
          <t>저위험</t>
        </is>
      </c>
      <c r="X58" s="29" t="inlineStr">
        <is>
          <t>LOW_RISK</t>
        </is>
      </c>
      <c r="Y58" s="29" t="inlineStr">
        <is>
          <t>0.9411184099481913</t>
        </is>
      </c>
      <c r="Z58" s="29" t="inlineStr">
        <is>
          <t>HIGH</t>
        </is>
      </c>
      <c r="AA58" s="29" t="inlineStr">
        <is>
          <t>HIGH</t>
        </is>
      </c>
      <c r="AB58" s="29" t="inlineStr">
        <is>
          <t>0.11715633071246634</t>
        </is>
      </c>
      <c r="AC58" s="29" t="inlineStr">
        <is>
          <t>False</t>
        </is>
      </c>
      <c r="AD58" s="29" t="inlineStr">
        <is>
          <t>False</t>
        </is>
      </c>
      <c r="AE58" s="29" t="inlineStr">
        <is>
          <t>valuation_credit_ml_overlay_candidate.csv</t>
        </is>
      </c>
      <c r="AF58" s="29" t="inlineStr">
        <is>
          <t>208개 반도체 reference universe. Valuation Agent가 자체 intake 폴더로 복제해 Peer/ML/대시보드 비교에 사용.</t>
        </is>
      </c>
      <c r="AG58" s="29" t="inlineStr">
        <is>
          <t>TOP_REFERENCE</t>
        </is>
      </c>
      <c r="AH58" s="29" t="inlineStr">
        <is>
          <t>False</t>
        </is>
      </c>
    </row>
    <row r="59" ht="24" customHeight="1">
      <c r="A59" s="24" t="inlineStr">
        <is>
          <t>203</t>
        </is>
      </c>
      <c r="B59" s="24" t="inlineStr">
        <is>
          <t>해당 없음</t>
        </is>
      </c>
      <c r="C59" s="24" t="inlineStr">
        <is>
          <t>인터플렉스</t>
        </is>
      </c>
      <c r="D59" s="24" t="inlineStr">
        <is>
          <t>051370</t>
        </is>
      </c>
      <c r="E59" s="24" t="inlineStr">
        <is>
          <t>KOSDAQ</t>
        </is>
      </c>
      <c r="F59" s="24" t="inlineStr">
        <is>
          <t>부품/기판</t>
        </is>
      </c>
      <c r="G59" s="24" t="inlineStr">
        <is>
          <t>부품/기판</t>
        </is>
      </c>
      <c r="H59" s="24" t="inlineStr">
        <is>
          <t>False</t>
        </is>
      </c>
      <c r="I59" s="24" t="inlineStr">
        <is>
          <t>True</t>
        </is>
      </c>
      <c r="J59" s="24" t="inlineStr">
        <is>
          <t>OK</t>
        </is>
      </c>
      <c r="K59" s="24" t="inlineStr">
        <is>
          <t>데이터 사용 가능</t>
        </is>
      </c>
      <c r="L59" s="24" t="inlineStr">
        <is>
          <t>LOW</t>
        </is>
      </c>
      <c r="M59" s="24" t="inlineStr">
        <is>
          <t>LOW</t>
        </is>
      </c>
      <c r="N59" s="24" t="inlineStr">
        <is>
          <t>0.709047619047619</t>
        </is>
      </c>
      <c r="O59" s="24" t="inlineStr">
        <is>
          <t>FAIR</t>
        </is>
      </c>
      <c r="P59" s="24" t="inlineStr">
        <is>
          <t>FAIR</t>
        </is>
      </c>
      <c r="Q59" s="24" t="inlineStr">
        <is>
          <t>FAIR</t>
        </is>
      </c>
      <c r="R59" s="24" t="inlineStr">
        <is>
          <t>0.904555257888918</t>
        </is>
      </c>
      <c r="S59" s="24" t="inlineStr">
        <is>
          <t>HIGH</t>
        </is>
      </c>
      <c r="T59" s="24" t="inlineStr">
        <is>
          <t>HIGH</t>
        </is>
      </c>
      <c r="U59" s="24" t="inlineStr">
        <is>
          <t>0.0714285714285714</t>
        </is>
      </c>
      <c r="V59" s="24" t="inlineStr">
        <is>
          <t>LOW_RISK</t>
        </is>
      </c>
      <c r="W59" s="24" t="inlineStr">
        <is>
          <t>저위험</t>
        </is>
      </c>
      <c r="X59" s="24" t="inlineStr">
        <is>
          <t>LOW_RISK</t>
        </is>
      </c>
      <c r="Y59" s="24" t="inlineStr">
        <is>
          <t>0.8421993774288782</t>
        </is>
      </c>
      <c r="Z59" s="24" t="inlineStr">
        <is>
          <t>HIGH</t>
        </is>
      </c>
      <c r="AA59" s="24" t="inlineStr">
        <is>
          <t>HIGH</t>
        </is>
      </c>
      <c r="AB59" s="24" t="inlineStr">
        <is>
          <t>0.04875174090091772</t>
        </is>
      </c>
      <c r="AC59" s="24" t="inlineStr">
        <is>
          <t>False</t>
        </is>
      </c>
      <c r="AD59" s="24" t="inlineStr">
        <is>
          <t>False</t>
        </is>
      </c>
      <c r="AE59" s="24" t="inlineStr">
        <is>
          <t>valuation_credit_ml_overlay_candidate.csv</t>
        </is>
      </c>
      <c r="AF59" s="24" t="inlineStr">
        <is>
          <t>208개 반도체 reference universe. Valuation Agent가 자체 intake 폴더로 복제해 Peer/ML/대시보드 비교에 사용.</t>
        </is>
      </c>
      <c r="AG59" s="24" t="inlineStr">
        <is>
          <t>TOP_REFERENCE</t>
        </is>
      </c>
      <c r="AH59" s="24" t="inlineStr">
        <is>
          <t>False</t>
        </is>
      </c>
    </row>
    <row r="60" ht="24" customHeight="1">
      <c r="A60" s="29" t="inlineStr">
        <is>
          <t>12</t>
        </is>
      </c>
      <c r="B60" s="29" t="inlineStr">
        <is>
          <t>해당 없음</t>
        </is>
      </c>
      <c r="C60" s="29" t="inlineStr">
        <is>
          <t>삼성전자</t>
        </is>
      </c>
      <c r="D60" s="29" t="inlineStr">
        <is>
          <t>005930</t>
        </is>
      </c>
      <c r="E60" s="29" t="inlineStr">
        <is>
          <t>KOSPI</t>
        </is>
      </c>
      <c r="F60" s="29" t="inlineStr">
        <is>
          <t>IDM/제조/메모리</t>
        </is>
      </c>
      <c r="G60" s="29" t="inlineStr">
        <is>
          <t>IDM/제조/메모리</t>
        </is>
      </c>
      <c r="H60" s="29" t="inlineStr">
        <is>
          <t>False</t>
        </is>
      </c>
      <c r="I60" s="29" t="inlineStr">
        <is>
          <t>True</t>
        </is>
      </c>
      <c r="J60" s="29" t="inlineStr">
        <is>
          <t>OK</t>
        </is>
      </c>
      <c r="K60" s="29" t="inlineStr">
        <is>
          <t>데이터 사용 가능</t>
        </is>
      </c>
      <c r="L60" s="29" t="inlineStr">
        <is>
          <t>LOW</t>
        </is>
      </c>
      <c r="M60" s="29" t="inlineStr">
        <is>
          <t>LOW</t>
        </is>
      </c>
      <c r="N60" s="29" t="inlineStr">
        <is>
          <t>0.7078333333333333</t>
        </is>
      </c>
      <c r="O60" s="29" t="inlineStr">
        <is>
          <t>ATTRACTIVE</t>
        </is>
      </c>
      <c r="P60" s="29" t="inlineStr">
        <is>
          <t>가치 매력</t>
        </is>
      </c>
      <c r="Q60" s="29" t="inlineStr">
        <is>
          <t>ATTRACTIVE</t>
        </is>
      </c>
      <c r="R60" s="29" t="inlineStr">
        <is>
          <t>0.9371541027950523</t>
        </is>
      </c>
      <c r="S60" s="29" t="inlineStr">
        <is>
          <t>HIGH</t>
        </is>
      </c>
      <c r="T60" s="29" t="inlineStr">
        <is>
          <t>HIGH</t>
        </is>
      </c>
      <c r="U60" s="29" t="inlineStr">
        <is>
          <t>0.0</t>
        </is>
      </c>
      <c r="V60" s="29" t="inlineStr">
        <is>
          <t>LOW_RISK</t>
        </is>
      </c>
      <c r="W60" s="29" t="inlineStr">
        <is>
          <t>저위험</t>
        </is>
      </c>
      <c r="X60" s="29" t="inlineStr">
        <is>
          <t>LOW_RISK</t>
        </is>
      </c>
      <c r="Y60" s="29" t="inlineStr">
        <is>
          <t>0.9760796731366836</t>
        </is>
      </c>
      <c r="Z60" s="29" t="inlineStr">
        <is>
          <t>HIGH</t>
        </is>
      </c>
      <c r="AA60" s="29" t="inlineStr">
        <is>
          <t>HIGH</t>
        </is>
      </c>
      <c r="AB60" s="29" t="inlineStr">
        <is>
          <t>0.4140062883705867</t>
        </is>
      </c>
      <c r="AC60" s="29" t="inlineStr">
        <is>
          <t>True</t>
        </is>
      </c>
      <c r="AD60" s="29" t="inlineStr">
        <is>
          <t>True</t>
        </is>
      </c>
      <c r="AE60" s="29" t="inlineStr">
        <is>
          <t>valuation_credit_ml_overlay_candidate.csv</t>
        </is>
      </c>
      <c r="AF60" s="29" t="inlineStr">
        <is>
          <t>208개 반도체 reference universe. Valuation Agent가 자체 intake 폴더로 복제해 Peer/ML/대시보드 비교에 사용.</t>
        </is>
      </c>
      <c r="AG60" s="29" t="inlineStr">
        <is>
          <t>TOP_REFERENCE</t>
        </is>
      </c>
      <c r="AH60" s="29" t="inlineStr">
        <is>
          <t>False</t>
        </is>
      </c>
    </row>
    <row r="61" ht="24" customHeight="1">
      <c r="A61" s="24" t="inlineStr">
        <is>
          <t>112</t>
        </is>
      </c>
      <c r="B61" s="24" t="inlineStr">
        <is>
          <t>해당 없음</t>
        </is>
      </c>
      <c r="C61" s="24" t="inlineStr">
        <is>
          <t>케이씨</t>
        </is>
      </c>
      <c r="D61" s="24" t="inlineStr">
        <is>
          <t>029460</t>
        </is>
      </c>
      <c r="E61" s="24" t="inlineStr">
        <is>
          <t>KOSPI</t>
        </is>
      </c>
      <c r="F61" s="24" t="inlineStr">
        <is>
          <t>장비</t>
        </is>
      </c>
      <c r="G61" s="24" t="inlineStr">
        <is>
          <t>장비</t>
        </is>
      </c>
      <c r="H61" s="24" t="inlineStr">
        <is>
          <t>False</t>
        </is>
      </c>
      <c r="I61" s="24" t="inlineStr">
        <is>
          <t>True</t>
        </is>
      </c>
      <c r="J61" s="24" t="inlineStr">
        <is>
          <t>OK</t>
        </is>
      </c>
      <c r="K61" s="24" t="inlineStr">
        <is>
          <t>데이터 사용 가능</t>
        </is>
      </c>
      <c r="L61" s="24" t="inlineStr">
        <is>
          <t>LOW</t>
        </is>
      </c>
      <c r="M61" s="24" t="inlineStr">
        <is>
          <t>LOW</t>
        </is>
      </c>
      <c r="N61" s="24" t="inlineStr">
        <is>
          <t>0.7065333333333332</t>
        </is>
      </c>
      <c r="O61" s="24" t="inlineStr">
        <is>
          <t>ATTRACTIVE</t>
        </is>
      </c>
      <c r="P61" s="24" t="inlineStr">
        <is>
          <t>가치 매력</t>
        </is>
      </c>
      <c r="Q61" s="24" t="inlineStr">
        <is>
          <t>ATTRACTIVE</t>
        </is>
      </c>
      <c r="R61" s="24" t="inlineStr">
        <is>
          <t>0.9151708177015135</t>
        </is>
      </c>
      <c r="S61" s="24" t="inlineStr">
        <is>
          <t>HIGH</t>
        </is>
      </c>
      <c r="T61" s="24" t="inlineStr">
        <is>
          <t>HIGH</t>
        </is>
      </c>
      <c r="U61" s="24" t="inlineStr">
        <is>
          <t>0.0</t>
        </is>
      </c>
      <c r="V61" s="24" t="inlineStr">
        <is>
          <t>LOW_RISK</t>
        </is>
      </c>
      <c r="W61" s="24" t="inlineStr">
        <is>
          <t>저위험</t>
        </is>
      </c>
      <c r="X61" s="24" t="inlineStr">
        <is>
          <t>LOW_RISK</t>
        </is>
      </c>
      <c r="Y61" s="24" t="inlineStr">
        <is>
          <t>0.883115363364621</t>
        </is>
      </c>
      <c r="Z61" s="24" t="inlineStr">
        <is>
          <t>HIGH</t>
        </is>
      </c>
      <c r="AA61" s="24" t="inlineStr">
        <is>
          <t>HIGH</t>
        </is>
      </c>
      <c r="AB61" s="24" t="inlineStr">
        <is>
          <t>0.07036651203602409</t>
        </is>
      </c>
      <c r="AC61" s="24" t="inlineStr">
        <is>
          <t>False</t>
        </is>
      </c>
      <c r="AD61" s="24" t="inlineStr">
        <is>
          <t>False</t>
        </is>
      </c>
      <c r="AE61" s="24" t="inlineStr">
        <is>
          <t>valuation_credit_ml_overlay_candidate.csv</t>
        </is>
      </c>
      <c r="AF61" s="24" t="inlineStr">
        <is>
          <t>208개 반도체 reference universe. Valuation Agent가 자체 intake 폴더로 복제해 Peer/ML/대시보드 비교에 사용.</t>
        </is>
      </c>
      <c r="AG61" s="24" t="inlineStr">
        <is>
          <t>TOP_REFERENCE</t>
        </is>
      </c>
      <c r="AH61" s="24" t="inlineStr">
        <is>
          <t>False</t>
        </is>
      </c>
    </row>
    <row r="62" ht="24" customHeight="1">
      <c r="A62" s="29" t="inlineStr">
        <is>
          <t>141</t>
        </is>
      </c>
      <c r="B62" s="29" t="inlineStr">
        <is>
          <t>해당 없음</t>
        </is>
      </c>
      <c r="C62" s="29" t="inlineStr">
        <is>
          <t>이엔에프테크놀로지</t>
        </is>
      </c>
      <c r="D62" s="29" t="inlineStr">
        <is>
          <t>102710</t>
        </is>
      </c>
      <c r="E62" s="29" t="inlineStr">
        <is>
          <t>KOSDAQ</t>
        </is>
      </c>
      <c r="F62" s="29" t="inlineStr">
        <is>
          <t>소재</t>
        </is>
      </c>
      <c r="G62" s="29" t="inlineStr">
        <is>
          <t>소재</t>
        </is>
      </c>
      <c r="H62" s="29" t="inlineStr">
        <is>
          <t>False</t>
        </is>
      </c>
      <c r="I62" s="29" t="inlineStr">
        <is>
          <t>True</t>
        </is>
      </c>
      <c r="J62" s="29" t="inlineStr">
        <is>
          <t>OK</t>
        </is>
      </c>
      <c r="K62" s="29" t="inlineStr">
        <is>
          <t>데이터 사용 가능</t>
        </is>
      </c>
      <c r="L62" s="29" t="inlineStr">
        <is>
          <t>LOW</t>
        </is>
      </c>
      <c r="M62" s="29" t="inlineStr">
        <is>
          <t>LOW</t>
        </is>
      </c>
      <c r="N62" s="29" t="inlineStr">
        <is>
          <t>0.7061538461538462</t>
        </is>
      </c>
      <c r="O62" s="29" t="inlineStr">
        <is>
          <t>ATTRACTIVE</t>
        </is>
      </c>
      <c r="P62" s="29" t="inlineStr">
        <is>
          <t>가치 매력</t>
        </is>
      </c>
      <c r="Q62" s="29" t="inlineStr">
        <is>
          <t>ATTRACTIVE</t>
        </is>
      </c>
      <c r="R62" s="29" t="inlineStr">
        <is>
          <t>0.9371627732042065</t>
        </is>
      </c>
      <c r="S62" s="29" t="inlineStr">
        <is>
          <t>HIGH</t>
        </is>
      </c>
      <c r="T62" s="29" t="inlineStr">
        <is>
          <t>HIGH</t>
        </is>
      </c>
      <c r="U62" s="29" t="inlineStr">
        <is>
          <t>0.0</t>
        </is>
      </c>
      <c r="V62" s="29" t="inlineStr">
        <is>
          <t>LOW_RISK</t>
        </is>
      </c>
      <c r="W62" s="29" t="inlineStr">
        <is>
          <t>저위험</t>
        </is>
      </c>
      <c r="X62" s="29" t="inlineStr">
        <is>
          <t>LOW_RISK</t>
        </is>
      </c>
      <c r="Y62" s="29" t="inlineStr">
        <is>
          <t>0.8730332003988217</t>
        </is>
      </c>
      <c r="Z62" s="29" t="inlineStr">
        <is>
          <t>HIGH</t>
        </is>
      </c>
      <c r="AA62" s="29" t="inlineStr">
        <is>
          <t>HIGH</t>
        </is>
      </c>
      <c r="AB62" s="29" t="inlineStr">
        <is>
          <t>0.01762692878431683</t>
        </is>
      </c>
      <c r="AC62" s="29" t="inlineStr">
        <is>
          <t>False</t>
        </is>
      </c>
      <c r="AD62" s="29" t="inlineStr">
        <is>
          <t>False</t>
        </is>
      </c>
      <c r="AE62" s="29" t="inlineStr">
        <is>
          <t>valuation_credit_ml_overlay_candidate.csv</t>
        </is>
      </c>
      <c r="AF62" s="29" t="inlineStr">
        <is>
          <t>208개 반도체 reference universe. Valuation Agent가 자체 intake 폴더로 복제해 Peer/ML/대시보드 비교에 사용.</t>
        </is>
      </c>
      <c r="AG62" s="29" t="inlineStr">
        <is>
          <t>TOP_REFERENCE</t>
        </is>
      </c>
      <c r="AH62" s="29" t="inlineStr">
        <is>
          <t>False</t>
        </is>
      </c>
    </row>
    <row r="63" ht="24" customHeight="1"/>
    <row r="64" ht="24" customHeight="1"/>
    <row r="65" ht="24" customHeight="1">
      <c r="A65" s="22" t="inlineStr">
        <is>
          <t>208개 전체 Universe</t>
        </is>
      </c>
    </row>
    <row r="66" ht="24" customHeight="1">
      <c r="A66" s="25" t="inlineStr">
        <is>
          <t>Universe 순번</t>
        </is>
      </c>
      <c r="B66" s="25" t="inlineStr">
        <is>
          <t>기업코드</t>
        </is>
      </c>
      <c r="C66" s="25" t="inlineStr">
        <is>
          <t>기업명</t>
        </is>
      </c>
      <c r="D66" s="25" t="inlineStr">
        <is>
          <t>종목코드</t>
        </is>
      </c>
      <c r="E66" s="25" t="inlineStr">
        <is>
          <t>시장</t>
        </is>
      </c>
      <c r="F66" s="25" t="inlineStr">
        <is>
          <t>피어 그룹</t>
        </is>
      </c>
      <c r="G66" s="25" t="inlineStr">
        <is>
          <t>반도체 세부군</t>
        </is>
      </c>
      <c r="H66" s="25" t="inlineStr">
        <is>
          <t>5개 핵심기업</t>
        </is>
      </c>
      <c r="I66" s="25" t="inlineStr">
        <is>
          <t>market_data_available</t>
        </is>
      </c>
      <c r="J66" s="25" t="inlineStr">
        <is>
          <t>데이터 품질</t>
        </is>
      </c>
      <c r="K66" s="25" t="inlineStr">
        <is>
          <t>데이터 품질 해석</t>
        </is>
      </c>
      <c r="L66" s="25" t="inlineStr">
        <is>
          <t>수동검토 우선순위</t>
        </is>
      </c>
      <c r="M66" s="25" t="inlineStr">
        <is>
          <t>수동검토 우선순위 해석</t>
        </is>
      </c>
      <c r="N66" s="25" t="inlineStr">
        <is>
          <t>Valuation Proxy 점수</t>
        </is>
      </c>
      <c r="O66" s="25" t="inlineStr">
        <is>
          <t>Valuation Proxy 라벨</t>
        </is>
      </c>
      <c r="P66" s="25" t="inlineStr">
        <is>
          <t>가치 라벨</t>
        </is>
      </c>
      <c r="Q66" s="25" t="inlineStr">
        <is>
          <t>valuation_pred_label</t>
        </is>
      </c>
      <c r="R66" s="25" t="inlineStr">
        <is>
          <t>Valuation 신뢰도</t>
        </is>
      </c>
      <c r="S66" s="25" t="inlineStr">
        <is>
          <t>valuation_confidence_bucket</t>
        </is>
      </c>
      <c r="T66" s="25" t="inlineStr">
        <is>
          <t>valuation_confidence_bucket_kr</t>
        </is>
      </c>
      <c r="U66" s="25" t="inlineStr">
        <is>
          <t>Credit Risk 점수</t>
        </is>
      </c>
      <c r="V66" s="25" t="inlineStr">
        <is>
          <t>Credit Risk 라벨</t>
        </is>
      </c>
      <c r="W66" s="25" t="inlineStr">
        <is>
          <t>신용위험 라벨</t>
        </is>
      </c>
      <c r="X66" s="25" t="inlineStr">
        <is>
          <t>credit_pred_label</t>
        </is>
      </c>
      <c r="Y66" s="25" t="inlineStr">
        <is>
          <t>Credit 신뢰도</t>
        </is>
      </c>
      <c r="Z66" s="25" t="inlineStr">
        <is>
          <t>credit_confidence_bucket</t>
        </is>
      </c>
      <c r="AA66" s="25" t="inlineStr">
        <is>
          <t>credit_confidence_bucket_kr</t>
        </is>
      </c>
      <c r="AB66" s="25" t="inlineStr">
        <is>
          <t>Credit 이상치 점수</t>
        </is>
      </c>
      <c r="AC66" s="25" t="inlineStr">
        <is>
          <t>credit_anomaly_flag_top15pct</t>
        </is>
      </c>
      <c r="AD66" s="25" t="inlineStr">
        <is>
          <t>auditor_requires_human_review</t>
        </is>
      </c>
      <c r="AE66" s="25" t="inlineStr">
        <is>
          <t>출처 유형</t>
        </is>
      </c>
      <c r="AF66" s="25" t="inlineStr">
        <is>
          <t>출처 설명</t>
        </is>
      </c>
    </row>
    <row r="67" ht="24" customHeight="1">
      <c r="A67" s="24" t="inlineStr">
        <is>
          <t>10</t>
        </is>
      </c>
      <c r="B67" s="24" t="inlineStr">
        <is>
          <t>해당 없음</t>
        </is>
      </c>
      <c r="C67" s="24" t="inlineStr">
        <is>
          <t>미코</t>
        </is>
      </c>
      <c r="D67" s="24" t="inlineStr">
        <is>
          <t>059090</t>
        </is>
      </c>
      <c r="E67" s="24" t="inlineStr">
        <is>
          <t>KOSDAQ</t>
        </is>
      </c>
      <c r="F67" s="24" t="inlineStr">
        <is>
          <t>IDM/제조/메모리</t>
        </is>
      </c>
      <c r="G67" s="24" t="inlineStr">
        <is>
          <t>IDM/제조/메모리</t>
        </is>
      </c>
      <c r="H67" s="24" t="inlineStr">
        <is>
          <t>False</t>
        </is>
      </c>
      <c r="I67" s="24" t="inlineStr">
        <is>
          <t>True</t>
        </is>
      </c>
      <c r="J67" s="24" t="inlineStr">
        <is>
          <t>OK</t>
        </is>
      </c>
      <c r="K67" s="24" t="inlineStr">
        <is>
          <t>데이터 사용 가능</t>
        </is>
      </c>
      <c r="L67" s="24" t="inlineStr">
        <is>
          <t>LOW</t>
        </is>
      </c>
      <c r="M67" s="24" t="inlineStr">
        <is>
          <t>LOW</t>
        </is>
      </c>
      <c r="N67" s="24" t="inlineStr">
        <is>
          <t>0.7733333333333334</t>
        </is>
      </c>
      <c r="O67" s="24" t="inlineStr">
        <is>
          <t>FAIR</t>
        </is>
      </c>
      <c r="P67" s="24" t="inlineStr">
        <is>
          <t>FAIR</t>
        </is>
      </c>
      <c r="Q67" s="24" t="inlineStr">
        <is>
          <t>FAIR</t>
        </is>
      </c>
      <c r="R67" s="24" t="inlineStr">
        <is>
          <t>0.9066669659525092</t>
        </is>
      </c>
      <c r="S67" s="24" t="inlineStr">
        <is>
          <t>HIGH</t>
        </is>
      </c>
      <c r="T67" s="24" t="inlineStr">
        <is>
          <t>HIGH</t>
        </is>
      </c>
      <c r="U67" s="24" t="inlineStr">
        <is>
          <t>0.2142857142857142</t>
        </is>
      </c>
      <c r="V67" s="24" t="inlineStr">
        <is>
          <t>MEDIUM_RISK</t>
        </is>
      </c>
      <c r="W67" s="24" t="inlineStr">
        <is>
          <t>중위험</t>
        </is>
      </c>
      <c r="X67" s="24" t="inlineStr">
        <is>
          <t>MEDIUM_RISK</t>
        </is>
      </c>
      <c r="Y67" s="24" t="inlineStr">
        <is>
          <t>0.6769145960065608</t>
        </is>
      </c>
      <c r="Z67" s="24" t="inlineStr">
        <is>
          <t>MEDIUM</t>
        </is>
      </c>
      <c r="AA67" s="24" t="inlineStr">
        <is>
          <t>MEDIUM</t>
        </is>
      </c>
      <c r="AB67" s="24" t="inlineStr">
        <is>
          <t>0.10646038380774528</t>
        </is>
      </c>
      <c r="AC67" s="24" t="inlineStr">
        <is>
          <t>False</t>
        </is>
      </c>
      <c r="AD67" s="24" t="inlineStr">
        <is>
          <t>False</t>
        </is>
      </c>
      <c r="AE67" s="24" t="inlineStr">
        <is>
          <t>valuation_credit_ml_overlay_candidate.csv</t>
        </is>
      </c>
      <c r="AF67" s="24" t="inlineStr">
        <is>
          <t>208개 반도체 reference universe. Valuation Agent가 자체 intake 폴더로 복제해 Peer/ML/대시보드 비교에 사용.</t>
        </is>
      </c>
    </row>
    <row r="68" ht="24" customHeight="1">
      <c r="A68" s="29" t="inlineStr">
        <is>
          <t>22</t>
        </is>
      </c>
      <c r="B68" s="29" t="inlineStr">
        <is>
          <t>해당 없음</t>
        </is>
      </c>
      <c r="C68" s="29" t="inlineStr">
        <is>
          <t>엘디티</t>
        </is>
      </c>
      <c r="D68" s="29" t="inlineStr">
        <is>
          <t>096870</t>
        </is>
      </c>
      <c r="E68" s="29" t="inlineStr">
        <is>
          <t>KOSDAQ</t>
        </is>
      </c>
      <c r="F68" s="29" t="inlineStr">
        <is>
          <t>IDM/제조/메모리</t>
        </is>
      </c>
      <c r="G68" s="29" t="inlineStr">
        <is>
          <t>IDM/제조/메모리</t>
        </is>
      </c>
      <c r="H68" s="29" t="inlineStr">
        <is>
          <t>False</t>
        </is>
      </c>
      <c r="I68" s="29" t="inlineStr">
        <is>
          <t>True</t>
        </is>
      </c>
      <c r="J68" s="29" t="inlineStr">
        <is>
          <t>OK</t>
        </is>
      </c>
      <c r="K68" s="29" t="inlineStr">
        <is>
          <t>데이터 사용 가능</t>
        </is>
      </c>
      <c r="L68" s="29" t="inlineStr">
        <is>
          <t>LOW</t>
        </is>
      </c>
      <c r="M68" s="29" t="inlineStr">
        <is>
          <t>LOW</t>
        </is>
      </c>
      <c r="N68" s="29" t="inlineStr">
        <is>
          <t>0.7518333333333332</t>
        </is>
      </c>
      <c r="O68" s="29" t="inlineStr">
        <is>
          <t>ATTRACTIVE</t>
        </is>
      </c>
      <c r="P68" s="29" t="inlineStr">
        <is>
          <t>가치 매력</t>
        </is>
      </c>
      <c r="Q68" s="29" t="inlineStr">
        <is>
          <t>ATTRACTIVE</t>
        </is>
      </c>
      <c r="R68" s="29" t="inlineStr">
        <is>
          <t>0.8817908899004964</t>
        </is>
      </c>
      <c r="S68" s="29" t="inlineStr">
        <is>
          <t>HIGH</t>
        </is>
      </c>
      <c r="T68" s="29" t="inlineStr">
        <is>
          <t>HIGH</t>
        </is>
      </c>
      <c r="U68" s="29" t="inlineStr">
        <is>
          <t>0.0714285714285714</t>
        </is>
      </c>
      <c r="V68" s="29" t="inlineStr">
        <is>
          <t>LOW_RISK</t>
        </is>
      </c>
      <c r="W68" s="29" t="inlineStr">
        <is>
          <t>저위험</t>
        </is>
      </c>
      <c r="X68" s="29" t="inlineStr">
        <is>
          <t>LOW_RISK</t>
        </is>
      </c>
      <c r="Y68" s="29" t="inlineStr">
        <is>
          <t>0.8068970516192283</t>
        </is>
      </c>
      <c r="Z68" s="29" t="inlineStr">
        <is>
          <t>HIGH</t>
        </is>
      </c>
      <c r="AA68" s="29" t="inlineStr">
        <is>
          <t>HIGH</t>
        </is>
      </c>
      <c r="AB68" s="29" t="inlineStr">
        <is>
          <t>0.2312715560027526</t>
        </is>
      </c>
      <c r="AC68" s="29" t="inlineStr">
        <is>
          <t>False</t>
        </is>
      </c>
      <c r="AD68" s="29" t="inlineStr">
        <is>
          <t>False</t>
        </is>
      </c>
      <c r="AE68" s="29" t="inlineStr">
        <is>
          <t>valuation_credit_ml_overlay_candidate.csv</t>
        </is>
      </c>
      <c r="AF68" s="29" t="inlineStr">
        <is>
          <t>208개 반도체 reference universe. Valuation Agent가 자체 intake 폴더로 복제해 Peer/ML/대시보드 비교에 사용.</t>
        </is>
      </c>
    </row>
    <row r="69" ht="24" customHeight="1">
      <c r="A69" s="24" t="inlineStr">
        <is>
          <t>9</t>
        </is>
      </c>
      <c r="B69" s="24" t="inlineStr">
        <is>
          <t>해당 없음</t>
        </is>
      </c>
      <c r="C69" s="24" t="inlineStr">
        <is>
          <t>메카로</t>
        </is>
      </c>
      <c r="D69" s="24" t="inlineStr">
        <is>
          <t>241770</t>
        </is>
      </c>
      <c r="E69" s="24" t="inlineStr">
        <is>
          <t>KOSDAQ</t>
        </is>
      </c>
      <c r="F69" s="24" t="inlineStr">
        <is>
          <t>IDM/제조/메모리</t>
        </is>
      </c>
      <c r="G69" s="24" t="inlineStr">
        <is>
          <t>IDM/제조/메모리</t>
        </is>
      </c>
      <c r="H69" s="24" t="inlineStr">
        <is>
          <t>False</t>
        </is>
      </c>
      <c r="I69" s="24" t="inlineStr">
        <is>
          <t>True</t>
        </is>
      </c>
      <c r="J69" s="24" t="inlineStr">
        <is>
          <t>OK</t>
        </is>
      </c>
      <c r="K69" s="24" t="inlineStr">
        <is>
          <t>데이터 사용 가능</t>
        </is>
      </c>
      <c r="L69" s="24" t="inlineStr">
        <is>
          <t>LOW</t>
        </is>
      </c>
      <c r="M69" s="24" t="inlineStr">
        <is>
          <t>LOW</t>
        </is>
      </c>
      <c r="N69" s="24" t="inlineStr">
        <is>
          <t>0.7476666666666667</t>
        </is>
      </c>
      <c r="O69" s="24" t="inlineStr">
        <is>
          <t>ATTRACTIVE</t>
        </is>
      </c>
      <c r="P69" s="24" t="inlineStr">
        <is>
          <t>가치 매력</t>
        </is>
      </c>
      <c r="Q69" s="24" t="inlineStr">
        <is>
          <t>ATTRACTIVE</t>
        </is>
      </c>
      <c r="R69" s="24" t="inlineStr">
        <is>
          <t>0.9154158498128573</t>
        </is>
      </c>
      <c r="S69" s="24" t="inlineStr">
        <is>
          <t>HIGH</t>
        </is>
      </c>
      <c r="T69" s="24" t="inlineStr">
        <is>
          <t>HIGH</t>
        </is>
      </c>
      <c r="U69" s="24" t="inlineStr">
        <is>
          <t>0.0</t>
        </is>
      </c>
      <c r="V69" s="24" t="inlineStr">
        <is>
          <t>LOW_RISK</t>
        </is>
      </c>
      <c r="W69" s="24" t="inlineStr">
        <is>
          <t>저위험</t>
        </is>
      </c>
      <c r="X69" s="24" t="inlineStr">
        <is>
          <t>LOW_RISK</t>
        </is>
      </c>
      <c r="Y69" s="24" t="inlineStr">
        <is>
          <t>0.9196609311939408</t>
        </is>
      </c>
      <c r="Z69" s="24" t="inlineStr">
        <is>
          <t>HIGH</t>
        </is>
      </c>
      <c r="AA69" s="24" t="inlineStr">
        <is>
          <t>HIGH</t>
        </is>
      </c>
      <c r="AB69" s="24" t="inlineStr">
        <is>
          <t>0.12775877727770685</t>
        </is>
      </c>
      <c r="AC69" s="24" t="inlineStr">
        <is>
          <t>False</t>
        </is>
      </c>
      <c r="AD69" s="24" t="inlineStr">
        <is>
          <t>False</t>
        </is>
      </c>
      <c r="AE69" s="24" t="inlineStr">
        <is>
          <t>valuation_credit_ml_overlay_candidate.csv</t>
        </is>
      </c>
      <c r="AF69" s="24" t="inlineStr">
        <is>
          <t>208개 반도체 reference universe. Valuation Agent가 자체 intake 폴더로 복제해 Peer/ML/대시보드 비교에 사용.</t>
        </is>
      </c>
    </row>
    <row r="70" ht="24" customHeight="1">
      <c r="A70" s="29" t="inlineStr">
        <is>
          <t>12</t>
        </is>
      </c>
      <c r="B70" s="29" t="inlineStr">
        <is>
          <t>해당 없음</t>
        </is>
      </c>
      <c r="C70" s="29" t="inlineStr">
        <is>
          <t>삼성전자</t>
        </is>
      </c>
      <c r="D70" s="29" t="inlineStr">
        <is>
          <t>005930</t>
        </is>
      </c>
      <c r="E70" s="29" t="inlineStr">
        <is>
          <t>KOSPI</t>
        </is>
      </c>
      <c r="F70" s="29" t="inlineStr">
        <is>
          <t>IDM/제조/메모리</t>
        </is>
      </c>
      <c r="G70" s="29" t="inlineStr">
        <is>
          <t>IDM/제조/메모리</t>
        </is>
      </c>
      <c r="H70" s="29" t="inlineStr">
        <is>
          <t>False</t>
        </is>
      </c>
      <c r="I70" s="29" t="inlineStr">
        <is>
          <t>True</t>
        </is>
      </c>
      <c r="J70" s="29" t="inlineStr">
        <is>
          <t>OK</t>
        </is>
      </c>
      <c r="K70" s="29" t="inlineStr">
        <is>
          <t>데이터 사용 가능</t>
        </is>
      </c>
      <c r="L70" s="29" t="inlineStr">
        <is>
          <t>LOW</t>
        </is>
      </c>
      <c r="M70" s="29" t="inlineStr">
        <is>
          <t>LOW</t>
        </is>
      </c>
      <c r="N70" s="29" t="inlineStr">
        <is>
          <t>0.7078333333333333</t>
        </is>
      </c>
      <c r="O70" s="29" t="inlineStr">
        <is>
          <t>ATTRACTIVE</t>
        </is>
      </c>
      <c r="P70" s="29" t="inlineStr">
        <is>
          <t>가치 매력</t>
        </is>
      </c>
      <c r="Q70" s="29" t="inlineStr">
        <is>
          <t>ATTRACTIVE</t>
        </is>
      </c>
      <c r="R70" s="29" t="inlineStr">
        <is>
          <t>0.9371541027950523</t>
        </is>
      </c>
      <c r="S70" s="29" t="inlineStr">
        <is>
          <t>HIGH</t>
        </is>
      </c>
      <c r="T70" s="29" t="inlineStr">
        <is>
          <t>HIGH</t>
        </is>
      </c>
      <c r="U70" s="29" t="inlineStr">
        <is>
          <t>0.0</t>
        </is>
      </c>
      <c r="V70" s="29" t="inlineStr">
        <is>
          <t>LOW_RISK</t>
        </is>
      </c>
      <c r="W70" s="29" t="inlineStr">
        <is>
          <t>저위험</t>
        </is>
      </c>
      <c r="X70" s="29" t="inlineStr">
        <is>
          <t>LOW_RISK</t>
        </is>
      </c>
      <c r="Y70" s="29" t="inlineStr">
        <is>
          <t>0.9760796731366836</t>
        </is>
      </c>
      <c r="Z70" s="29" t="inlineStr">
        <is>
          <t>HIGH</t>
        </is>
      </c>
      <c r="AA70" s="29" t="inlineStr">
        <is>
          <t>HIGH</t>
        </is>
      </c>
      <c r="AB70" s="29" t="inlineStr">
        <is>
          <t>0.4140062883705867</t>
        </is>
      </c>
      <c r="AC70" s="29" t="inlineStr">
        <is>
          <t>True</t>
        </is>
      </c>
      <c r="AD70" s="29" t="inlineStr">
        <is>
          <t>True</t>
        </is>
      </c>
      <c r="AE70" s="29" t="inlineStr">
        <is>
          <t>valuation_credit_ml_overlay_candidate.csv</t>
        </is>
      </c>
      <c r="AF70" s="29" t="inlineStr">
        <is>
          <t>208개 반도체 reference universe. Valuation Agent가 자체 intake 폴더로 복제해 Peer/ML/대시보드 비교에 사용.</t>
        </is>
      </c>
    </row>
    <row r="71" ht="24" customHeight="1">
      <c r="A71" s="24" t="inlineStr">
        <is>
          <t>4</t>
        </is>
      </c>
      <c r="B71" s="24" t="inlineStr">
        <is>
          <t>해당 없음</t>
        </is>
      </c>
      <c r="C71" s="24" t="inlineStr">
        <is>
          <t>SK하이닉스</t>
        </is>
      </c>
      <c r="D71" s="24" t="inlineStr">
        <is>
          <t>000660</t>
        </is>
      </c>
      <c r="E71" s="24" t="inlineStr">
        <is>
          <t>KOSPI</t>
        </is>
      </c>
      <c r="F71" s="24" t="inlineStr">
        <is>
          <t>IDM/제조/메모리</t>
        </is>
      </c>
      <c r="G71" s="24" t="inlineStr">
        <is>
          <t>IDM/제조/메모리</t>
        </is>
      </c>
      <c r="H71" s="24" t="inlineStr">
        <is>
          <t>False</t>
        </is>
      </c>
      <c r="I71" s="24" t="inlineStr">
        <is>
          <t>True</t>
        </is>
      </c>
      <c r="J71" s="24" t="inlineStr">
        <is>
          <t>OK</t>
        </is>
      </c>
      <c r="K71" s="24" t="inlineStr">
        <is>
          <t>데이터 사용 가능</t>
        </is>
      </c>
      <c r="L71" s="24" t="inlineStr">
        <is>
          <t>LOW</t>
        </is>
      </c>
      <c r="M71" s="24" t="inlineStr">
        <is>
          <t>LOW</t>
        </is>
      </c>
      <c r="N71" s="24" t="inlineStr">
        <is>
          <t>0.6933333333333334</t>
        </is>
      </c>
      <c r="O71" s="24" t="inlineStr">
        <is>
          <t>ATTRACTIVE</t>
        </is>
      </c>
      <c r="P71" s="24" t="inlineStr">
        <is>
          <t>가치 매력</t>
        </is>
      </c>
      <c r="Q71" s="24" t="inlineStr">
        <is>
          <t>ATTRACTIVE</t>
        </is>
      </c>
      <c r="R71" s="24" t="inlineStr">
        <is>
          <t>0.8582250965188642</t>
        </is>
      </c>
      <c r="S71" s="24" t="inlineStr">
        <is>
          <t>HIGH</t>
        </is>
      </c>
      <c r="T71" s="24" t="inlineStr">
        <is>
          <t>HIGH</t>
        </is>
      </c>
      <c r="U71" s="24" t="inlineStr">
        <is>
          <t>0.0</t>
        </is>
      </c>
      <c r="V71" s="24" t="inlineStr">
        <is>
          <t>LOW_RISK</t>
        </is>
      </c>
      <c r="W71" s="24" t="inlineStr">
        <is>
          <t>저위험</t>
        </is>
      </c>
      <c r="X71" s="24" t="inlineStr">
        <is>
          <t>LOW_RISK</t>
        </is>
      </c>
      <c r="Y71" s="24" t="inlineStr">
        <is>
          <t>0.9246810687108324</t>
        </is>
      </c>
      <c r="Z71" s="24" t="inlineStr">
        <is>
          <t>HIGH</t>
        </is>
      </c>
      <c r="AA71" s="24" t="inlineStr">
        <is>
          <t>HIGH</t>
        </is>
      </c>
      <c r="AB71" s="24" t="inlineStr">
        <is>
          <t>0.4530741670429333</t>
        </is>
      </c>
      <c r="AC71" s="24" t="inlineStr">
        <is>
          <t>True</t>
        </is>
      </c>
      <c r="AD71" s="24" t="inlineStr">
        <is>
          <t>True</t>
        </is>
      </c>
      <c r="AE71" s="24" t="inlineStr">
        <is>
          <t>valuation_credit_ml_overlay_candidate.csv</t>
        </is>
      </c>
      <c r="AF71" s="24" t="inlineStr">
        <is>
          <t>208개 반도체 reference universe. Valuation Agent가 자체 intake 폴더로 복제해 Peer/ML/대시보드 비교에 사용.</t>
        </is>
      </c>
    </row>
    <row r="72" ht="24" customHeight="1">
      <c r="A72" s="29" t="inlineStr">
        <is>
          <t>32</t>
        </is>
      </c>
      <c r="B72" s="29" t="inlineStr">
        <is>
          <t>해당 없음</t>
        </is>
      </c>
      <c r="C72" s="29" t="inlineStr">
        <is>
          <t>케이엔제이</t>
        </is>
      </c>
      <c r="D72" s="29" t="inlineStr">
        <is>
          <t>272110</t>
        </is>
      </c>
      <c r="E72" s="29" t="inlineStr">
        <is>
          <t>KOSDAQ</t>
        </is>
      </c>
      <c r="F72" s="29" t="inlineStr">
        <is>
          <t>IDM/제조/메모리</t>
        </is>
      </c>
      <c r="G72" s="29" t="inlineStr">
        <is>
          <t>IDM/제조/메모리</t>
        </is>
      </c>
      <c r="H72" s="29" t="inlineStr">
        <is>
          <t>False</t>
        </is>
      </c>
      <c r="I72" s="29" t="inlineStr">
        <is>
          <t>True</t>
        </is>
      </c>
      <c r="J72" s="29" t="inlineStr">
        <is>
          <t>OK</t>
        </is>
      </c>
      <c r="K72" s="29" t="inlineStr">
        <is>
          <t>데이터 사용 가능</t>
        </is>
      </c>
      <c r="L72" s="29" t="inlineStr">
        <is>
          <t>LOW</t>
        </is>
      </c>
      <c r="M72" s="29" t="inlineStr">
        <is>
          <t>LOW</t>
        </is>
      </c>
      <c r="N72" s="29" t="inlineStr">
        <is>
          <t>0.69</t>
        </is>
      </c>
      <c r="O72" s="29" t="inlineStr">
        <is>
          <t>FAIR</t>
        </is>
      </c>
      <c r="P72" s="29" t="inlineStr">
        <is>
          <t>FAIR</t>
        </is>
      </c>
      <c r="Q72" s="29" t="inlineStr">
        <is>
          <t>FAIR</t>
        </is>
      </c>
      <c r="R72" s="29" t="inlineStr">
        <is>
          <t>0.8941431334693103</t>
        </is>
      </c>
      <c r="S72" s="29" t="inlineStr">
        <is>
          <t>HIGH</t>
        </is>
      </c>
      <c r="T72" s="29" t="inlineStr">
        <is>
          <t>HIGH</t>
        </is>
      </c>
      <c r="U72" s="29" t="inlineStr">
        <is>
          <t>0.3571428571428571</t>
        </is>
      </c>
      <c r="V72" s="29" t="inlineStr">
        <is>
          <t>MEDIUM_RISK</t>
        </is>
      </c>
      <c r="W72" s="29" t="inlineStr">
        <is>
          <t>중위험</t>
        </is>
      </c>
      <c r="X72" s="29" t="inlineStr">
        <is>
          <t>MEDIUM_RISK</t>
        </is>
      </c>
      <c r="Y72" s="29" t="inlineStr">
        <is>
          <t>0.6916505304322266</t>
        </is>
      </c>
      <c r="Z72" s="29" t="inlineStr">
        <is>
          <t>MEDIUM</t>
        </is>
      </c>
      <c r="AA72" s="29" t="inlineStr">
        <is>
          <t>MEDIUM</t>
        </is>
      </c>
      <c r="AB72" s="29" t="inlineStr">
        <is>
          <t>0.08026450343217886</t>
        </is>
      </c>
      <c r="AC72" s="29" t="inlineStr">
        <is>
          <t>False</t>
        </is>
      </c>
      <c r="AD72" s="29" t="inlineStr">
        <is>
          <t>False</t>
        </is>
      </c>
      <c r="AE72" s="29" t="inlineStr">
        <is>
          <t>valuation_credit_ml_overlay_candidate.csv</t>
        </is>
      </c>
      <c r="AF72" s="29" t="inlineStr">
        <is>
          <t>208개 반도체 reference universe. Valuation Agent가 자체 intake 폴더로 복제해 Peer/ML/대시보드 비교에 사용.</t>
        </is>
      </c>
    </row>
    <row r="73" ht="24" customHeight="1">
      <c r="A73" s="24" t="inlineStr">
        <is>
          <t>40</t>
        </is>
      </c>
      <c r="B73" s="24" t="inlineStr">
        <is>
          <t>해당 없음</t>
        </is>
      </c>
      <c r="C73" s="24" t="inlineStr">
        <is>
          <t>한양디지텍</t>
        </is>
      </c>
      <c r="D73" s="24" t="inlineStr">
        <is>
          <t>078350</t>
        </is>
      </c>
      <c r="E73" s="24" t="inlineStr">
        <is>
          <t>KOSDAQ</t>
        </is>
      </c>
      <c r="F73" s="24" t="inlineStr">
        <is>
          <t>IDM/제조/메모리</t>
        </is>
      </c>
      <c r="G73" s="24" t="inlineStr">
        <is>
          <t>IDM/제조/메모리</t>
        </is>
      </c>
      <c r="H73" s="24" t="inlineStr">
        <is>
          <t>False</t>
        </is>
      </c>
      <c r="I73" s="24" t="inlineStr">
        <is>
          <t>True</t>
        </is>
      </c>
      <c r="J73" s="24" t="inlineStr">
        <is>
          <t>OK</t>
        </is>
      </c>
      <c r="K73" s="24" t="inlineStr">
        <is>
          <t>데이터 사용 가능</t>
        </is>
      </c>
      <c r="L73" s="24" t="inlineStr">
        <is>
          <t>LOW</t>
        </is>
      </c>
      <c r="M73" s="24" t="inlineStr">
        <is>
          <t>LOW</t>
        </is>
      </c>
      <c r="N73" s="24" t="inlineStr">
        <is>
          <t>0.6805000000000001</t>
        </is>
      </c>
      <c r="O73" s="24" t="inlineStr">
        <is>
          <t>ATTRACTIVE</t>
        </is>
      </c>
      <c r="P73" s="24" t="inlineStr">
        <is>
          <t>가치 매력</t>
        </is>
      </c>
      <c r="Q73" s="24" t="inlineStr">
        <is>
          <t>ATTRACTIVE</t>
        </is>
      </c>
      <c r="R73" s="24" t="inlineStr">
        <is>
          <t>0.8705426081647281</t>
        </is>
      </c>
      <c r="S73" s="24" t="inlineStr">
        <is>
          <t>HIGH</t>
        </is>
      </c>
      <c r="T73" s="24" t="inlineStr">
        <is>
          <t>HIGH</t>
        </is>
      </c>
      <c r="U73" s="24" t="inlineStr">
        <is>
          <t>0.0714285714285714</t>
        </is>
      </c>
      <c r="V73" s="24" t="inlineStr">
        <is>
          <t>LOW_RISK</t>
        </is>
      </c>
      <c r="W73" s="24" t="inlineStr">
        <is>
          <t>저위험</t>
        </is>
      </c>
      <c r="X73" s="24" t="inlineStr">
        <is>
          <t>LOW_RISK</t>
        </is>
      </c>
      <c r="Y73" s="24" t="inlineStr">
        <is>
          <t>0.7978732006060483</t>
        </is>
      </c>
      <c r="Z73" s="24" t="inlineStr">
        <is>
          <t>HIGH</t>
        </is>
      </c>
      <c r="AA73" s="24" t="inlineStr">
        <is>
          <t>HIGH</t>
        </is>
      </c>
      <c r="AB73" s="24" t="inlineStr">
        <is>
          <t>0.008155150389343335</t>
        </is>
      </c>
      <c r="AC73" s="24" t="inlineStr">
        <is>
          <t>False</t>
        </is>
      </c>
      <c r="AD73" s="24" t="inlineStr">
        <is>
          <t>False</t>
        </is>
      </c>
      <c r="AE73" s="24" t="inlineStr">
        <is>
          <t>valuation_credit_ml_overlay_candidate.csv</t>
        </is>
      </c>
      <c r="AF73" s="24" t="inlineStr">
        <is>
          <t>208개 반도체 reference universe. Valuation Agent가 자체 intake 폴더로 복제해 Peer/ML/대시보드 비교에 사용.</t>
        </is>
      </c>
    </row>
    <row r="74" ht="24" customHeight="1">
      <c r="A74" s="29" t="inlineStr">
        <is>
          <t>1</t>
        </is>
      </c>
      <c r="B74" s="29" t="inlineStr">
        <is>
          <t>해당 없음</t>
        </is>
      </c>
      <c r="C74" s="29" t="inlineStr">
        <is>
          <t>DB하이텍</t>
        </is>
      </c>
      <c r="D74" s="29" t="inlineStr">
        <is>
          <t>000990</t>
        </is>
      </c>
      <c r="E74" s="29" t="inlineStr">
        <is>
          <t>KOSPI</t>
        </is>
      </c>
      <c r="F74" s="29" t="inlineStr">
        <is>
          <t>IDM/제조/메모리</t>
        </is>
      </c>
      <c r="G74" s="29" t="inlineStr">
        <is>
          <t>IDM/제조/메모리</t>
        </is>
      </c>
      <c r="H74" s="29" t="inlineStr">
        <is>
          <t>False</t>
        </is>
      </c>
      <c r="I74" s="29" t="inlineStr">
        <is>
          <t>True</t>
        </is>
      </c>
      <c r="J74" s="29" t="inlineStr">
        <is>
          <t>OK</t>
        </is>
      </c>
      <c r="K74" s="29" t="inlineStr">
        <is>
          <t>데이터 사용 가능</t>
        </is>
      </c>
      <c r="L74" s="29" t="inlineStr">
        <is>
          <t>LOW</t>
        </is>
      </c>
      <c r="M74" s="29" t="inlineStr">
        <is>
          <t>LOW</t>
        </is>
      </c>
      <c r="N74" s="29" t="inlineStr">
        <is>
          <t>0.6653333333333333</t>
        </is>
      </c>
      <c r="O74" s="29" t="inlineStr">
        <is>
          <t>ATTRACTIVE</t>
        </is>
      </c>
      <c r="P74" s="29" t="inlineStr">
        <is>
          <t>가치 매력</t>
        </is>
      </c>
      <c r="Q74" s="29" t="inlineStr">
        <is>
          <t>ATTRACTIVE</t>
        </is>
      </c>
      <c r="R74" s="29" t="inlineStr">
        <is>
          <t>0.9104444876024207</t>
        </is>
      </c>
      <c r="S74" s="29" t="inlineStr">
        <is>
          <t>HIGH</t>
        </is>
      </c>
      <c r="T74" s="29" t="inlineStr">
        <is>
          <t>HIGH</t>
        </is>
      </c>
      <c r="U74" s="29" t="inlineStr">
        <is>
          <t>0.0</t>
        </is>
      </c>
      <c r="V74" s="29" t="inlineStr">
        <is>
          <t>LOW_RISK</t>
        </is>
      </c>
      <c r="W74" s="29" t="inlineStr">
        <is>
          <t>저위험</t>
        </is>
      </c>
      <c r="X74" s="29" t="inlineStr">
        <is>
          <t>LOW_RISK</t>
        </is>
      </c>
      <c r="Y74" s="29" t="inlineStr">
        <is>
          <t>0.9880726272379208</t>
        </is>
      </c>
      <c r="Z74" s="29" t="inlineStr">
        <is>
          <t>HIGH</t>
        </is>
      </c>
      <c r="AA74" s="29" t="inlineStr">
        <is>
          <t>HIGH</t>
        </is>
      </c>
      <c r="AB74" s="29" t="inlineStr">
        <is>
          <t>0.04988685023425709</t>
        </is>
      </c>
      <c r="AC74" s="29" t="inlineStr">
        <is>
          <t>False</t>
        </is>
      </c>
      <c r="AD74" s="29" t="inlineStr">
        <is>
          <t>False</t>
        </is>
      </c>
      <c r="AE74" s="29" t="inlineStr">
        <is>
          <t>valuation_credit_ml_overlay_candidate.csv</t>
        </is>
      </c>
      <c r="AF74" s="29" t="inlineStr">
        <is>
          <t>208개 반도체 reference universe. Valuation Agent가 자체 intake 폴더로 복제해 Peer/ML/대시보드 비교에 사용.</t>
        </is>
      </c>
    </row>
    <row r="75" ht="24" customHeight="1">
      <c r="A75" s="24" t="inlineStr">
        <is>
          <t>24</t>
        </is>
      </c>
      <c r="B75" s="24" t="inlineStr">
        <is>
          <t>해당 없음</t>
        </is>
      </c>
      <c r="C75" s="24" t="inlineStr">
        <is>
          <t>오디텍</t>
        </is>
      </c>
      <c r="D75" s="24" t="inlineStr">
        <is>
          <t>080520</t>
        </is>
      </c>
      <c r="E75" s="24" t="inlineStr">
        <is>
          <t>KOSDAQ</t>
        </is>
      </c>
      <c r="F75" s="24" t="inlineStr">
        <is>
          <t>IDM/제조/메모리</t>
        </is>
      </c>
      <c r="G75" s="24" t="inlineStr">
        <is>
          <t>IDM/제조/메모리</t>
        </is>
      </c>
      <c r="H75" s="24" t="inlineStr">
        <is>
          <t>False</t>
        </is>
      </c>
      <c r="I75" s="24" t="inlineStr">
        <is>
          <t>True</t>
        </is>
      </c>
      <c r="J75" s="24" t="inlineStr">
        <is>
          <t>OK</t>
        </is>
      </c>
      <c r="K75" s="24" t="inlineStr">
        <is>
          <t>데이터 사용 가능</t>
        </is>
      </c>
      <c r="L75" s="24" t="inlineStr">
        <is>
          <t>LOW</t>
        </is>
      </c>
      <c r="M75" s="24" t="inlineStr">
        <is>
          <t>LOW</t>
        </is>
      </c>
      <c r="N75" s="24" t="inlineStr">
        <is>
          <t>0.6083333333333334</t>
        </is>
      </c>
      <c r="O75" s="24" t="inlineStr">
        <is>
          <t>FAIR</t>
        </is>
      </c>
      <c r="P75" s="24" t="inlineStr">
        <is>
          <t>FAIR</t>
        </is>
      </c>
      <c r="Q75" s="24" t="inlineStr">
        <is>
          <t>FAIR</t>
        </is>
      </c>
      <c r="R75" s="24" t="inlineStr">
        <is>
          <t>0.8328575689014174</t>
        </is>
      </c>
      <c r="S75" s="24" t="inlineStr">
        <is>
          <t>HIGH</t>
        </is>
      </c>
      <c r="T75" s="24" t="inlineStr">
        <is>
          <t>HIGH</t>
        </is>
      </c>
      <c r="U75" s="24" t="inlineStr">
        <is>
          <t>0.4285714285714285</t>
        </is>
      </c>
      <c r="V75" s="24" t="inlineStr">
        <is>
          <t>HIGH_RISK</t>
        </is>
      </c>
      <c r="W75" s="24" t="inlineStr">
        <is>
          <t>고위험</t>
        </is>
      </c>
      <c r="X75" s="24" t="inlineStr">
        <is>
          <t>HIGH_RISK</t>
        </is>
      </c>
      <c r="Y75" s="24" t="inlineStr">
        <is>
          <t>0.5607063964580236</t>
        </is>
      </c>
      <c r="Z75" s="24" t="inlineStr">
        <is>
          <t>MEDIUM</t>
        </is>
      </c>
      <c r="AA75" s="24" t="inlineStr">
        <is>
          <t>MEDIUM</t>
        </is>
      </c>
      <c r="AB75" s="24" t="inlineStr">
        <is>
          <t>0.4397907707686155</t>
        </is>
      </c>
      <c r="AC75" s="24" t="inlineStr">
        <is>
          <t>True</t>
        </is>
      </c>
      <c r="AD75" s="24" t="inlineStr">
        <is>
          <t>True</t>
        </is>
      </c>
      <c r="AE75" s="24" t="inlineStr">
        <is>
          <t>valuation_credit_ml_overlay_candidate.csv</t>
        </is>
      </c>
      <c r="AF75" s="24" t="inlineStr">
        <is>
          <t>208개 반도체 reference universe. Valuation Agent가 자체 intake 폴더로 복제해 Peer/ML/대시보드 비교에 사용.</t>
        </is>
      </c>
    </row>
    <row r="76" ht="24" customHeight="1">
      <c r="A76" s="29" t="inlineStr">
        <is>
          <t>6</t>
        </is>
      </c>
      <c r="B76" s="29" t="inlineStr">
        <is>
          <t>해당 없음</t>
        </is>
      </c>
      <c r="C76" s="29" t="inlineStr">
        <is>
          <t>그린리소스</t>
        </is>
      </c>
      <c r="D76" s="29" t="inlineStr">
        <is>
          <t>402490</t>
        </is>
      </c>
      <c r="E76" s="29" t="inlineStr">
        <is>
          <t>KOSDAQ</t>
        </is>
      </c>
      <c r="F76" s="29" t="inlineStr">
        <is>
          <t>IDM/제조/메모리</t>
        </is>
      </c>
      <c r="G76" s="29" t="inlineStr">
        <is>
          <t>IDM/제조/메모리</t>
        </is>
      </c>
      <c r="H76" s="29" t="inlineStr">
        <is>
          <t>False</t>
        </is>
      </c>
      <c r="I76" s="29" t="inlineStr">
        <is>
          <t>True</t>
        </is>
      </c>
      <c r="J76" s="29" t="inlineStr">
        <is>
          <t>OK_LIMITED_HISTORY_OR_GROWTH_NA</t>
        </is>
      </c>
      <c r="K76" s="29" t="inlineStr">
        <is>
          <t>데이터 사용 가능</t>
        </is>
      </c>
      <c r="L76" s="29" t="inlineStr">
        <is>
          <t>LOW</t>
        </is>
      </c>
      <c r="M76" s="29" t="inlineStr">
        <is>
          <t>LOW</t>
        </is>
      </c>
      <c r="N76" s="29" t="inlineStr">
        <is>
          <t>0.6021666666666667</t>
        </is>
      </c>
      <c r="O76" s="29" t="inlineStr">
        <is>
          <t>FAIR</t>
        </is>
      </c>
      <c r="P76" s="29" t="inlineStr">
        <is>
          <t>FAIR</t>
        </is>
      </c>
      <c r="Q76" s="29" t="inlineStr">
        <is>
          <t>FAIR</t>
        </is>
      </c>
      <c r="R76" s="29" t="inlineStr">
        <is>
          <t>0.7869051998623771</t>
        </is>
      </c>
      <c r="S76" s="29" t="inlineStr">
        <is>
          <t>HIGH</t>
        </is>
      </c>
      <c r="T76" s="29" t="inlineStr">
        <is>
          <t>HIGH</t>
        </is>
      </c>
      <c r="U76" s="29" t="inlineStr">
        <is>
          <t>0.4285714285714285</t>
        </is>
      </c>
      <c r="V76" s="29" t="inlineStr">
        <is>
          <t>HIGH_RISK</t>
        </is>
      </c>
      <c r="W76" s="29" t="inlineStr">
        <is>
          <t>고위험</t>
        </is>
      </c>
      <c r="X76" s="29" t="inlineStr">
        <is>
          <t>HIGH_RISK</t>
        </is>
      </c>
      <c r="Y76" s="29" t="inlineStr">
        <is>
          <t>0.5860253292011965</t>
        </is>
      </c>
      <c r="Z76" s="29" t="inlineStr">
        <is>
          <t>MEDIUM</t>
        </is>
      </c>
      <c r="AA76" s="29" t="inlineStr">
        <is>
          <t>MEDIUM</t>
        </is>
      </c>
      <c r="AB76" s="29" t="inlineStr">
        <is>
          <t>0.04512954873345755</t>
        </is>
      </c>
      <c r="AC76" s="29" t="inlineStr">
        <is>
          <t>False</t>
        </is>
      </c>
      <c r="AD76" s="29" t="inlineStr">
        <is>
          <t>True</t>
        </is>
      </c>
      <c r="AE76" s="29" t="inlineStr">
        <is>
          <t>valuation_credit_ml_overlay_candidate.csv</t>
        </is>
      </c>
      <c r="AF76" s="29" t="inlineStr">
        <is>
          <t>208개 반도체 reference universe. Valuation Agent가 자체 intake 폴더로 복제해 Peer/ML/대시보드 비교에 사용.</t>
        </is>
      </c>
    </row>
    <row r="77" ht="24" customHeight="1">
      <c r="A77" s="24" t="inlineStr">
        <is>
          <t>8</t>
        </is>
      </c>
      <c r="B77" s="24" t="inlineStr">
        <is>
          <t>해당 없음</t>
        </is>
      </c>
      <c r="C77" s="24" t="inlineStr">
        <is>
          <t>루멘스</t>
        </is>
      </c>
      <c r="D77" s="24" t="inlineStr">
        <is>
          <t>038060</t>
        </is>
      </c>
      <c r="E77" s="24" t="inlineStr">
        <is>
          <t>KOSDAQ</t>
        </is>
      </c>
      <c r="F77" s="24" t="inlineStr">
        <is>
          <t>IDM/제조/메모리</t>
        </is>
      </c>
      <c r="G77" s="24" t="inlineStr">
        <is>
          <t>IDM/제조/메모리</t>
        </is>
      </c>
      <c r="H77" s="24" t="inlineStr">
        <is>
          <t>False</t>
        </is>
      </c>
      <c r="I77" s="24" t="inlineStr">
        <is>
          <t>True</t>
        </is>
      </c>
      <c r="J77" s="24" t="inlineStr">
        <is>
          <t>OK</t>
        </is>
      </c>
      <c r="K77" s="24" t="inlineStr">
        <is>
          <t>데이터 사용 가능</t>
        </is>
      </c>
      <c r="L77" s="24" t="inlineStr">
        <is>
          <t>LOW</t>
        </is>
      </c>
      <c r="M77" s="24" t="inlineStr">
        <is>
          <t>LOW</t>
        </is>
      </c>
      <c r="N77" s="24" t="inlineStr">
        <is>
          <t>0.5970000000000001</t>
        </is>
      </c>
      <c r="O77" s="24" t="inlineStr">
        <is>
          <t>FAIR</t>
        </is>
      </c>
      <c r="P77" s="24" t="inlineStr">
        <is>
          <t>FAIR</t>
        </is>
      </c>
      <c r="Q77" s="24" t="inlineStr">
        <is>
          <t>FAIR</t>
        </is>
      </c>
      <c r="R77" s="24" t="inlineStr">
        <is>
          <t>0.8437683700786414</t>
        </is>
      </c>
      <c r="S77" s="24" t="inlineStr">
        <is>
          <t>HIGH</t>
        </is>
      </c>
      <c r="T77" s="24" t="inlineStr">
        <is>
          <t>HIGH</t>
        </is>
      </c>
      <c r="U77" s="24" t="inlineStr">
        <is>
          <t>0.3571428571428571</t>
        </is>
      </c>
      <c r="V77" s="24" t="inlineStr">
        <is>
          <t>MEDIUM_RISK</t>
        </is>
      </c>
      <c r="W77" s="24" t="inlineStr">
        <is>
          <t>중위험</t>
        </is>
      </c>
      <c r="X77" s="24" t="inlineStr">
        <is>
          <t>MEDIUM_RISK</t>
        </is>
      </c>
      <c r="Y77" s="24" t="inlineStr">
        <is>
          <t>0.7365544810444915</t>
        </is>
      </c>
      <c r="Z77" s="24" t="inlineStr">
        <is>
          <t>HIGH</t>
        </is>
      </c>
      <c r="AA77" s="24" t="inlineStr">
        <is>
          <t>HIGH</t>
        </is>
      </c>
      <c r="AB77" s="24" t="inlineStr">
        <is>
          <t>0.0791711120821534</t>
        </is>
      </c>
      <c r="AC77" s="24" t="inlineStr">
        <is>
          <t>False</t>
        </is>
      </c>
      <c r="AD77" s="24" t="inlineStr">
        <is>
          <t>False</t>
        </is>
      </c>
      <c r="AE77" s="24" t="inlineStr">
        <is>
          <t>valuation_credit_ml_overlay_candidate.csv</t>
        </is>
      </c>
      <c r="AF77" s="24" t="inlineStr">
        <is>
          <t>208개 반도체 reference universe. Valuation Agent가 자체 intake 폴더로 복제해 Peer/ML/대시보드 비교에 사용.</t>
        </is>
      </c>
    </row>
    <row r="78" ht="24" customHeight="1">
      <c r="A78" s="29" t="inlineStr">
        <is>
          <t>37</t>
        </is>
      </c>
      <c r="B78" s="29" t="inlineStr">
        <is>
          <t>해당 없음</t>
        </is>
      </c>
      <c r="C78" s="29" t="inlineStr">
        <is>
          <t>피델릭스</t>
        </is>
      </c>
      <c r="D78" s="29" t="inlineStr">
        <is>
          <t>032580</t>
        </is>
      </c>
      <c r="E78" s="29" t="inlineStr">
        <is>
          <t>KOSDAQ</t>
        </is>
      </c>
      <c r="F78" s="29" t="inlineStr">
        <is>
          <t>IDM/제조/메모리</t>
        </is>
      </c>
      <c r="G78" s="29" t="inlineStr">
        <is>
          <t>IDM/제조/메모리</t>
        </is>
      </c>
      <c r="H78" s="29" t="inlineStr">
        <is>
          <t>False</t>
        </is>
      </c>
      <c r="I78" s="29" t="inlineStr">
        <is>
          <t>True</t>
        </is>
      </c>
      <c r="J78" s="29" t="inlineStr">
        <is>
          <t>OK</t>
        </is>
      </c>
      <c r="K78" s="29" t="inlineStr">
        <is>
          <t>데이터 사용 가능</t>
        </is>
      </c>
      <c r="L78" s="29" t="inlineStr">
        <is>
          <t>LOW</t>
        </is>
      </c>
      <c r="M78" s="29" t="inlineStr">
        <is>
          <t>LOW</t>
        </is>
      </c>
      <c r="N78" s="29" t="inlineStr">
        <is>
          <t>0.5873333333333334</t>
        </is>
      </c>
      <c r="O78" s="29" t="inlineStr">
        <is>
          <t>FAIR</t>
        </is>
      </c>
      <c r="P78" s="29" t="inlineStr">
        <is>
          <t>FAIR</t>
        </is>
      </c>
      <c r="Q78" s="29" t="inlineStr">
        <is>
          <t>FAIR</t>
        </is>
      </c>
      <c r="R78" s="29" t="inlineStr">
        <is>
          <t>0.8604826019551013</t>
        </is>
      </c>
      <c r="S78" s="29" t="inlineStr">
        <is>
          <t>HIGH</t>
        </is>
      </c>
      <c r="T78" s="29" t="inlineStr">
        <is>
          <t>HIGH</t>
        </is>
      </c>
      <c r="U78" s="29" t="inlineStr">
        <is>
          <t>0.5</t>
        </is>
      </c>
      <c r="V78" s="29" t="inlineStr">
        <is>
          <t>HIGH_RISK</t>
        </is>
      </c>
      <c r="W78" s="29" t="inlineStr">
        <is>
          <t>고위험</t>
        </is>
      </c>
      <c r="X78" s="29" t="inlineStr">
        <is>
          <t>HIGH_RISK</t>
        </is>
      </c>
      <c r="Y78" s="29" t="inlineStr">
        <is>
          <t>0.9138628953549666</t>
        </is>
      </c>
      <c r="Z78" s="29" t="inlineStr">
        <is>
          <t>HIGH</t>
        </is>
      </c>
      <c r="AA78" s="29" t="inlineStr">
        <is>
          <t>HIGH</t>
        </is>
      </c>
      <c r="AB78" s="29" t="inlineStr">
        <is>
          <t>0.0765288896391056</t>
        </is>
      </c>
      <c r="AC78" s="29" t="inlineStr">
        <is>
          <t>False</t>
        </is>
      </c>
      <c r="AD78" s="29" t="inlineStr">
        <is>
          <t>False</t>
        </is>
      </c>
      <c r="AE78" s="29" t="inlineStr">
        <is>
          <t>valuation_credit_ml_overlay_candidate.csv</t>
        </is>
      </c>
      <c r="AF78" s="29" t="inlineStr">
        <is>
          <t>208개 반도체 reference universe. Valuation Agent가 자체 intake 폴더로 복제해 Peer/ML/대시보드 비교에 사용.</t>
        </is>
      </c>
    </row>
    <row r="79" ht="24" customHeight="1">
      <c r="A79" s="24" t="inlineStr">
        <is>
          <t>21</t>
        </is>
      </c>
      <c r="B79" s="24" t="inlineStr">
        <is>
          <t>해당 없음</t>
        </is>
      </c>
      <c r="C79" s="24" t="inlineStr">
        <is>
          <t>엔시트론</t>
        </is>
      </c>
      <c r="D79" s="24" t="inlineStr">
        <is>
          <t>101400</t>
        </is>
      </c>
      <c r="E79" s="24" t="inlineStr">
        <is>
          <t>KOSDAQ</t>
        </is>
      </c>
      <c r="F79" s="24" t="inlineStr">
        <is>
          <t>IDM/제조/메모리</t>
        </is>
      </c>
      <c r="G79" s="24" t="inlineStr">
        <is>
          <t>IDM/제조/메모리</t>
        </is>
      </c>
      <c r="H79" s="24" t="inlineStr">
        <is>
          <t>False</t>
        </is>
      </c>
      <c r="I79" s="24" t="inlineStr">
        <is>
          <t>True</t>
        </is>
      </c>
      <c r="J79" s="24" t="inlineStr">
        <is>
          <t>OK</t>
        </is>
      </c>
      <c r="K79" s="24" t="inlineStr">
        <is>
          <t>데이터 사용 가능</t>
        </is>
      </c>
      <c r="L79" s="24" t="inlineStr">
        <is>
          <t>LOW</t>
        </is>
      </c>
      <c r="M79" s="24" t="inlineStr">
        <is>
          <t>LOW</t>
        </is>
      </c>
      <c r="N79" s="24" t="inlineStr">
        <is>
          <t>0.5773333333333333</t>
        </is>
      </c>
      <c r="O79" s="24" t="inlineStr">
        <is>
          <t>FAIR</t>
        </is>
      </c>
      <c r="P79" s="24" t="inlineStr">
        <is>
          <t>FAIR</t>
        </is>
      </c>
      <c r="Q79" s="24" t="inlineStr">
        <is>
          <t>FAIR</t>
        </is>
      </c>
      <c r="R79" s="24" t="inlineStr">
        <is>
          <t>0.8173941540342667</t>
        </is>
      </c>
      <c r="S79" s="24" t="inlineStr">
        <is>
          <t>HIGH</t>
        </is>
      </c>
      <c r="T79" s="24" t="inlineStr">
        <is>
          <t>HIGH</t>
        </is>
      </c>
      <c r="U79" s="24" t="inlineStr">
        <is>
          <t>0.3571428571428571</t>
        </is>
      </c>
      <c r="V79" s="24" t="inlineStr">
        <is>
          <t>MEDIUM_RISK</t>
        </is>
      </c>
      <c r="W79" s="24" t="inlineStr">
        <is>
          <t>중위험</t>
        </is>
      </c>
      <c r="X79" s="24" t="inlineStr">
        <is>
          <t>MEDIUM_RISK</t>
        </is>
      </c>
      <c r="Y79" s="24" t="inlineStr">
        <is>
          <t>0.7799614337035685</t>
        </is>
      </c>
      <c r="Z79" s="24" t="inlineStr">
        <is>
          <t>HIGH</t>
        </is>
      </c>
      <c r="AA79" s="24" t="inlineStr">
        <is>
          <t>HIGH</t>
        </is>
      </c>
      <c r="AB79" s="24" t="inlineStr">
        <is>
          <t>0.08202020185637905</t>
        </is>
      </c>
      <c r="AC79" s="24" t="inlineStr">
        <is>
          <t>False</t>
        </is>
      </c>
      <c r="AD79" s="24" t="inlineStr">
        <is>
          <t>False</t>
        </is>
      </c>
      <c r="AE79" s="24" t="inlineStr">
        <is>
          <t>valuation_credit_ml_overlay_candidate.csv</t>
        </is>
      </c>
      <c r="AF79" s="24" t="inlineStr">
        <is>
          <t>208개 반도체 reference universe. Valuation Agent가 자체 intake 폴더로 복제해 Peer/ML/대시보드 비교에 사용.</t>
        </is>
      </c>
    </row>
    <row r="80" ht="24" customHeight="1">
      <c r="A80" s="29" t="inlineStr">
        <is>
          <t>13</t>
        </is>
      </c>
      <c r="B80" s="29" t="inlineStr">
        <is>
          <t>해당 없음</t>
        </is>
      </c>
      <c r="C80" s="29" t="inlineStr">
        <is>
          <t>서울바이오시스</t>
        </is>
      </c>
      <c r="D80" s="29" t="inlineStr">
        <is>
          <t>092190</t>
        </is>
      </c>
      <c r="E80" s="29" t="inlineStr">
        <is>
          <t>KOSDAQ</t>
        </is>
      </c>
      <c r="F80" s="29" t="inlineStr">
        <is>
          <t>IDM/제조/메모리</t>
        </is>
      </c>
      <c r="G80" s="29" t="inlineStr">
        <is>
          <t>IDM/제조/메모리</t>
        </is>
      </c>
      <c r="H80" s="29" t="inlineStr">
        <is>
          <t>False</t>
        </is>
      </c>
      <c r="I80" s="29" t="inlineStr">
        <is>
          <t>True</t>
        </is>
      </c>
      <c r="J80" s="29" t="inlineStr">
        <is>
          <t>OK</t>
        </is>
      </c>
      <c r="K80" s="29" t="inlineStr">
        <is>
          <t>데이터 사용 가능</t>
        </is>
      </c>
      <c r="L80" s="29" t="inlineStr">
        <is>
          <t>LOW</t>
        </is>
      </c>
      <c r="M80" s="29" t="inlineStr">
        <is>
          <t>LOW</t>
        </is>
      </c>
      <c r="N80" s="29" t="inlineStr">
        <is>
          <t>0.5655</t>
        </is>
      </c>
      <c r="O80" s="29" t="inlineStr">
        <is>
          <t>FAIR</t>
        </is>
      </c>
      <c r="P80" s="29" t="inlineStr">
        <is>
          <t>FAIR</t>
        </is>
      </c>
      <c r="Q80" s="29" t="inlineStr">
        <is>
          <t>FAIR</t>
        </is>
      </c>
      <c r="R80" s="29" t="inlineStr">
        <is>
          <t>0.7336783523450653</t>
        </is>
      </c>
      <c r="S80" s="29" t="inlineStr">
        <is>
          <t>HIGH</t>
        </is>
      </c>
      <c r="T80" s="29" t="inlineStr">
        <is>
          <t>HIGH</t>
        </is>
      </c>
      <c r="U80" s="29" t="inlineStr">
        <is>
          <t>0.4285714285714285</t>
        </is>
      </c>
      <c r="V80" s="29" t="inlineStr">
        <is>
          <t>HIGH_RISK</t>
        </is>
      </c>
      <c r="W80" s="29" t="inlineStr">
        <is>
          <t>고위험</t>
        </is>
      </c>
      <c r="X80" s="29" t="inlineStr">
        <is>
          <t>MEDIUM_RISK</t>
        </is>
      </c>
      <c r="Y80" s="29" t="inlineStr">
        <is>
          <t>0.420701328500417</t>
        </is>
      </c>
      <c r="Z80" s="29" t="inlineStr">
        <is>
          <t>LOW</t>
        </is>
      </c>
      <c r="AA80" s="29" t="inlineStr">
        <is>
          <t>LOW</t>
        </is>
      </c>
      <c r="AB80" s="29" t="inlineStr">
        <is>
          <t>0.22867438374329632</t>
        </is>
      </c>
      <c r="AC80" s="29" t="inlineStr">
        <is>
          <t>False</t>
        </is>
      </c>
      <c r="AD80" s="29" t="inlineStr">
        <is>
          <t>True</t>
        </is>
      </c>
      <c r="AE80" s="29" t="inlineStr">
        <is>
          <t>valuation_credit_ml_overlay_candidate.csv</t>
        </is>
      </c>
      <c r="AF80" s="29" t="inlineStr">
        <is>
          <t>208개 반도체 reference universe. Valuation Agent가 자체 intake 폴더로 복제해 Peer/ML/대시보드 비교에 사용.</t>
        </is>
      </c>
    </row>
    <row r="81" ht="24" customHeight="1">
      <c r="A81" s="24" t="inlineStr">
        <is>
          <t>34</t>
        </is>
      </c>
      <c r="B81" s="24" t="inlineStr">
        <is>
          <t>해당 없음</t>
        </is>
      </c>
      <c r="C81" s="24" t="inlineStr">
        <is>
          <t>큐에스아이</t>
        </is>
      </c>
      <c r="D81" s="24" t="inlineStr">
        <is>
          <t>066310</t>
        </is>
      </c>
      <c r="E81" s="24" t="inlineStr">
        <is>
          <t>KOSDAQ</t>
        </is>
      </c>
      <c r="F81" s="24" t="inlineStr">
        <is>
          <t>IDM/제조/메모리</t>
        </is>
      </c>
      <c r="G81" s="24" t="inlineStr">
        <is>
          <t>IDM/제조/메모리</t>
        </is>
      </c>
      <c r="H81" s="24" t="inlineStr">
        <is>
          <t>False</t>
        </is>
      </c>
      <c r="I81" s="24" t="inlineStr">
        <is>
          <t>True</t>
        </is>
      </c>
      <c r="J81" s="24" t="inlineStr">
        <is>
          <t>OK</t>
        </is>
      </c>
      <c r="K81" s="24" t="inlineStr">
        <is>
          <t>데이터 사용 가능</t>
        </is>
      </c>
      <c r="L81" s="24" t="inlineStr">
        <is>
          <t>LOW</t>
        </is>
      </c>
      <c r="M81" s="24" t="inlineStr">
        <is>
          <t>LOW</t>
        </is>
      </c>
      <c r="N81" s="24" t="inlineStr">
        <is>
          <t>0.5423333333333333</t>
        </is>
      </c>
      <c r="O81" s="24" t="inlineStr">
        <is>
          <t>FAIR</t>
        </is>
      </c>
      <c r="P81" s="24" t="inlineStr">
        <is>
          <t>FAIR</t>
        </is>
      </c>
      <c r="Q81" s="24" t="inlineStr">
        <is>
          <t>FAIR</t>
        </is>
      </c>
      <c r="R81" s="24" t="inlineStr">
        <is>
          <t>0.5496283015517583</t>
        </is>
      </c>
      <c r="S81" s="24" t="inlineStr">
        <is>
          <t>MEDIUM</t>
        </is>
      </c>
      <c r="T81" s="24" t="inlineStr">
        <is>
          <t>MEDIUM</t>
        </is>
      </c>
      <c r="U81" s="24" t="inlineStr">
        <is>
          <t>0.0714285714285714</t>
        </is>
      </c>
      <c r="V81" s="24" t="inlineStr">
        <is>
          <t>LOW_RISK</t>
        </is>
      </c>
      <c r="W81" s="24" t="inlineStr">
        <is>
          <t>저위험</t>
        </is>
      </c>
      <c r="X81" s="24" t="inlineStr">
        <is>
          <t>LOW_RISK</t>
        </is>
      </c>
      <c r="Y81" s="24" t="inlineStr">
        <is>
          <t>0.8341403016587674</t>
        </is>
      </c>
      <c r="Z81" s="24" t="inlineStr">
        <is>
          <t>HIGH</t>
        </is>
      </c>
      <c r="AA81" s="24" t="inlineStr">
        <is>
          <t>HIGH</t>
        </is>
      </c>
      <c r="AB81" s="24" t="inlineStr">
        <is>
          <t>0.21446147407494193</t>
        </is>
      </c>
      <c r="AC81" s="24" t="inlineStr">
        <is>
          <t>False</t>
        </is>
      </c>
      <c r="AD81" s="24" t="inlineStr">
        <is>
          <t>False</t>
        </is>
      </c>
      <c r="AE81" s="24" t="inlineStr">
        <is>
          <t>valuation_credit_ml_overlay_candidate.csv</t>
        </is>
      </c>
      <c r="AF81" s="24" t="inlineStr">
        <is>
          <t>208개 반도체 reference universe. Valuation Agent가 자체 intake 폴더로 복제해 Peer/ML/대시보드 비교에 사용.</t>
        </is>
      </c>
    </row>
    <row r="82" ht="24" customHeight="1">
      <c r="A82" s="29" t="inlineStr">
        <is>
          <t>23</t>
        </is>
      </c>
      <c r="B82" s="29" t="inlineStr">
        <is>
          <t>해당 없음</t>
        </is>
      </c>
      <c r="C82" s="29" t="inlineStr">
        <is>
          <t>엘오티베큠</t>
        </is>
      </c>
      <c r="D82" s="29" t="inlineStr">
        <is>
          <t>083310</t>
        </is>
      </c>
      <c r="E82" s="29" t="inlineStr">
        <is>
          <t>KOSDAQ</t>
        </is>
      </c>
      <c r="F82" s="29" t="inlineStr">
        <is>
          <t>IDM/제조/메모리</t>
        </is>
      </c>
      <c r="G82" s="29" t="inlineStr">
        <is>
          <t>IDM/제조/메모리</t>
        </is>
      </c>
      <c r="H82" s="29" t="inlineStr">
        <is>
          <t>False</t>
        </is>
      </c>
      <c r="I82" s="29" t="inlineStr">
        <is>
          <t>True</t>
        </is>
      </c>
      <c r="J82" s="29" t="inlineStr">
        <is>
          <t>OK</t>
        </is>
      </c>
      <c r="K82" s="29" t="inlineStr">
        <is>
          <t>데이터 사용 가능</t>
        </is>
      </c>
      <c r="L82" s="29" t="inlineStr">
        <is>
          <t>LOW</t>
        </is>
      </c>
      <c r="M82" s="29" t="inlineStr">
        <is>
          <t>LOW</t>
        </is>
      </c>
      <c r="N82" s="29" t="inlineStr">
        <is>
          <t>0.538</t>
        </is>
      </c>
      <c r="O82" s="29" t="inlineStr">
        <is>
          <t>FAIR</t>
        </is>
      </c>
      <c r="P82" s="29" t="inlineStr">
        <is>
          <t>FAIR</t>
        </is>
      </c>
      <c r="Q82" s="29" t="inlineStr">
        <is>
          <t>FAIR</t>
        </is>
      </c>
      <c r="R82" s="29" t="inlineStr">
        <is>
          <t>0.860578291373445</t>
        </is>
      </c>
      <c r="S82" s="29" t="inlineStr">
        <is>
          <t>HIGH</t>
        </is>
      </c>
      <c r="T82" s="29" t="inlineStr">
        <is>
          <t>HIGH</t>
        </is>
      </c>
      <c r="U82" s="29" t="inlineStr">
        <is>
          <t>0.2142857142857142</t>
        </is>
      </c>
      <c r="V82" s="29" t="inlineStr">
        <is>
          <t>MEDIUM_RISK</t>
        </is>
      </c>
      <c r="W82" s="29" t="inlineStr">
        <is>
          <t>중위험</t>
        </is>
      </c>
      <c r="X82" s="29" t="inlineStr">
        <is>
          <t>MEDIUM_RISK</t>
        </is>
      </c>
      <c r="Y82" s="29" t="inlineStr">
        <is>
          <t>0.8356274138697954</t>
        </is>
      </c>
      <c r="Z82" s="29" t="inlineStr">
        <is>
          <t>HIGH</t>
        </is>
      </c>
      <c r="AA82" s="29" t="inlineStr">
        <is>
          <t>HIGH</t>
        </is>
      </c>
      <c r="AB82" s="29" t="inlineStr">
        <is>
          <t>0.04088276425948358</t>
        </is>
      </c>
      <c r="AC82" s="29" t="inlineStr">
        <is>
          <t>False</t>
        </is>
      </c>
      <c r="AD82" s="29" t="inlineStr">
        <is>
          <t>False</t>
        </is>
      </c>
      <c r="AE82" s="29" t="inlineStr">
        <is>
          <t>valuation_credit_ml_overlay_candidate.csv</t>
        </is>
      </c>
      <c r="AF82" s="29" t="inlineStr">
        <is>
          <t>208개 반도체 reference universe. Valuation Agent가 자체 intake 폴더로 복제해 Peer/ML/대시보드 비교에 사용.</t>
        </is>
      </c>
    </row>
    <row r="83" ht="24" customHeight="1">
      <c r="A83" s="24" t="inlineStr">
        <is>
          <t>11</t>
        </is>
      </c>
      <c r="B83" s="24" t="inlineStr">
        <is>
          <t>해당 없음</t>
        </is>
      </c>
      <c r="C83" s="24" t="inlineStr">
        <is>
          <t>비씨엔씨</t>
        </is>
      </c>
      <c r="D83" s="24" t="inlineStr">
        <is>
          <t>146320</t>
        </is>
      </c>
      <c r="E83" s="24" t="inlineStr">
        <is>
          <t>KOSDAQ</t>
        </is>
      </c>
      <c r="F83" s="24" t="inlineStr">
        <is>
          <t>IDM/제조/메모리</t>
        </is>
      </c>
      <c r="G83" s="24" t="inlineStr">
        <is>
          <t>IDM/제조/메모리</t>
        </is>
      </c>
      <c r="H83" s="24" t="inlineStr">
        <is>
          <t>False</t>
        </is>
      </c>
      <c r="I83" s="24" t="inlineStr">
        <is>
          <t>True</t>
        </is>
      </c>
      <c r="J83" s="24" t="inlineStr">
        <is>
          <t>KEY_ACCOUNT_PARTIAL_MISSING</t>
        </is>
      </c>
      <c r="K83" s="24" t="inlineStr">
        <is>
          <t>데이터 사용 가능</t>
        </is>
      </c>
      <c r="L83" s="24" t="inlineStr">
        <is>
          <t>MEDIUM</t>
        </is>
      </c>
      <c r="M83" s="24" t="inlineStr">
        <is>
          <t>MEDIUM</t>
        </is>
      </c>
      <c r="N83" s="24" t="inlineStr">
        <is>
          <t>0.5365833333333333</t>
        </is>
      </c>
      <c r="O83" s="24" t="inlineStr">
        <is>
          <t>FAIR</t>
        </is>
      </c>
      <c r="P83" s="24" t="inlineStr">
        <is>
          <t>FAIR</t>
        </is>
      </c>
      <c r="Q83" s="24" t="inlineStr">
        <is>
          <t>FAIR</t>
        </is>
      </c>
      <c r="R83" s="24" t="inlineStr">
        <is>
          <t>0.7033805368548921</t>
        </is>
      </c>
      <c r="S83" s="24" t="inlineStr">
        <is>
          <t>HIGH</t>
        </is>
      </c>
      <c r="T83" s="24" t="inlineStr">
        <is>
          <t>HIGH</t>
        </is>
      </c>
      <c r="U83" s="24" t="inlineStr">
        <is>
          <t>0.2857142857142857</t>
        </is>
      </c>
      <c r="V83" s="24" t="inlineStr">
        <is>
          <t>MEDIUM_RISK</t>
        </is>
      </c>
      <c r="W83" s="24" t="inlineStr">
        <is>
          <t>중위험</t>
        </is>
      </c>
      <c r="X83" s="24" t="inlineStr">
        <is>
          <t>MEDIUM_RISK</t>
        </is>
      </c>
      <c r="Y83" s="24" t="inlineStr">
        <is>
          <t>0.7333342608471988</t>
        </is>
      </c>
      <c r="Z83" s="24" t="inlineStr">
        <is>
          <t>HIGH</t>
        </is>
      </c>
      <c r="AA83" s="24" t="inlineStr">
        <is>
          <t>HIGH</t>
        </is>
      </c>
      <c r="AB83" s="24" t="inlineStr">
        <is>
          <t>0.031762409510830696</t>
        </is>
      </c>
      <c r="AC83" s="24" t="inlineStr">
        <is>
          <t>False</t>
        </is>
      </c>
      <c r="AD83" s="24" t="inlineStr">
        <is>
          <t>True</t>
        </is>
      </c>
      <c r="AE83" s="24" t="inlineStr">
        <is>
          <t>valuation_credit_ml_overlay_candidate.csv</t>
        </is>
      </c>
      <c r="AF83" s="24" t="inlineStr">
        <is>
          <t>208개 반도체 reference universe. Valuation Agent가 자체 intake 폴더로 복제해 Peer/ML/대시보드 비교에 사용.</t>
        </is>
      </c>
    </row>
    <row r="84" ht="24" customHeight="1">
      <c r="A84" s="29" t="inlineStr">
        <is>
          <t>36</t>
        </is>
      </c>
      <c r="B84" s="29" t="inlineStr">
        <is>
          <t>해당 없음</t>
        </is>
      </c>
      <c r="C84" s="29" t="inlineStr">
        <is>
          <t>티엘비</t>
        </is>
      </c>
      <c r="D84" s="29" t="inlineStr">
        <is>
          <t>356860</t>
        </is>
      </c>
      <c r="E84" s="29" t="inlineStr">
        <is>
          <t>KOSDAQ</t>
        </is>
      </c>
      <c r="F84" s="29" t="inlineStr">
        <is>
          <t>IDM/제조/메모리</t>
        </is>
      </c>
      <c r="G84" s="29" t="inlineStr">
        <is>
          <t>IDM/제조/메모리</t>
        </is>
      </c>
      <c r="H84" s="29" t="inlineStr">
        <is>
          <t>False</t>
        </is>
      </c>
      <c r="I84" s="29" t="inlineStr">
        <is>
          <t>True</t>
        </is>
      </c>
      <c r="J84" s="29" t="inlineStr">
        <is>
          <t>OK</t>
        </is>
      </c>
      <c r="K84" s="29" t="inlineStr">
        <is>
          <t>데이터 사용 가능</t>
        </is>
      </c>
      <c r="L84" s="29" t="inlineStr">
        <is>
          <t>LOW</t>
        </is>
      </c>
      <c r="M84" s="29" t="inlineStr">
        <is>
          <t>LOW</t>
        </is>
      </c>
      <c r="N84" s="29" t="inlineStr">
        <is>
          <t>0.5361666666666667</t>
        </is>
      </c>
      <c r="O84" s="29" t="inlineStr">
        <is>
          <t>FAIR</t>
        </is>
      </c>
      <c r="P84" s="29" t="inlineStr">
        <is>
          <t>FAIR</t>
        </is>
      </c>
      <c r="Q84" s="29" t="inlineStr">
        <is>
          <t>FAIR</t>
        </is>
      </c>
      <c r="R84" s="29" t="inlineStr">
        <is>
          <t>0.8509295904965918</t>
        </is>
      </c>
      <c r="S84" s="29" t="inlineStr">
        <is>
          <t>HIGH</t>
        </is>
      </c>
      <c r="T84" s="29" t="inlineStr">
        <is>
          <t>HIGH</t>
        </is>
      </c>
      <c r="U84" s="29" t="inlineStr">
        <is>
          <t>0.0714285714285714</t>
        </is>
      </c>
      <c r="V84" s="29" t="inlineStr">
        <is>
          <t>LOW_RISK</t>
        </is>
      </c>
      <c r="W84" s="29" t="inlineStr">
        <is>
          <t>저위험</t>
        </is>
      </c>
      <c r="X84" s="29" t="inlineStr">
        <is>
          <t>LOW_RISK</t>
        </is>
      </c>
      <c r="Y84" s="29" t="inlineStr">
        <is>
          <t>0.6625834729097503</t>
        </is>
      </c>
      <c r="Z84" s="29" t="inlineStr">
        <is>
          <t>MEDIUM</t>
        </is>
      </c>
      <c r="AA84" s="29" t="inlineStr">
        <is>
          <t>MEDIUM</t>
        </is>
      </c>
      <c r="AB84" s="29" t="inlineStr">
        <is>
          <t>0.01843936297746685</t>
        </is>
      </c>
      <c r="AC84" s="29" t="inlineStr">
        <is>
          <t>False</t>
        </is>
      </c>
      <c r="AD84" s="29" t="inlineStr">
        <is>
          <t>False</t>
        </is>
      </c>
      <c r="AE84" s="29" t="inlineStr">
        <is>
          <t>valuation_credit_ml_overlay_candidate.csv</t>
        </is>
      </c>
      <c r="AF84" s="29" t="inlineStr">
        <is>
          <t>208개 반도체 reference universe. Valuation Agent가 자체 intake 폴더로 복제해 Peer/ML/대시보드 비교에 사용.</t>
        </is>
      </c>
    </row>
    <row r="85" ht="24" customHeight="1">
      <c r="A85" s="24" t="inlineStr">
        <is>
          <t>38</t>
        </is>
      </c>
      <c r="B85" s="24" t="inlineStr">
        <is>
          <t>해당 없음</t>
        </is>
      </c>
      <c r="C85" s="24" t="inlineStr">
        <is>
          <t>하나머티리얼즈</t>
        </is>
      </c>
      <c r="D85" s="24" t="inlineStr">
        <is>
          <t>166090</t>
        </is>
      </c>
      <c r="E85" s="24" t="inlineStr">
        <is>
          <t>KOSDAQ GLOBAL</t>
        </is>
      </c>
      <c r="F85" s="24" t="inlineStr">
        <is>
          <t>IDM/제조/메모리</t>
        </is>
      </c>
      <c r="G85" s="24" t="inlineStr">
        <is>
          <t>IDM/제조/메모리</t>
        </is>
      </c>
      <c r="H85" s="24" t="inlineStr">
        <is>
          <t>False</t>
        </is>
      </c>
      <c r="I85" s="24" t="inlineStr">
        <is>
          <t>True</t>
        </is>
      </c>
      <c r="J85" s="24" t="inlineStr">
        <is>
          <t>OK</t>
        </is>
      </c>
      <c r="K85" s="24" t="inlineStr">
        <is>
          <t>데이터 사용 가능</t>
        </is>
      </c>
      <c r="L85" s="24" t="inlineStr">
        <is>
          <t>LOW</t>
        </is>
      </c>
      <c r="M85" s="24" t="inlineStr">
        <is>
          <t>LOW</t>
        </is>
      </c>
      <c r="N85" s="24" t="inlineStr">
        <is>
          <t>0.5321666666666667</t>
        </is>
      </c>
      <c r="O85" s="24" t="inlineStr">
        <is>
          <t>FAIR</t>
        </is>
      </c>
      <c r="P85" s="24" t="inlineStr">
        <is>
          <t>FAIR</t>
        </is>
      </c>
      <c r="Q85" s="24" t="inlineStr">
        <is>
          <t>ATTRACTIVE</t>
        </is>
      </c>
      <c r="R85" s="24" t="inlineStr">
        <is>
          <t>0.6425667923365267</t>
        </is>
      </c>
      <c r="S85" s="24" t="inlineStr">
        <is>
          <t>MEDIUM</t>
        </is>
      </c>
      <c r="T85" s="24" t="inlineStr">
        <is>
          <t>MEDIUM</t>
        </is>
      </c>
      <c r="U85" s="24" t="inlineStr">
        <is>
          <t>0.0</t>
        </is>
      </c>
      <c r="V85" s="24" t="inlineStr">
        <is>
          <t>LOW_RISK</t>
        </is>
      </c>
      <c r="W85" s="24" t="inlineStr">
        <is>
          <t>저위험</t>
        </is>
      </c>
      <c r="X85" s="24" t="inlineStr">
        <is>
          <t>LOW_RISK</t>
        </is>
      </c>
      <c r="Y85" s="24" t="inlineStr">
        <is>
          <t>0.9093779024453453</t>
        </is>
      </c>
      <c r="Z85" s="24" t="inlineStr">
        <is>
          <t>HIGH</t>
        </is>
      </c>
      <c r="AA85" s="24" t="inlineStr">
        <is>
          <t>HIGH</t>
        </is>
      </c>
      <c r="AB85" s="24" t="inlineStr">
        <is>
          <t>0.030620686282363033</t>
        </is>
      </c>
      <c r="AC85" s="24" t="inlineStr">
        <is>
          <t>False</t>
        </is>
      </c>
      <c r="AD85" s="24" t="inlineStr">
        <is>
          <t>False</t>
        </is>
      </c>
      <c r="AE85" s="24" t="inlineStr">
        <is>
          <t>valuation_credit_ml_overlay_candidate.csv</t>
        </is>
      </c>
      <c r="AF85" s="24" t="inlineStr">
        <is>
          <t>208개 반도체 reference universe. Valuation Agent가 자체 intake 폴더로 복제해 Peer/ML/대시보드 비교에 사용.</t>
        </is>
      </c>
    </row>
    <row r="86" ht="24" customHeight="1">
      <c r="A86" s="29" t="inlineStr">
        <is>
          <t>26</t>
        </is>
      </c>
      <c r="B86" s="29" t="inlineStr">
        <is>
          <t>해당 없음</t>
        </is>
      </c>
      <c r="C86" s="29" t="inlineStr">
        <is>
          <t>웰킵스하이텍</t>
        </is>
      </c>
      <c r="D86" s="29" t="inlineStr">
        <is>
          <t>043590</t>
        </is>
      </c>
      <c r="E86" s="29" t="inlineStr">
        <is>
          <t>KOSDAQ</t>
        </is>
      </c>
      <c r="F86" s="29" t="inlineStr">
        <is>
          <t>IDM/제조/메모리</t>
        </is>
      </c>
      <c r="G86" s="29" t="inlineStr">
        <is>
          <t>IDM/제조/메모리</t>
        </is>
      </c>
      <c r="H86" s="29" t="inlineStr">
        <is>
          <t>False</t>
        </is>
      </c>
      <c r="I86" s="29" t="inlineStr">
        <is>
          <t>True</t>
        </is>
      </c>
      <c r="J86" s="29" t="inlineStr">
        <is>
          <t>OK</t>
        </is>
      </c>
      <c r="K86" s="29" t="inlineStr">
        <is>
          <t>데이터 사용 가능</t>
        </is>
      </c>
      <c r="L86" s="29" t="inlineStr">
        <is>
          <t>LOW</t>
        </is>
      </c>
      <c r="M86" s="29" t="inlineStr">
        <is>
          <t>LOW</t>
        </is>
      </c>
      <c r="N86" s="29" t="inlineStr">
        <is>
          <t>0.5086666666666667</t>
        </is>
      </c>
      <c r="O86" s="29" t="inlineStr">
        <is>
          <t>FAIR</t>
        </is>
      </c>
      <c r="P86" s="29" t="inlineStr">
        <is>
          <t>FAIR</t>
        </is>
      </c>
      <c r="Q86" s="29" t="inlineStr">
        <is>
          <t>FAIR</t>
        </is>
      </c>
      <c r="R86" s="29" t="inlineStr">
        <is>
          <t>0.7753200487478359</t>
        </is>
      </c>
      <c r="S86" s="29" t="inlineStr">
        <is>
          <t>HIGH</t>
        </is>
      </c>
      <c r="T86" s="29" t="inlineStr">
        <is>
          <t>HIGH</t>
        </is>
      </c>
      <c r="U86" s="29" t="inlineStr">
        <is>
          <t>0.7142857142857143</t>
        </is>
      </c>
      <c r="V86" s="29" t="inlineStr">
        <is>
          <t>HIGH_RISK</t>
        </is>
      </c>
      <c r="W86" s="29" t="inlineStr">
        <is>
          <t>고위험</t>
        </is>
      </c>
      <c r="X86" s="29" t="inlineStr">
        <is>
          <t>HIGH_RISK</t>
        </is>
      </c>
      <c r="Y86" s="29" t="inlineStr">
        <is>
          <t>0.947839296487721</t>
        </is>
      </c>
      <c r="Z86" s="29" t="inlineStr">
        <is>
          <t>HIGH</t>
        </is>
      </c>
      <c r="AA86" s="29" t="inlineStr">
        <is>
          <t>HIGH</t>
        </is>
      </c>
      <c r="AB86" s="29" t="inlineStr">
        <is>
          <t>0.081041930024575</t>
        </is>
      </c>
      <c r="AC86" s="29" t="inlineStr">
        <is>
          <t>False</t>
        </is>
      </c>
      <c r="AD86" s="29" t="inlineStr">
        <is>
          <t>False</t>
        </is>
      </c>
      <c r="AE86" s="29" t="inlineStr">
        <is>
          <t>valuation_credit_ml_overlay_candidate.csv</t>
        </is>
      </c>
      <c r="AF86" s="29" t="inlineStr">
        <is>
          <t>208개 반도체 reference universe. Valuation Agent가 자체 intake 폴더로 복제해 Peer/ML/대시보드 비교에 사용.</t>
        </is>
      </c>
    </row>
    <row r="87" ht="24" customHeight="1">
      <c r="A87" s="24" t="inlineStr">
        <is>
          <t>35</t>
        </is>
      </c>
      <c r="B87" s="24" t="inlineStr">
        <is>
          <t>해당 없음</t>
        </is>
      </c>
      <c r="C87" s="24" t="inlineStr">
        <is>
          <t>테크엘</t>
        </is>
      </c>
      <c r="D87" s="24" t="inlineStr">
        <is>
          <t>064520</t>
        </is>
      </c>
      <c r="E87" s="24" t="inlineStr">
        <is>
          <t>KOSDAQ</t>
        </is>
      </c>
      <c r="F87" s="24" t="inlineStr">
        <is>
          <t>IDM/제조/메모리</t>
        </is>
      </c>
      <c r="G87" s="24" t="inlineStr">
        <is>
          <t>IDM/제조/메모리</t>
        </is>
      </c>
      <c r="H87" s="24" t="inlineStr">
        <is>
          <t>False</t>
        </is>
      </c>
      <c r="I87" s="24" t="inlineStr">
        <is>
          <t>True</t>
        </is>
      </c>
      <c r="J87" s="24" t="inlineStr">
        <is>
          <t>OK</t>
        </is>
      </c>
      <c r="K87" s="24" t="inlineStr">
        <is>
          <t>데이터 사용 가능</t>
        </is>
      </c>
      <c r="L87" s="24" t="inlineStr">
        <is>
          <t>LOW</t>
        </is>
      </c>
      <c r="M87" s="24" t="inlineStr">
        <is>
          <t>LOW</t>
        </is>
      </c>
      <c r="N87" s="24" t="inlineStr">
        <is>
          <t>0.4756666666666667</t>
        </is>
      </c>
      <c r="O87" s="24" t="inlineStr">
        <is>
          <t>FAIR</t>
        </is>
      </c>
      <c r="P87" s="24" t="inlineStr">
        <is>
          <t>FAIR</t>
        </is>
      </c>
      <c r="Q87" s="24" t="inlineStr">
        <is>
          <t>FAIR</t>
        </is>
      </c>
      <c r="R87" s="24" t="inlineStr">
        <is>
          <t>0.7806095936743286</t>
        </is>
      </c>
      <c r="S87" s="24" t="inlineStr">
        <is>
          <t>HIGH</t>
        </is>
      </c>
      <c r="T87" s="24" t="inlineStr">
        <is>
          <t>HIGH</t>
        </is>
      </c>
      <c r="U87" s="24" t="inlineStr">
        <is>
          <t>0.5</t>
        </is>
      </c>
      <c r="V87" s="24" t="inlineStr">
        <is>
          <t>HIGH_RISK</t>
        </is>
      </c>
      <c r="W87" s="24" t="inlineStr">
        <is>
          <t>고위험</t>
        </is>
      </c>
      <c r="X87" s="24" t="inlineStr">
        <is>
          <t>HIGH_RISK</t>
        </is>
      </c>
      <c r="Y87" s="24" t="inlineStr">
        <is>
          <t>0.8561648968032103</t>
        </is>
      </c>
      <c r="Z87" s="24" t="inlineStr">
        <is>
          <t>HIGH</t>
        </is>
      </c>
      <c r="AA87" s="24" t="inlineStr">
        <is>
          <t>HIGH</t>
        </is>
      </c>
      <c r="AB87" s="24" t="inlineStr">
        <is>
          <t>0.5330742789427354</t>
        </is>
      </c>
      <c r="AC87" s="24" t="inlineStr">
        <is>
          <t>True</t>
        </is>
      </c>
      <c r="AD87" s="24" t="inlineStr">
        <is>
          <t>True</t>
        </is>
      </c>
      <c r="AE87" s="24" t="inlineStr">
        <is>
          <t>valuation_credit_ml_overlay_candidate.csv</t>
        </is>
      </c>
      <c r="AF87" s="24" t="inlineStr">
        <is>
          <t>208개 반도체 reference universe. Valuation Agent가 자체 intake 폴더로 복제해 Peer/ML/대시보드 비교에 사용.</t>
        </is>
      </c>
    </row>
    <row r="88" ht="24" customHeight="1">
      <c r="A88" s="29" t="inlineStr">
        <is>
          <t>14</t>
        </is>
      </c>
      <c r="B88" s="29" t="inlineStr">
        <is>
          <t>해당 없음</t>
        </is>
      </c>
      <c r="C88" s="29" t="inlineStr">
        <is>
          <t>서울반도체</t>
        </is>
      </c>
      <c r="D88" s="29" t="inlineStr">
        <is>
          <t>046890</t>
        </is>
      </c>
      <c r="E88" s="29" t="inlineStr">
        <is>
          <t>KOSDAQ GLOBAL</t>
        </is>
      </c>
      <c r="F88" s="29" t="inlineStr">
        <is>
          <t>IDM/제조/메모리</t>
        </is>
      </c>
      <c r="G88" s="29" t="inlineStr">
        <is>
          <t>IDM/제조/메모리</t>
        </is>
      </c>
      <c r="H88" s="29" t="inlineStr">
        <is>
          <t>False</t>
        </is>
      </c>
      <c r="I88" s="29" t="inlineStr">
        <is>
          <t>True</t>
        </is>
      </c>
      <c r="J88" s="29" t="inlineStr">
        <is>
          <t>OK</t>
        </is>
      </c>
      <c r="K88" s="29" t="inlineStr">
        <is>
          <t>데이터 사용 가능</t>
        </is>
      </c>
      <c r="L88" s="29" t="inlineStr">
        <is>
          <t>LOW</t>
        </is>
      </c>
      <c r="M88" s="29" t="inlineStr">
        <is>
          <t>LOW</t>
        </is>
      </c>
      <c r="N88" s="29" t="inlineStr">
        <is>
          <t>0.4713333333333333</t>
        </is>
      </c>
      <c r="O88" s="29" t="inlineStr">
        <is>
          <t>FAIR</t>
        </is>
      </c>
      <c r="P88" s="29" t="inlineStr">
        <is>
          <t>FAIR</t>
        </is>
      </c>
      <c r="Q88" s="29" t="inlineStr">
        <is>
          <t>FAIR</t>
        </is>
      </c>
      <c r="R88" s="29" t="inlineStr">
        <is>
          <t>0.8223266790603506</t>
        </is>
      </c>
      <c r="S88" s="29" t="inlineStr">
        <is>
          <t>HIGH</t>
        </is>
      </c>
      <c r="T88" s="29" t="inlineStr">
        <is>
          <t>HIGH</t>
        </is>
      </c>
      <c r="U88" s="29" t="inlineStr">
        <is>
          <t>0.4285714285714285</t>
        </is>
      </c>
      <c r="V88" s="29" t="inlineStr">
        <is>
          <t>HIGH_RISK</t>
        </is>
      </c>
      <c r="W88" s="29" t="inlineStr">
        <is>
          <t>고위험</t>
        </is>
      </c>
      <c r="X88" s="29" t="inlineStr">
        <is>
          <t>HIGH_RISK</t>
        </is>
      </c>
      <c r="Y88" s="29" t="inlineStr">
        <is>
          <t>0.4638497062404094</t>
        </is>
      </c>
      <c r="Z88" s="29" t="inlineStr">
        <is>
          <t>LOW</t>
        </is>
      </c>
      <c r="AA88" s="29" t="inlineStr">
        <is>
          <t>LOW</t>
        </is>
      </c>
      <c r="AB88" s="29" t="inlineStr">
        <is>
          <t>0.03475805140959721</t>
        </is>
      </c>
      <c r="AC88" s="29" t="inlineStr">
        <is>
          <t>False</t>
        </is>
      </c>
      <c r="AD88" s="29" t="inlineStr">
        <is>
          <t>True</t>
        </is>
      </c>
      <c r="AE88" s="29" t="inlineStr">
        <is>
          <t>valuation_credit_ml_overlay_candidate.csv</t>
        </is>
      </c>
      <c r="AF88" s="29" t="inlineStr">
        <is>
          <t>208개 반도체 reference universe. Valuation Agent가 자체 intake 폴더로 복제해 Peer/ML/대시보드 비교에 사용.</t>
        </is>
      </c>
    </row>
    <row r="89" ht="24" customHeight="1">
      <c r="A89" s="24" t="inlineStr">
        <is>
          <t>2</t>
        </is>
      </c>
      <c r="B89" s="24" t="inlineStr">
        <is>
          <t>해당 없음</t>
        </is>
      </c>
      <c r="C89" s="24" t="inlineStr">
        <is>
          <t>HD현대에너지솔루션</t>
        </is>
      </c>
      <c r="D89" s="24" t="inlineStr">
        <is>
          <t>322000</t>
        </is>
      </c>
      <c r="E89" s="24" t="inlineStr">
        <is>
          <t>KOSPI</t>
        </is>
      </c>
      <c r="F89" s="24" t="inlineStr">
        <is>
          <t>IDM/제조/메모리</t>
        </is>
      </c>
      <c r="G89" s="24" t="inlineStr">
        <is>
          <t>IDM/제조/메모리</t>
        </is>
      </c>
      <c r="H89" s="24" t="inlineStr">
        <is>
          <t>False</t>
        </is>
      </c>
      <c r="I89" s="24" t="inlineStr">
        <is>
          <t>True</t>
        </is>
      </c>
      <c r="J89" s="24" t="inlineStr">
        <is>
          <t>OK</t>
        </is>
      </c>
      <c r="K89" s="24" t="inlineStr">
        <is>
          <t>데이터 사용 가능</t>
        </is>
      </c>
      <c r="L89" s="24" t="inlineStr">
        <is>
          <t>LOW</t>
        </is>
      </c>
      <c r="M89" s="24" t="inlineStr">
        <is>
          <t>LOW</t>
        </is>
      </c>
      <c r="N89" s="24" t="inlineStr">
        <is>
          <t>0.465</t>
        </is>
      </c>
      <c r="O89" s="24" t="inlineStr">
        <is>
          <t>FAIR</t>
        </is>
      </c>
      <c r="P89" s="24" t="inlineStr">
        <is>
          <t>FAIR</t>
        </is>
      </c>
      <c r="Q89" s="24" t="inlineStr">
        <is>
          <t>FAIR</t>
        </is>
      </c>
      <c r="R89" s="24" t="inlineStr">
        <is>
          <t>0.6226975287022534</t>
        </is>
      </c>
      <c r="S89" s="24" t="inlineStr">
        <is>
          <t>MEDIUM</t>
        </is>
      </c>
      <c r="T89" s="24" t="inlineStr">
        <is>
          <t>MEDIUM</t>
        </is>
      </c>
      <c r="U89" s="24" t="inlineStr">
        <is>
          <t>0.1428571428571428</t>
        </is>
      </c>
      <c r="V89" s="24" t="inlineStr">
        <is>
          <t>LOW_RISK</t>
        </is>
      </c>
      <c r="W89" s="24" t="inlineStr">
        <is>
          <t>저위험</t>
        </is>
      </c>
      <c r="X89" s="24" t="inlineStr">
        <is>
          <t>LOW_RISK</t>
        </is>
      </c>
      <c r="Y89" s="24" t="inlineStr">
        <is>
          <t>0.7991918320073205</t>
        </is>
      </c>
      <c r="Z89" s="24" t="inlineStr">
        <is>
          <t>HIGH</t>
        </is>
      </c>
      <c r="AA89" s="24" t="inlineStr">
        <is>
          <t>HIGH</t>
        </is>
      </c>
      <c r="AB89" s="24" t="inlineStr">
        <is>
          <t>0.09437249653360377</t>
        </is>
      </c>
      <c r="AC89" s="24" t="inlineStr">
        <is>
          <t>False</t>
        </is>
      </c>
      <c r="AD89" s="24" t="inlineStr">
        <is>
          <t>False</t>
        </is>
      </c>
      <c r="AE89" s="24" t="inlineStr">
        <is>
          <t>valuation_credit_ml_overlay_candidate.csv</t>
        </is>
      </c>
      <c r="AF89" s="24" t="inlineStr">
        <is>
          <t>208개 반도체 reference universe. Valuation Agent가 자체 intake 폴더로 복제해 Peer/ML/대시보드 비교에 사용.</t>
        </is>
      </c>
    </row>
    <row r="90" ht="24" customHeight="1">
      <c r="A90" s="29" t="inlineStr">
        <is>
          <t>25</t>
        </is>
      </c>
      <c r="B90" s="29" t="inlineStr">
        <is>
          <t>해당 없음</t>
        </is>
      </c>
      <c r="C90" s="29" t="inlineStr">
        <is>
          <t>와이투솔루션</t>
        </is>
      </c>
      <c r="D90" s="29" t="inlineStr">
        <is>
          <t>011690</t>
        </is>
      </c>
      <c r="E90" s="29" t="inlineStr">
        <is>
          <t>KOSPI</t>
        </is>
      </c>
      <c r="F90" s="29" t="inlineStr">
        <is>
          <t>IDM/제조/메모리</t>
        </is>
      </c>
      <c r="G90" s="29" t="inlineStr">
        <is>
          <t>IDM/제조/메모리</t>
        </is>
      </c>
      <c r="H90" s="29" t="inlineStr">
        <is>
          <t>False</t>
        </is>
      </c>
      <c r="I90" s="29" t="inlineStr">
        <is>
          <t>True</t>
        </is>
      </c>
      <c r="J90" s="29" t="inlineStr">
        <is>
          <t>OK</t>
        </is>
      </c>
      <c r="K90" s="29" t="inlineStr">
        <is>
          <t>데이터 사용 가능</t>
        </is>
      </c>
      <c r="L90" s="29" t="inlineStr">
        <is>
          <t>LOW</t>
        </is>
      </c>
      <c r="M90" s="29" t="inlineStr">
        <is>
          <t>LOW</t>
        </is>
      </c>
      <c r="N90" s="29" t="inlineStr">
        <is>
          <t>0.4601666666666666</t>
        </is>
      </c>
      <c r="O90" s="29" t="inlineStr">
        <is>
          <t>FAIR</t>
        </is>
      </c>
      <c r="P90" s="29" t="inlineStr">
        <is>
          <t>FAIR</t>
        </is>
      </c>
      <c r="Q90" s="29" t="inlineStr">
        <is>
          <t>FAIR</t>
        </is>
      </c>
      <c r="R90" s="29" t="inlineStr">
        <is>
          <t>0.7379153959384467</t>
        </is>
      </c>
      <c r="S90" s="29" t="inlineStr">
        <is>
          <t>HIGH</t>
        </is>
      </c>
      <c r="T90" s="29" t="inlineStr">
        <is>
          <t>HIGH</t>
        </is>
      </c>
      <c r="U90" s="29" t="inlineStr">
        <is>
          <t>0.5714285714285714</t>
        </is>
      </c>
      <c r="V90" s="29" t="inlineStr">
        <is>
          <t>HIGH_RISK</t>
        </is>
      </c>
      <c r="W90" s="29" t="inlineStr">
        <is>
          <t>고위험</t>
        </is>
      </c>
      <c r="X90" s="29" t="inlineStr">
        <is>
          <t>HIGH_RISK</t>
        </is>
      </c>
      <c r="Y90" s="29" t="inlineStr">
        <is>
          <t>0.8423633310679534</t>
        </is>
      </c>
      <c r="Z90" s="29" t="inlineStr">
        <is>
          <t>HIGH</t>
        </is>
      </c>
      <c r="AA90" s="29" t="inlineStr">
        <is>
          <t>HIGH</t>
        </is>
      </c>
      <c r="AB90" s="29" t="inlineStr">
        <is>
          <t>0.03670855345736708</t>
        </is>
      </c>
      <c r="AC90" s="29" t="inlineStr">
        <is>
          <t>False</t>
        </is>
      </c>
      <c r="AD90" s="29" t="inlineStr">
        <is>
          <t>False</t>
        </is>
      </c>
      <c r="AE90" s="29" t="inlineStr">
        <is>
          <t>valuation_credit_ml_overlay_candidate.csv</t>
        </is>
      </c>
      <c r="AF90" s="29" t="inlineStr">
        <is>
          <t>208개 반도체 reference universe. Valuation Agent가 자체 intake 폴더로 복제해 Peer/ML/대시보드 비교에 사용.</t>
        </is>
      </c>
    </row>
    <row r="91" ht="24" customHeight="1">
      <c r="A91" s="24" t="inlineStr">
        <is>
          <t>16</t>
        </is>
      </c>
      <c r="B91" s="24" t="inlineStr">
        <is>
          <t>해당 없음</t>
        </is>
      </c>
      <c r="C91" s="24" t="inlineStr">
        <is>
          <t>신성이엔지</t>
        </is>
      </c>
      <c r="D91" s="24" t="inlineStr">
        <is>
          <t>011930</t>
        </is>
      </c>
      <c r="E91" s="24" t="inlineStr">
        <is>
          <t>KOSPI</t>
        </is>
      </c>
      <c r="F91" s="24" t="inlineStr">
        <is>
          <t>IDM/제조/메모리</t>
        </is>
      </c>
      <c r="G91" s="24" t="inlineStr">
        <is>
          <t>IDM/제조/메모리</t>
        </is>
      </c>
      <c r="H91" s="24" t="inlineStr">
        <is>
          <t>False</t>
        </is>
      </c>
      <c r="I91" s="24" t="inlineStr">
        <is>
          <t>True</t>
        </is>
      </c>
      <c r="J91" s="24" t="inlineStr">
        <is>
          <t>OK</t>
        </is>
      </c>
      <c r="K91" s="24" t="inlineStr">
        <is>
          <t>데이터 사용 가능</t>
        </is>
      </c>
      <c r="L91" s="24" t="inlineStr">
        <is>
          <t>LOW</t>
        </is>
      </c>
      <c r="M91" s="24" t="inlineStr">
        <is>
          <t>LOW</t>
        </is>
      </c>
      <c r="N91" s="24" t="inlineStr">
        <is>
          <t>0.4551666666666667</t>
        </is>
      </c>
      <c r="O91" s="24" t="inlineStr">
        <is>
          <t>FAIR</t>
        </is>
      </c>
      <c r="P91" s="24" t="inlineStr">
        <is>
          <t>FAIR</t>
        </is>
      </c>
      <c r="Q91" s="24" t="inlineStr">
        <is>
          <t>FAIR</t>
        </is>
      </c>
      <c r="R91" s="24" t="inlineStr">
        <is>
          <t>0.7610157176994289</t>
        </is>
      </c>
      <c r="S91" s="24" t="inlineStr">
        <is>
          <t>HIGH</t>
        </is>
      </c>
      <c r="T91" s="24" t="inlineStr">
        <is>
          <t>HIGH</t>
        </is>
      </c>
      <c r="U91" s="24" t="inlineStr">
        <is>
          <t>0.5714285714285714</t>
        </is>
      </c>
      <c r="V91" s="24" t="inlineStr">
        <is>
          <t>HIGH_RISK</t>
        </is>
      </c>
      <c r="W91" s="24" t="inlineStr">
        <is>
          <t>고위험</t>
        </is>
      </c>
      <c r="X91" s="24" t="inlineStr">
        <is>
          <t>HIGH_RISK</t>
        </is>
      </c>
      <c r="Y91" s="24" t="inlineStr">
        <is>
          <t>0.8294308064443926</t>
        </is>
      </c>
      <c r="Z91" s="24" t="inlineStr">
        <is>
          <t>HIGH</t>
        </is>
      </c>
      <c r="AA91" s="24" t="inlineStr">
        <is>
          <t>HIGH</t>
        </is>
      </c>
      <c r="AB91" s="24" t="inlineStr">
        <is>
          <t>0.06151448502214275</t>
        </is>
      </c>
      <c r="AC91" s="24" t="inlineStr">
        <is>
          <t>False</t>
        </is>
      </c>
      <c r="AD91" s="24" t="inlineStr">
        <is>
          <t>False</t>
        </is>
      </c>
      <c r="AE91" s="24" t="inlineStr">
        <is>
          <t>valuation_credit_ml_overlay_candidate.csv</t>
        </is>
      </c>
      <c r="AF91" s="24" t="inlineStr">
        <is>
          <t>208개 반도체 reference universe. Valuation Agent가 자체 intake 폴더로 복제해 Peer/ML/대시보드 비교에 사용.</t>
        </is>
      </c>
    </row>
    <row r="92" ht="24" customHeight="1">
      <c r="A92" s="29" t="inlineStr">
        <is>
          <t>3</t>
        </is>
      </c>
      <c r="B92" s="29" t="inlineStr">
        <is>
          <t>해당 없음</t>
        </is>
      </c>
      <c r="C92" s="29" t="inlineStr">
        <is>
          <t>KEC</t>
        </is>
      </c>
      <c r="D92" s="29" t="inlineStr">
        <is>
          <t>092220</t>
        </is>
      </c>
      <c r="E92" s="29" t="inlineStr">
        <is>
          <t>KOSPI</t>
        </is>
      </c>
      <c r="F92" s="29" t="inlineStr">
        <is>
          <t>IDM/제조/메모리</t>
        </is>
      </c>
      <c r="G92" s="29" t="inlineStr">
        <is>
          <t>IDM/제조/메모리</t>
        </is>
      </c>
      <c r="H92" s="29" t="inlineStr">
        <is>
          <t>False</t>
        </is>
      </c>
      <c r="I92" s="29" t="inlineStr">
        <is>
          <t>True</t>
        </is>
      </c>
      <c r="J92" s="29" t="inlineStr">
        <is>
          <t>OK</t>
        </is>
      </c>
      <c r="K92" s="29" t="inlineStr">
        <is>
          <t>데이터 사용 가능</t>
        </is>
      </c>
      <c r="L92" s="29" t="inlineStr">
        <is>
          <t>LOW</t>
        </is>
      </c>
      <c r="M92" s="29" t="inlineStr">
        <is>
          <t>LOW</t>
        </is>
      </c>
      <c r="N92" s="29" t="inlineStr">
        <is>
          <t>0.4550000000000001</t>
        </is>
      </c>
      <c r="O92" s="29" t="inlineStr">
        <is>
          <t>FAIR</t>
        </is>
      </c>
      <c r="P92" s="29" t="inlineStr">
        <is>
          <t>FAIR</t>
        </is>
      </c>
      <c r="Q92" s="29" t="inlineStr">
        <is>
          <t>FAIR</t>
        </is>
      </c>
      <c r="R92" s="29" t="inlineStr">
        <is>
          <t>0.7937660338126779</t>
        </is>
      </c>
      <c r="S92" s="29" t="inlineStr">
        <is>
          <t>HIGH</t>
        </is>
      </c>
      <c r="T92" s="29" t="inlineStr">
        <is>
          <t>HIGH</t>
        </is>
      </c>
      <c r="U92" s="29" t="inlineStr">
        <is>
          <t>0.5</t>
        </is>
      </c>
      <c r="V92" s="29" t="inlineStr">
        <is>
          <t>HIGH_RISK</t>
        </is>
      </c>
      <c r="W92" s="29" t="inlineStr">
        <is>
          <t>고위험</t>
        </is>
      </c>
      <c r="X92" s="29" t="inlineStr">
        <is>
          <t>HIGH_RISK</t>
        </is>
      </c>
      <c r="Y92" s="29" t="inlineStr">
        <is>
          <t>0.7303610104178266</t>
        </is>
      </c>
      <c r="Z92" s="29" t="inlineStr">
        <is>
          <t>HIGH</t>
        </is>
      </c>
      <c r="AA92" s="29" t="inlineStr">
        <is>
          <t>HIGH</t>
        </is>
      </c>
      <c r="AB92" s="29" t="inlineStr">
        <is>
          <t>0.053989845114113894</t>
        </is>
      </c>
      <c r="AC92" s="29" t="inlineStr">
        <is>
          <t>False</t>
        </is>
      </c>
      <c r="AD92" s="29" t="inlineStr">
        <is>
          <t>False</t>
        </is>
      </c>
      <c r="AE92" s="29" t="inlineStr">
        <is>
          <t>valuation_credit_ml_overlay_candidate.csv</t>
        </is>
      </c>
      <c r="AF92" s="29" t="inlineStr">
        <is>
          <t>208개 반도체 reference universe. Valuation Agent가 자체 intake 폴더로 복제해 Peer/ML/대시보드 비교에 사용.</t>
        </is>
      </c>
    </row>
    <row r="93" ht="24" customHeight="1">
      <c r="A93" s="24" t="inlineStr">
        <is>
          <t>28</t>
        </is>
      </c>
      <c r="B93" s="24" t="inlineStr">
        <is>
          <t>해당 없음</t>
        </is>
      </c>
      <c r="C93" s="24" t="inlineStr">
        <is>
          <t>일진디스플</t>
        </is>
      </c>
      <c r="D93" s="24" t="inlineStr">
        <is>
          <t>020760</t>
        </is>
      </c>
      <c r="E93" s="24" t="inlineStr">
        <is>
          <t>KOSPI</t>
        </is>
      </c>
      <c r="F93" s="24" t="inlineStr">
        <is>
          <t>IDM/제조/메모리</t>
        </is>
      </c>
      <c r="G93" s="24" t="inlineStr">
        <is>
          <t>IDM/제조/메모리</t>
        </is>
      </c>
      <c r="H93" s="24" t="inlineStr">
        <is>
          <t>False</t>
        </is>
      </c>
      <c r="I93" s="24" t="inlineStr">
        <is>
          <t>True</t>
        </is>
      </c>
      <c r="J93" s="24" t="inlineStr">
        <is>
          <t>OK</t>
        </is>
      </c>
      <c r="K93" s="24" t="inlineStr">
        <is>
          <t>데이터 사용 가능</t>
        </is>
      </c>
      <c r="L93" s="24" t="inlineStr">
        <is>
          <t>LOW</t>
        </is>
      </c>
      <c r="M93" s="24" t="inlineStr">
        <is>
          <t>LOW</t>
        </is>
      </c>
      <c r="N93" s="24" t="inlineStr">
        <is>
          <t>0.4335</t>
        </is>
      </c>
      <c r="O93" s="24" t="inlineStr">
        <is>
          <t>FAIR</t>
        </is>
      </c>
      <c r="P93" s="24" t="inlineStr">
        <is>
          <t>FAIR</t>
        </is>
      </c>
      <c r="Q93" s="24" t="inlineStr">
        <is>
          <t>FAIR</t>
        </is>
      </c>
      <c r="R93" s="24" t="inlineStr">
        <is>
          <t>0.7887205359697603</t>
        </is>
      </c>
      <c r="S93" s="24" t="inlineStr">
        <is>
          <t>HIGH</t>
        </is>
      </c>
      <c r="T93" s="24" t="inlineStr">
        <is>
          <t>HIGH</t>
        </is>
      </c>
      <c r="U93" s="24" t="inlineStr">
        <is>
          <t>0.6428571428571429</t>
        </is>
      </c>
      <c r="V93" s="24" t="inlineStr">
        <is>
          <t>HIGH_RISK</t>
        </is>
      </c>
      <c r="W93" s="24" t="inlineStr">
        <is>
          <t>고위험</t>
        </is>
      </c>
      <c r="X93" s="24" t="inlineStr">
        <is>
          <t>HIGH_RISK</t>
        </is>
      </c>
      <c r="Y93" s="24" t="inlineStr">
        <is>
          <t>0.8165793827285804</t>
        </is>
      </c>
      <c r="Z93" s="24" t="inlineStr">
        <is>
          <t>HIGH</t>
        </is>
      </c>
      <c r="AA93" s="24" t="inlineStr">
        <is>
          <t>HIGH</t>
        </is>
      </c>
      <c r="AB93" s="24" t="inlineStr">
        <is>
          <t>0.21528045597611217</t>
        </is>
      </c>
      <c r="AC93" s="24" t="inlineStr">
        <is>
          <t>False</t>
        </is>
      </c>
      <c r="AD93" s="24" t="inlineStr">
        <is>
          <t>False</t>
        </is>
      </c>
      <c r="AE93" s="24" t="inlineStr">
        <is>
          <t>valuation_credit_ml_overlay_candidate.csv</t>
        </is>
      </c>
      <c r="AF93" s="24" t="inlineStr">
        <is>
          <t>208개 반도체 reference universe. Valuation Agent가 자체 intake 폴더로 복제해 Peer/ML/대시보드 비교에 사용.</t>
        </is>
      </c>
    </row>
    <row r="94" ht="24" customHeight="1">
      <c r="A94" s="29" t="inlineStr">
        <is>
          <t>7</t>
        </is>
      </c>
      <c r="B94" s="29" t="inlineStr">
        <is>
          <t>해당 없음</t>
        </is>
      </c>
      <c r="C94" s="29" t="inlineStr">
        <is>
          <t>덕산하이메탈</t>
        </is>
      </c>
      <c r="D94" s="29" t="inlineStr">
        <is>
          <t>077360</t>
        </is>
      </c>
      <c r="E94" s="29" t="inlineStr">
        <is>
          <t>KOSDAQ</t>
        </is>
      </c>
      <c r="F94" s="29" t="inlineStr">
        <is>
          <t>IDM/제조/메모리</t>
        </is>
      </c>
      <c r="G94" s="29" t="inlineStr">
        <is>
          <t>IDM/제조/메모리</t>
        </is>
      </c>
      <c r="H94" s="29" t="inlineStr">
        <is>
          <t>False</t>
        </is>
      </c>
      <c r="I94" s="29" t="inlineStr">
        <is>
          <t>True</t>
        </is>
      </c>
      <c r="J94" s="29" t="inlineStr">
        <is>
          <t>OK</t>
        </is>
      </c>
      <c r="K94" s="29" t="inlineStr">
        <is>
          <t>데이터 사용 가능</t>
        </is>
      </c>
      <c r="L94" s="29" t="inlineStr">
        <is>
          <t>LOW</t>
        </is>
      </c>
      <c r="M94" s="29" t="inlineStr">
        <is>
          <t>LOW</t>
        </is>
      </c>
      <c r="N94" s="29" t="inlineStr">
        <is>
          <t>0.4333333333333333</t>
        </is>
      </c>
      <c r="O94" s="29" t="inlineStr">
        <is>
          <t>FAIR</t>
        </is>
      </c>
      <c r="P94" s="29" t="inlineStr">
        <is>
          <t>FAIR</t>
        </is>
      </c>
      <c r="Q94" s="29" t="inlineStr">
        <is>
          <t>FAIR</t>
        </is>
      </c>
      <c r="R94" s="29" t="inlineStr">
        <is>
          <t>0.6698541971057747</t>
        </is>
      </c>
      <c r="S94" s="29" t="inlineStr">
        <is>
          <t>MEDIUM</t>
        </is>
      </c>
      <c r="T94" s="29" t="inlineStr">
        <is>
          <t>MEDIUM</t>
        </is>
      </c>
      <c r="U94" s="29" t="inlineStr">
        <is>
          <t>0.2857142857142857</t>
        </is>
      </c>
      <c r="V94" s="29" t="inlineStr">
        <is>
          <t>MEDIUM_RISK</t>
        </is>
      </c>
      <c r="W94" s="29" t="inlineStr">
        <is>
          <t>중위험</t>
        </is>
      </c>
      <c r="X94" s="29" t="inlineStr">
        <is>
          <t>MEDIUM_RISK</t>
        </is>
      </c>
      <c r="Y94" s="29" t="inlineStr">
        <is>
          <t>0.6576042698954024</t>
        </is>
      </c>
      <c r="Z94" s="29" t="inlineStr">
        <is>
          <t>MEDIUM</t>
        </is>
      </c>
      <c r="AA94" s="29" t="inlineStr">
        <is>
          <t>MEDIUM</t>
        </is>
      </c>
      <c r="AB94" s="29" t="inlineStr">
        <is>
          <t>0.07260471392088348</t>
        </is>
      </c>
      <c r="AC94" s="29" t="inlineStr">
        <is>
          <t>False</t>
        </is>
      </c>
      <c r="AD94" s="29" t="inlineStr">
        <is>
          <t>False</t>
        </is>
      </c>
      <c r="AE94" s="29" t="inlineStr">
        <is>
          <t>valuation_credit_ml_overlay_candidate.csv</t>
        </is>
      </c>
      <c r="AF94" s="29" t="inlineStr">
        <is>
          <t>208개 반도체 reference universe. Valuation Agent가 자체 intake 폴더로 복제해 Peer/ML/대시보드 비교에 사용.</t>
        </is>
      </c>
    </row>
    <row r="95" ht="24" customHeight="1">
      <c r="A95" s="24" t="inlineStr">
        <is>
          <t>20</t>
        </is>
      </c>
      <c r="B95" s="24" t="inlineStr">
        <is>
          <t>해당 없음</t>
        </is>
      </c>
      <c r="C95" s="24" t="inlineStr">
        <is>
          <t>에이디테크놀로지</t>
        </is>
      </c>
      <c r="D95" s="24" t="inlineStr">
        <is>
          <t>200710</t>
        </is>
      </c>
      <c r="E95" s="24" t="inlineStr">
        <is>
          <t>KOSDAQ</t>
        </is>
      </c>
      <c r="F95" s="24" t="inlineStr">
        <is>
          <t>IDM/제조/메모리</t>
        </is>
      </c>
      <c r="G95" s="24" t="inlineStr">
        <is>
          <t>IDM/제조/메모리</t>
        </is>
      </c>
      <c r="H95" s="24" t="inlineStr">
        <is>
          <t>False</t>
        </is>
      </c>
      <c r="I95" s="24" t="inlineStr">
        <is>
          <t>True</t>
        </is>
      </c>
      <c r="J95" s="24" t="inlineStr">
        <is>
          <t>OK</t>
        </is>
      </c>
      <c r="K95" s="24" t="inlineStr">
        <is>
          <t>데이터 사용 가능</t>
        </is>
      </c>
      <c r="L95" s="24" t="inlineStr">
        <is>
          <t>LOW</t>
        </is>
      </c>
      <c r="M95" s="24" t="inlineStr">
        <is>
          <t>LOW</t>
        </is>
      </c>
      <c r="N95" s="24" t="inlineStr">
        <is>
          <t>0.4271666666666666</t>
        </is>
      </c>
      <c r="O95" s="24" t="inlineStr">
        <is>
          <t>FAIR</t>
        </is>
      </c>
      <c r="P95" s="24" t="inlineStr">
        <is>
          <t>FAIR</t>
        </is>
      </c>
      <c r="Q95" s="24" t="inlineStr">
        <is>
          <t>FAIR</t>
        </is>
      </c>
      <c r="R95" s="24" t="inlineStr">
        <is>
          <t>0.6637416757093363</t>
        </is>
      </c>
      <c r="S95" s="24" t="inlineStr">
        <is>
          <t>MEDIUM</t>
        </is>
      </c>
      <c r="T95" s="24" t="inlineStr">
        <is>
          <t>MEDIUM</t>
        </is>
      </c>
      <c r="U95" s="24" t="inlineStr">
        <is>
          <t>0.2857142857142857</t>
        </is>
      </c>
      <c r="V95" s="24" t="inlineStr">
        <is>
          <t>MEDIUM_RISK</t>
        </is>
      </c>
      <c r="W95" s="24" t="inlineStr">
        <is>
          <t>중위험</t>
        </is>
      </c>
      <c r="X95" s="24" t="inlineStr">
        <is>
          <t>MEDIUM_RISK</t>
        </is>
      </c>
      <c r="Y95" s="24" t="inlineStr">
        <is>
          <t>0.4528354914042248</t>
        </is>
      </c>
      <c r="Z95" s="24" t="inlineStr">
        <is>
          <t>LOW</t>
        </is>
      </c>
      <c r="AA95" s="24" t="inlineStr">
        <is>
          <t>LOW</t>
        </is>
      </c>
      <c r="AB95" s="24" t="inlineStr">
        <is>
          <t>0.0588627097981607</t>
        </is>
      </c>
      <c r="AC95" s="24" t="inlineStr">
        <is>
          <t>False</t>
        </is>
      </c>
      <c r="AD95" s="24" t="inlineStr">
        <is>
          <t>True</t>
        </is>
      </c>
      <c r="AE95" s="24" t="inlineStr">
        <is>
          <t>valuation_credit_ml_overlay_candidate.csv</t>
        </is>
      </c>
      <c r="AF95" s="24" t="inlineStr">
        <is>
          <t>208개 반도체 reference universe. Valuation Agent가 자체 intake 폴더로 복제해 Peer/ML/대시보드 비교에 사용.</t>
        </is>
      </c>
    </row>
    <row r="96" ht="24" customHeight="1">
      <c r="A96" s="29" t="inlineStr">
        <is>
          <t>5</t>
        </is>
      </c>
      <c r="B96" s="29" t="inlineStr">
        <is>
          <t>해당 없음</t>
        </is>
      </c>
      <c r="C96" s="29" t="inlineStr">
        <is>
          <t>광전자</t>
        </is>
      </c>
      <c r="D96" s="29" t="inlineStr">
        <is>
          <t>017900</t>
        </is>
      </c>
      <c r="E96" s="29" t="inlineStr">
        <is>
          <t>KOSPI</t>
        </is>
      </c>
      <c r="F96" s="29" t="inlineStr">
        <is>
          <t>IDM/제조/메모리</t>
        </is>
      </c>
      <c r="G96" s="29" t="inlineStr">
        <is>
          <t>IDM/제조/메모리</t>
        </is>
      </c>
      <c r="H96" s="29" t="inlineStr">
        <is>
          <t>False</t>
        </is>
      </c>
      <c r="I96" s="29" t="inlineStr">
        <is>
          <t>True</t>
        </is>
      </c>
      <c r="J96" s="29" t="inlineStr">
        <is>
          <t>OK</t>
        </is>
      </c>
      <c r="K96" s="29" t="inlineStr">
        <is>
          <t>데이터 사용 가능</t>
        </is>
      </c>
      <c r="L96" s="29" t="inlineStr">
        <is>
          <t>LOW</t>
        </is>
      </c>
      <c r="M96" s="29" t="inlineStr">
        <is>
          <t>LOW</t>
        </is>
      </c>
      <c r="N96" s="29" t="inlineStr">
        <is>
          <t>0.4184166666666666</t>
        </is>
      </c>
      <c r="O96" s="29" t="inlineStr">
        <is>
          <t>EXPENSIVE</t>
        </is>
      </c>
      <c r="P96" s="29" t="inlineStr">
        <is>
          <t>EXPENSIVE</t>
        </is>
      </c>
      <c r="Q96" s="29" t="inlineStr">
        <is>
          <t>EXPENSIVE</t>
        </is>
      </c>
      <c r="R96" s="29" t="inlineStr">
        <is>
          <t>0.6817751829328556</t>
        </is>
      </c>
      <c r="S96" s="29" t="inlineStr">
        <is>
          <t>MEDIUM</t>
        </is>
      </c>
      <c r="T96" s="29" t="inlineStr">
        <is>
          <t>MEDIUM</t>
        </is>
      </c>
      <c r="U96" s="29" t="inlineStr">
        <is>
          <t>0.2142857142857142</t>
        </is>
      </c>
      <c r="V96" s="29" t="inlineStr">
        <is>
          <t>MEDIUM_RISK</t>
        </is>
      </c>
      <c r="W96" s="29" t="inlineStr">
        <is>
          <t>중위험</t>
        </is>
      </c>
      <c r="X96" s="29" t="inlineStr">
        <is>
          <t>LOW_RISK</t>
        </is>
      </c>
      <c r="Y96" s="29" t="inlineStr">
        <is>
          <t>0.4656539331033742</t>
        </is>
      </c>
      <c r="Z96" s="29" t="inlineStr">
        <is>
          <t>LOW</t>
        </is>
      </c>
      <c r="AA96" s="29" t="inlineStr">
        <is>
          <t>LOW</t>
        </is>
      </c>
      <c r="AB96" s="29" t="inlineStr">
        <is>
          <t>0.24789843408919227</t>
        </is>
      </c>
      <c r="AC96" s="29" t="inlineStr">
        <is>
          <t>True</t>
        </is>
      </c>
      <c r="AD96" s="29" t="inlineStr">
        <is>
          <t>True</t>
        </is>
      </c>
      <c r="AE96" s="29" t="inlineStr">
        <is>
          <t>valuation_credit_ml_overlay_candidate.csv</t>
        </is>
      </c>
      <c r="AF96" s="29" t="inlineStr">
        <is>
          <t>208개 반도체 reference universe. Valuation Agent가 자체 intake 폴더로 복제해 Peer/ML/대시보드 비교에 사용.</t>
        </is>
      </c>
    </row>
    <row r="97" ht="24" customHeight="1">
      <c r="A97" s="24" t="inlineStr">
        <is>
          <t>19</t>
        </is>
      </c>
      <c r="B97" s="24" t="inlineStr">
        <is>
          <t>해당 없음</t>
        </is>
      </c>
      <c r="C97" s="24" t="inlineStr">
        <is>
          <t>아진엑스텍</t>
        </is>
      </c>
      <c r="D97" s="24" t="inlineStr">
        <is>
          <t>059120</t>
        </is>
      </c>
      <c r="E97" s="24" t="inlineStr">
        <is>
          <t>KOSDAQ</t>
        </is>
      </c>
      <c r="F97" s="24" t="inlineStr">
        <is>
          <t>IDM/제조/메모리</t>
        </is>
      </c>
      <c r="G97" s="24" t="inlineStr">
        <is>
          <t>IDM/제조/메모리</t>
        </is>
      </c>
      <c r="H97" s="24" t="inlineStr">
        <is>
          <t>False</t>
        </is>
      </c>
      <c r="I97" s="24" t="inlineStr">
        <is>
          <t>True</t>
        </is>
      </c>
      <c r="J97" s="24" t="inlineStr">
        <is>
          <t>OK</t>
        </is>
      </c>
      <c r="K97" s="24" t="inlineStr">
        <is>
          <t>데이터 사용 가능</t>
        </is>
      </c>
      <c r="L97" s="24" t="inlineStr">
        <is>
          <t>LOW</t>
        </is>
      </c>
      <c r="M97" s="24" t="inlineStr">
        <is>
          <t>LOW</t>
        </is>
      </c>
      <c r="N97" s="24" t="inlineStr">
        <is>
          <t>0.4128333333333333</t>
        </is>
      </c>
      <c r="O97" s="24" t="inlineStr">
        <is>
          <t>EXPENSIVE</t>
        </is>
      </c>
      <c r="P97" s="24" t="inlineStr">
        <is>
          <t>EXPENSIVE</t>
        </is>
      </c>
      <c r="Q97" s="24" t="inlineStr">
        <is>
          <t>EXPENSIVE</t>
        </is>
      </c>
      <c r="R97" s="24" t="inlineStr">
        <is>
          <t>0.6635799672057409</t>
        </is>
      </c>
      <c r="S97" s="24" t="inlineStr">
        <is>
          <t>MEDIUM</t>
        </is>
      </c>
      <c r="T97" s="24" t="inlineStr">
        <is>
          <t>MEDIUM</t>
        </is>
      </c>
      <c r="U97" s="24" t="inlineStr">
        <is>
          <t>0.0714285714285714</t>
        </is>
      </c>
      <c r="V97" s="24" t="inlineStr">
        <is>
          <t>LOW_RISK</t>
        </is>
      </c>
      <c r="W97" s="24" t="inlineStr">
        <is>
          <t>저위험</t>
        </is>
      </c>
      <c r="X97" s="24" t="inlineStr">
        <is>
          <t>LOW_RISK</t>
        </is>
      </c>
      <c r="Y97" s="24" t="inlineStr">
        <is>
          <t>0.8000764213249202</t>
        </is>
      </c>
      <c r="Z97" s="24" t="inlineStr">
        <is>
          <t>HIGH</t>
        </is>
      </c>
      <c r="AA97" s="24" t="inlineStr">
        <is>
          <t>HIGH</t>
        </is>
      </c>
      <c r="AB97" s="24" t="inlineStr">
        <is>
          <t>0.21158533556078782</t>
        </is>
      </c>
      <c r="AC97" s="24" t="inlineStr">
        <is>
          <t>False</t>
        </is>
      </c>
      <c r="AD97" s="24" t="inlineStr">
        <is>
          <t>False</t>
        </is>
      </c>
      <c r="AE97" s="24" t="inlineStr">
        <is>
          <t>valuation_credit_ml_overlay_candidate.csv</t>
        </is>
      </c>
      <c r="AF97" s="24" t="inlineStr">
        <is>
          <t>208개 반도체 reference universe. Valuation Agent가 자체 intake 폴더로 복제해 Peer/ML/대시보드 비교에 사용.</t>
        </is>
      </c>
    </row>
    <row r="98" ht="24" customHeight="1">
      <c r="A98" s="29" t="inlineStr">
        <is>
          <t>33</t>
        </is>
      </c>
      <c r="B98" s="29" t="inlineStr">
        <is>
          <t>해당 없음</t>
        </is>
      </c>
      <c r="C98" s="29" t="inlineStr">
        <is>
          <t>코스텍시스</t>
        </is>
      </c>
      <c r="D98" s="29" t="inlineStr">
        <is>
          <t>355150</t>
        </is>
      </c>
      <c r="E98" s="29" t="inlineStr">
        <is>
          <t>KOSDAQ</t>
        </is>
      </c>
      <c r="F98" s="29" t="inlineStr">
        <is>
          <t>IDM/제조/메모리</t>
        </is>
      </c>
      <c r="G98" s="29" t="inlineStr">
        <is>
          <t>IDM/제조/메모리</t>
        </is>
      </c>
      <c r="H98" s="29" t="inlineStr">
        <is>
          <t>False</t>
        </is>
      </c>
      <c r="I98" s="29" t="inlineStr">
        <is>
          <t>True</t>
        </is>
      </c>
      <c r="J98" s="29" t="inlineStr">
        <is>
          <t>OK_LIMITED_HISTORY_OR_GROWTH_NA</t>
        </is>
      </c>
      <c r="K98" s="29" t="inlineStr">
        <is>
          <t>데이터 사용 가능</t>
        </is>
      </c>
      <c r="L98" s="29" t="inlineStr">
        <is>
          <t>LOW</t>
        </is>
      </c>
      <c r="M98" s="29" t="inlineStr">
        <is>
          <t>LOW</t>
        </is>
      </c>
      <c r="N98" s="29" t="inlineStr">
        <is>
          <t>0.4096666666666666</t>
        </is>
      </c>
      <c r="O98" s="29" t="inlineStr">
        <is>
          <t>EXPENSIVE</t>
        </is>
      </c>
      <c r="P98" s="29" t="inlineStr">
        <is>
          <t>EXPENSIVE</t>
        </is>
      </c>
      <c r="Q98" s="29" t="inlineStr">
        <is>
          <t>EXPENSIVE</t>
        </is>
      </c>
      <c r="R98" s="29" t="inlineStr">
        <is>
          <t>0.7518748972741711</t>
        </is>
      </c>
      <c r="S98" s="29" t="inlineStr">
        <is>
          <t>HIGH</t>
        </is>
      </c>
      <c r="T98" s="29" t="inlineStr">
        <is>
          <t>HIGH</t>
        </is>
      </c>
      <c r="U98" s="29" t="inlineStr">
        <is>
          <t>0.5</t>
        </is>
      </c>
      <c r="V98" s="29" t="inlineStr">
        <is>
          <t>HIGH_RISK</t>
        </is>
      </c>
      <c r="W98" s="29" t="inlineStr">
        <is>
          <t>고위험</t>
        </is>
      </c>
      <c r="X98" s="29" t="inlineStr">
        <is>
          <t>MEDIUM_RISK</t>
        </is>
      </c>
      <c r="Y98" s="29" t="inlineStr">
        <is>
          <t>0.4364687611213146</t>
        </is>
      </c>
      <c r="Z98" s="29" t="inlineStr">
        <is>
          <t>LOW</t>
        </is>
      </c>
      <c r="AA98" s="29" t="inlineStr">
        <is>
          <t>LOW</t>
        </is>
      </c>
      <c r="AB98" s="29" t="inlineStr">
        <is>
          <t>0.06817918975036392</t>
        </is>
      </c>
      <c r="AC98" s="29" t="inlineStr">
        <is>
          <t>False</t>
        </is>
      </c>
      <c r="AD98" s="29" t="inlineStr">
        <is>
          <t>True</t>
        </is>
      </c>
      <c r="AE98" s="29" t="inlineStr">
        <is>
          <t>valuation_credit_ml_overlay_candidate.csv</t>
        </is>
      </c>
      <c r="AF98" s="29" t="inlineStr">
        <is>
          <t>208개 반도체 reference universe. Valuation Agent가 자체 intake 폴더로 복제해 Peer/ML/대시보드 비교에 사용.</t>
        </is>
      </c>
    </row>
    <row r="99" ht="24" customHeight="1">
      <c r="A99" s="24" t="inlineStr">
        <is>
          <t>27</t>
        </is>
      </c>
      <c r="B99" s="24" t="inlineStr">
        <is>
          <t>해당 없음</t>
        </is>
      </c>
      <c r="C99" s="24" t="inlineStr">
        <is>
          <t>이미지스</t>
        </is>
      </c>
      <c r="D99" s="24" t="inlineStr">
        <is>
          <t>115610</t>
        </is>
      </c>
      <c r="E99" s="24" t="inlineStr">
        <is>
          <t>KOSDAQ</t>
        </is>
      </c>
      <c r="F99" s="24" t="inlineStr">
        <is>
          <t>IDM/제조/메모리</t>
        </is>
      </c>
      <c r="G99" s="24" t="inlineStr">
        <is>
          <t>IDM/제조/메모리</t>
        </is>
      </c>
      <c r="H99" s="24" t="inlineStr">
        <is>
          <t>False</t>
        </is>
      </c>
      <c r="I99" s="24" t="inlineStr">
        <is>
          <t>True</t>
        </is>
      </c>
      <c r="J99" s="24" t="inlineStr">
        <is>
          <t>OK</t>
        </is>
      </c>
      <c r="K99" s="24" t="inlineStr">
        <is>
          <t>데이터 사용 가능</t>
        </is>
      </c>
      <c r="L99" s="24" t="inlineStr">
        <is>
          <t>LOW</t>
        </is>
      </c>
      <c r="M99" s="24" t="inlineStr">
        <is>
          <t>LOW</t>
        </is>
      </c>
      <c r="N99" s="24" t="inlineStr">
        <is>
          <t>0.3633333333333334</t>
        </is>
      </c>
      <c r="O99" s="24" t="inlineStr">
        <is>
          <t>EXPENSIVE</t>
        </is>
      </c>
      <c r="P99" s="24" t="inlineStr">
        <is>
          <t>EXPENSIVE</t>
        </is>
      </c>
      <c r="Q99" s="24" t="inlineStr">
        <is>
          <t>EXPENSIVE</t>
        </is>
      </c>
      <c r="R99" s="24" t="inlineStr">
        <is>
          <t>0.7470098487547145</t>
        </is>
      </c>
      <c r="S99" s="24" t="inlineStr">
        <is>
          <t>HIGH</t>
        </is>
      </c>
      <c r="T99" s="24" t="inlineStr">
        <is>
          <t>HIGH</t>
        </is>
      </c>
      <c r="U99" s="24" t="inlineStr">
        <is>
          <t>0.6428571428571429</t>
        </is>
      </c>
      <c r="V99" s="24" t="inlineStr">
        <is>
          <t>HIGH_RISK</t>
        </is>
      </c>
      <c r="W99" s="24" t="inlineStr">
        <is>
          <t>고위험</t>
        </is>
      </c>
      <c r="X99" s="24" t="inlineStr">
        <is>
          <t>HIGH_RISK</t>
        </is>
      </c>
      <c r="Y99" s="24" t="inlineStr">
        <is>
          <t>0.935919815850912</t>
        </is>
      </c>
      <c r="Z99" s="24" t="inlineStr">
        <is>
          <t>HIGH</t>
        </is>
      </c>
      <c r="AA99" s="24" t="inlineStr">
        <is>
          <t>HIGH</t>
        </is>
      </c>
      <c r="AB99" s="24" t="inlineStr">
        <is>
          <t>0.1192433333650954</t>
        </is>
      </c>
      <c r="AC99" s="24" t="inlineStr">
        <is>
          <t>False</t>
        </is>
      </c>
      <c r="AD99" s="24" t="inlineStr">
        <is>
          <t>False</t>
        </is>
      </c>
      <c r="AE99" s="24" t="inlineStr">
        <is>
          <t>valuation_credit_ml_overlay_candidate.csv</t>
        </is>
      </c>
      <c r="AF99" s="24" t="inlineStr">
        <is>
          <t>208개 반도체 reference universe. Valuation Agent가 자체 intake 폴더로 복제해 Peer/ML/대시보드 비교에 사용.</t>
        </is>
      </c>
    </row>
    <row r="100" ht="24" customHeight="1">
      <c r="A100" s="29" t="inlineStr">
        <is>
          <t>15</t>
        </is>
      </c>
      <c r="B100" s="29" t="inlineStr">
        <is>
          <t>해당 없음</t>
        </is>
      </c>
      <c r="C100" s="29" t="inlineStr">
        <is>
          <t>시지트로닉스</t>
        </is>
      </c>
      <c r="D100" s="29" t="inlineStr">
        <is>
          <t>429270</t>
        </is>
      </c>
      <c r="E100" s="29" t="inlineStr">
        <is>
          <t>KOSDAQ</t>
        </is>
      </c>
      <c r="F100" s="29" t="inlineStr">
        <is>
          <t>IDM/제조/메모리</t>
        </is>
      </c>
      <c r="G100" s="29" t="inlineStr">
        <is>
          <t>IDM/제조/메모리</t>
        </is>
      </c>
      <c r="H100" s="29" t="inlineStr">
        <is>
          <t>False</t>
        </is>
      </c>
      <c r="I100" s="29" t="inlineStr">
        <is>
          <t>True</t>
        </is>
      </c>
      <c r="J100" s="29" t="inlineStr">
        <is>
          <t>OK_LIMITED_HISTORY_OR_GROWTH_NA</t>
        </is>
      </c>
      <c r="K100" s="29" t="inlineStr">
        <is>
          <t>데이터 사용 가능</t>
        </is>
      </c>
      <c r="L100" s="29" t="inlineStr">
        <is>
          <t>LOW</t>
        </is>
      </c>
      <c r="M100" s="29" t="inlineStr">
        <is>
          <t>LOW</t>
        </is>
      </c>
      <c r="N100" s="29" t="inlineStr">
        <is>
          <t>0.3513333333333333</t>
        </is>
      </c>
      <c r="O100" s="29" t="inlineStr">
        <is>
          <t>EXPENSIVE</t>
        </is>
      </c>
      <c r="P100" s="29" t="inlineStr">
        <is>
          <t>EXPENSIVE</t>
        </is>
      </c>
      <c r="Q100" s="29" t="inlineStr">
        <is>
          <t>EXPENSIVE</t>
        </is>
      </c>
      <c r="R100" s="29" t="inlineStr">
        <is>
          <t>0.8423539115807104</t>
        </is>
      </c>
      <c r="S100" s="29" t="inlineStr">
        <is>
          <t>HIGH</t>
        </is>
      </c>
      <c r="T100" s="29" t="inlineStr">
        <is>
          <t>HIGH</t>
        </is>
      </c>
      <c r="U100" s="29" t="inlineStr">
        <is>
          <t>0.7142857142857143</t>
        </is>
      </c>
      <c r="V100" s="29" t="inlineStr">
        <is>
          <t>HIGH_RISK</t>
        </is>
      </c>
      <c r="W100" s="29" t="inlineStr">
        <is>
          <t>고위험</t>
        </is>
      </c>
      <c r="X100" s="29" t="inlineStr">
        <is>
          <t>HIGH_RISK</t>
        </is>
      </c>
      <c r="Y100" s="29" t="inlineStr">
        <is>
          <t>0.981613431413146</t>
        </is>
      </c>
      <c r="Z100" s="29" t="inlineStr">
        <is>
          <t>HIGH</t>
        </is>
      </c>
      <c r="AA100" s="29" t="inlineStr">
        <is>
          <t>HIGH</t>
        </is>
      </c>
      <c r="AB100" s="29" t="inlineStr">
        <is>
          <t>0.19555712998632233</t>
        </is>
      </c>
      <c r="AC100" s="29" t="inlineStr">
        <is>
          <t>False</t>
        </is>
      </c>
      <c r="AD100" s="29" t="inlineStr">
        <is>
          <t>True</t>
        </is>
      </c>
      <c r="AE100" s="29" t="inlineStr">
        <is>
          <t>valuation_credit_ml_overlay_candidate.csv</t>
        </is>
      </c>
      <c r="AF100" s="29" t="inlineStr">
        <is>
          <t>208개 반도체 reference universe. Valuation Agent가 자체 intake 폴더로 복제해 Peer/ML/대시보드 비교에 사용.</t>
        </is>
      </c>
    </row>
    <row r="101" ht="24" customHeight="1">
      <c r="A101" s="24" t="inlineStr">
        <is>
          <t>30</t>
        </is>
      </c>
      <c r="B101" s="24" t="inlineStr">
        <is>
          <t>해당 없음</t>
        </is>
      </c>
      <c r="C101" s="24" t="inlineStr">
        <is>
          <t>지니틱스</t>
        </is>
      </c>
      <c r="D101" s="24" t="inlineStr">
        <is>
          <t>303030</t>
        </is>
      </c>
      <c r="E101" s="24" t="inlineStr">
        <is>
          <t>KOSDAQ</t>
        </is>
      </c>
      <c r="F101" s="24" t="inlineStr">
        <is>
          <t>IDM/제조/메모리</t>
        </is>
      </c>
      <c r="G101" s="24" t="inlineStr">
        <is>
          <t>IDM/제조/메모리</t>
        </is>
      </c>
      <c r="H101" s="24" t="inlineStr">
        <is>
          <t>False</t>
        </is>
      </c>
      <c r="I101" s="24" t="inlineStr">
        <is>
          <t>True</t>
        </is>
      </c>
      <c r="J101" s="24" t="inlineStr">
        <is>
          <t>OK</t>
        </is>
      </c>
      <c r="K101" s="24" t="inlineStr">
        <is>
          <t>데이터 사용 가능</t>
        </is>
      </c>
      <c r="L101" s="24" t="inlineStr">
        <is>
          <t>LOW</t>
        </is>
      </c>
      <c r="M101" s="24" t="inlineStr">
        <is>
          <t>LOW</t>
        </is>
      </c>
      <c r="N101" s="24" t="inlineStr">
        <is>
          <t>0.3293333333333333</t>
        </is>
      </c>
      <c r="O101" s="24" t="inlineStr">
        <is>
          <t>EXPENSIVE</t>
        </is>
      </c>
      <c r="P101" s="24" t="inlineStr">
        <is>
          <t>EXPENSIVE</t>
        </is>
      </c>
      <c r="Q101" s="24" t="inlineStr">
        <is>
          <t>EXPENSIVE</t>
        </is>
      </c>
      <c r="R101" s="24" t="inlineStr">
        <is>
          <t>0.6029464801919612</t>
        </is>
      </c>
      <c r="S101" s="24" t="inlineStr">
        <is>
          <t>MEDIUM</t>
        </is>
      </c>
      <c r="T101" s="24" t="inlineStr">
        <is>
          <t>MEDIUM</t>
        </is>
      </c>
      <c r="U101" s="24" t="inlineStr">
        <is>
          <t>0.7142857142857143</t>
        </is>
      </c>
      <c r="V101" s="24" t="inlineStr">
        <is>
          <t>HIGH_RISK</t>
        </is>
      </c>
      <c r="W101" s="24" t="inlineStr">
        <is>
          <t>고위험</t>
        </is>
      </c>
      <c r="X101" s="24" t="inlineStr">
        <is>
          <t>HIGH_RISK</t>
        </is>
      </c>
      <c r="Y101" s="24" t="inlineStr">
        <is>
          <t>0.9659545889371735</t>
        </is>
      </c>
      <c r="Z101" s="24" t="inlineStr">
        <is>
          <t>HIGH</t>
        </is>
      </c>
      <c r="AA101" s="24" t="inlineStr">
        <is>
          <t>HIGH</t>
        </is>
      </c>
      <c r="AB101" s="24" t="inlineStr">
        <is>
          <t>0.16363869698938038</t>
        </is>
      </c>
      <c r="AC101" s="24" t="inlineStr">
        <is>
          <t>False</t>
        </is>
      </c>
      <c r="AD101" s="24" t="inlineStr">
        <is>
          <t>False</t>
        </is>
      </c>
      <c r="AE101" s="24" t="inlineStr">
        <is>
          <t>valuation_credit_ml_overlay_candidate.csv</t>
        </is>
      </c>
      <c r="AF101" s="24" t="inlineStr">
        <is>
          <t>208개 반도체 reference universe. Valuation Agent가 자체 intake 폴더로 복제해 Peer/ML/대시보드 비교에 사용.</t>
        </is>
      </c>
    </row>
    <row r="102" ht="24" customHeight="1">
      <c r="A102" s="29" t="inlineStr">
        <is>
          <t>18</t>
        </is>
      </c>
      <c r="B102" s="29" t="inlineStr">
        <is>
          <t>해당 없음</t>
        </is>
      </c>
      <c r="C102" s="29" t="inlineStr">
        <is>
          <t>아이에스티이</t>
        </is>
      </c>
      <c r="D102" s="29" t="inlineStr">
        <is>
          <t>212710</t>
        </is>
      </c>
      <c r="E102" s="29" t="inlineStr">
        <is>
          <t>KOSDAQ</t>
        </is>
      </c>
      <c r="F102" s="29" t="inlineStr">
        <is>
          <t>IDM/제조/메모리</t>
        </is>
      </c>
      <c r="G102" s="29" t="inlineStr">
        <is>
          <t>IDM/제조/메모리</t>
        </is>
      </c>
      <c r="H102" s="29" t="inlineStr">
        <is>
          <t>False</t>
        </is>
      </c>
      <c r="I102" s="29" t="inlineStr">
        <is>
          <t>True</t>
        </is>
      </c>
      <c r="J102" s="29" t="inlineStr">
        <is>
          <t>OK_LIMITED_HISTORY_OR_GROWTH_NA</t>
        </is>
      </c>
      <c r="K102" s="29" t="inlineStr">
        <is>
          <t>데이터 사용 가능</t>
        </is>
      </c>
      <c r="L102" s="29" t="inlineStr">
        <is>
          <t>LOW</t>
        </is>
      </c>
      <c r="M102" s="29" t="inlineStr">
        <is>
          <t>LOW</t>
        </is>
      </c>
      <c r="N102" s="29" t="inlineStr">
        <is>
          <t>0.3126666666666666</t>
        </is>
      </c>
      <c r="O102" s="29" t="inlineStr">
        <is>
          <t>EXPENSIVE</t>
        </is>
      </c>
      <c r="P102" s="29" t="inlineStr">
        <is>
          <t>EXPENSIVE</t>
        </is>
      </c>
      <c r="Q102" s="29" t="inlineStr">
        <is>
          <t>EXPENSIVE</t>
        </is>
      </c>
      <c r="R102" s="29" t="inlineStr">
        <is>
          <t>0.6642993493743579</t>
        </is>
      </c>
      <c r="S102" s="29" t="inlineStr">
        <is>
          <t>MEDIUM</t>
        </is>
      </c>
      <c r="T102" s="29" t="inlineStr">
        <is>
          <t>MEDIUM</t>
        </is>
      </c>
      <c r="U102" s="29" t="inlineStr">
        <is>
          <t>0.7142857142857143</t>
        </is>
      </c>
      <c r="V102" s="29" t="inlineStr">
        <is>
          <t>HIGH_RISK</t>
        </is>
      </c>
      <c r="W102" s="29" t="inlineStr">
        <is>
          <t>고위험</t>
        </is>
      </c>
      <c r="X102" s="29" t="inlineStr">
        <is>
          <t>HIGH_RISK</t>
        </is>
      </c>
      <c r="Y102" s="29" t="inlineStr">
        <is>
          <t>0.7912115569930538</t>
        </is>
      </c>
      <c r="Z102" s="29" t="inlineStr">
        <is>
          <t>HIGH</t>
        </is>
      </c>
      <c r="AA102" s="29" t="inlineStr">
        <is>
          <t>HIGH</t>
        </is>
      </c>
      <c r="AB102" s="29" t="inlineStr">
        <is>
          <t>0.13664093420882184</t>
        </is>
      </c>
      <c r="AC102" s="29" t="inlineStr">
        <is>
          <t>False</t>
        </is>
      </c>
      <c r="AD102" s="29" t="inlineStr">
        <is>
          <t>True</t>
        </is>
      </c>
      <c r="AE102" s="29" t="inlineStr">
        <is>
          <t>valuation_credit_ml_overlay_candidate.csv</t>
        </is>
      </c>
      <c r="AF102" s="29" t="inlineStr">
        <is>
          <t>208개 반도체 reference universe. Valuation Agent가 자체 intake 폴더로 복제해 Peer/ML/대시보드 비교에 사용.</t>
        </is>
      </c>
    </row>
    <row r="103" ht="24" customHeight="1">
      <c r="A103" s="24" t="inlineStr">
        <is>
          <t>31</t>
        </is>
      </c>
      <c r="B103" s="24" t="inlineStr">
        <is>
          <t>해당 없음</t>
        </is>
      </c>
      <c r="C103" s="24" t="inlineStr">
        <is>
          <t>케이알엠</t>
        </is>
      </c>
      <c r="D103" s="24" t="inlineStr">
        <is>
          <t>093640</t>
        </is>
      </c>
      <c r="E103" s="24" t="inlineStr">
        <is>
          <t>KOSDAQ</t>
        </is>
      </c>
      <c r="F103" s="24" t="inlineStr">
        <is>
          <t>IDM/제조/메모리</t>
        </is>
      </c>
      <c r="G103" s="24" t="inlineStr">
        <is>
          <t>IDM/제조/메모리</t>
        </is>
      </c>
      <c r="H103" s="24" t="inlineStr">
        <is>
          <t>False</t>
        </is>
      </c>
      <c r="I103" s="24" t="inlineStr">
        <is>
          <t>True</t>
        </is>
      </c>
      <c r="J103" s="24" t="inlineStr">
        <is>
          <t>OK</t>
        </is>
      </c>
      <c r="K103" s="24" t="inlineStr">
        <is>
          <t>데이터 사용 가능</t>
        </is>
      </c>
      <c r="L103" s="24" t="inlineStr">
        <is>
          <t>LOW</t>
        </is>
      </c>
      <c r="M103" s="24" t="inlineStr">
        <is>
          <t>LOW</t>
        </is>
      </c>
      <c r="N103" s="24" t="inlineStr">
        <is>
          <t>0.301</t>
        </is>
      </c>
      <c r="O103" s="24" t="inlineStr">
        <is>
          <t>EXPENSIVE</t>
        </is>
      </c>
      <c r="P103" s="24" t="inlineStr">
        <is>
          <t>EXPENSIVE</t>
        </is>
      </c>
      <c r="Q103" s="24" t="inlineStr">
        <is>
          <t>EXPENSIVE</t>
        </is>
      </c>
      <c r="R103" s="24" t="inlineStr">
        <is>
          <t>0.7957205872008264</t>
        </is>
      </c>
      <c r="S103" s="24" t="inlineStr">
        <is>
          <t>HIGH</t>
        </is>
      </c>
      <c r="T103" s="24" t="inlineStr">
        <is>
          <t>HIGH</t>
        </is>
      </c>
      <c r="U103" s="24" t="inlineStr">
        <is>
          <t>0.4285714285714285</t>
        </is>
      </c>
      <c r="V103" s="24" t="inlineStr">
        <is>
          <t>HIGH_RISK</t>
        </is>
      </c>
      <c r="W103" s="24" t="inlineStr">
        <is>
          <t>고위험</t>
        </is>
      </c>
      <c r="X103" s="24" t="inlineStr">
        <is>
          <t>HIGH_RISK</t>
        </is>
      </c>
      <c r="Y103" s="24" t="inlineStr">
        <is>
          <t>0.9569765609780977</t>
        </is>
      </c>
      <c r="Z103" s="24" t="inlineStr">
        <is>
          <t>HIGH</t>
        </is>
      </c>
      <c r="AA103" s="24" t="inlineStr">
        <is>
          <t>HIGH</t>
        </is>
      </c>
      <c r="AB103" s="24" t="inlineStr">
        <is>
          <t>0.2926124347647049</t>
        </is>
      </c>
      <c r="AC103" s="24" t="inlineStr">
        <is>
          <t>True</t>
        </is>
      </c>
      <c r="AD103" s="24" t="inlineStr">
        <is>
          <t>True</t>
        </is>
      </c>
      <c r="AE103" s="24" t="inlineStr">
        <is>
          <t>valuation_credit_ml_overlay_candidate.csv</t>
        </is>
      </c>
      <c r="AF103" s="24" t="inlineStr">
        <is>
          <t>208개 반도체 reference universe. Valuation Agent가 자체 intake 폴더로 복제해 Peer/ML/대시보드 비교에 사용.</t>
        </is>
      </c>
    </row>
    <row r="104" ht="24" customHeight="1">
      <c r="A104" s="29" t="inlineStr">
        <is>
          <t>17</t>
        </is>
      </c>
      <c r="B104" s="29" t="inlineStr">
        <is>
          <t>해당 없음</t>
        </is>
      </c>
      <c r="C104" s="29" t="inlineStr">
        <is>
          <t>쏘닉스</t>
        </is>
      </c>
      <c r="D104" s="29" t="inlineStr">
        <is>
          <t>088280</t>
        </is>
      </c>
      <c r="E104" s="29" t="inlineStr">
        <is>
          <t>KOSDAQ</t>
        </is>
      </c>
      <c r="F104" s="29" t="inlineStr">
        <is>
          <t>IDM/제조/메모리</t>
        </is>
      </c>
      <c r="G104" s="29" t="inlineStr">
        <is>
          <t>IDM/제조/메모리</t>
        </is>
      </c>
      <c r="H104" s="29" t="inlineStr">
        <is>
          <t>False</t>
        </is>
      </c>
      <c r="I104" s="29" t="inlineStr">
        <is>
          <t>True</t>
        </is>
      </c>
      <c r="J104" s="29" t="inlineStr">
        <is>
          <t>OK_LIMITED_HISTORY_OR_GROWTH_NA</t>
        </is>
      </c>
      <c r="K104" s="29" t="inlineStr">
        <is>
          <t>데이터 사용 가능</t>
        </is>
      </c>
      <c r="L104" s="29" t="inlineStr">
        <is>
          <t>LOW</t>
        </is>
      </c>
      <c r="M104" s="29" t="inlineStr">
        <is>
          <t>LOW</t>
        </is>
      </c>
      <c r="N104" s="29" t="inlineStr">
        <is>
          <t>0.2925</t>
        </is>
      </c>
      <c r="O104" s="29" t="inlineStr">
        <is>
          <t>EXPENSIVE</t>
        </is>
      </c>
      <c r="P104" s="29" t="inlineStr">
        <is>
          <t>EXPENSIVE</t>
        </is>
      </c>
      <c r="Q104" s="29" t="inlineStr">
        <is>
          <t>EXPENSIVE</t>
        </is>
      </c>
      <c r="R104" s="29" t="inlineStr">
        <is>
          <t>0.9167677788852596</t>
        </is>
      </c>
      <c r="S104" s="29" t="inlineStr">
        <is>
          <t>HIGH</t>
        </is>
      </c>
      <c r="T104" s="29" t="inlineStr">
        <is>
          <t>HIGH</t>
        </is>
      </c>
      <c r="U104" s="29" t="inlineStr">
        <is>
          <t>0.5714285714285714</t>
        </is>
      </c>
      <c r="V104" s="29" t="inlineStr">
        <is>
          <t>HIGH_RISK</t>
        </is>
      </c>
      <c r="W104" s="29" t="inlineStr">
        <is>
          <t>고위험</t>
        </is>
      </c>
      <c r="X104" s="29" t="inlineStr">
        <is>
          <t>HIGH_RISK</t>
        </is>
      </c>
      <c r="Y104" s="29" t="inlineStr">
        <is>
          <t>0.9751947390683402</t>
        </is>
      </c>
      <c r="Z104" s="29" t="inlineStr">
        <is>
          <t>HIGH</t>
        </is>
      </c>
      <c r="AA104" s="29" t="inlineStr">
        <is>
          <t>HIGH</t>
        </is>
      </c>
      <c r="AB104" s="29" t="inlineStr">
        <is>
          <t>0.11312412490832129</t>
        </is>
      </c>
      <c r="AC104" s="29" t="inlineStr">
        <is>
          <t>False</t>
        </is>
      </c>
      <c r="AD104" s="29" t="inlineStr">
        <is>
          <t>True</t>
        </is>
      </c>
      <c r="AE104" s="29" t="inlineStr">
        <is>
          <t>valuation_credit_ml_overlay_candidate.csv</t>
        </is>
      </c>
      <c r="AF104" s="29" t="inlineStr">
        <is>
          <t>208개 반도체 reference universe. Valuation Agent가 자체 intake 폴더로 복제해 Peer/ML/대시보드 비교에 사용.</t>
        </is>
      </c>
    </row>
    <row r="105" ht="24" customHeight="1">
      <c r="A105" s="24" t="inlineStr">
        <is>
          <t>29</t>
        </is>
      </c>
      <c r="B105" s="24" t="inlineStr">
        <is>
          <t>해당 없음</t>
        </is>
      </c>
      <c r="C105" s="24" t="inlineStr">
        <is>
          <t>자람테크놀로지</t>
        </is>
      </c>
      <c r="D105" s="24" t="inlineStr">
        <is>
          <t>389020</t>
        </is>
      </c>
      <c r="E105" s="24" t="inlineStr">
        <is>
          <t>KOSDAQ</t>
        </is>
      </c>
      <c r="F105" s="24" t="inlineStr">
        <is>
          <t>IDM/제조/메모리</t>
        </is>
      </c>
      <c r="G105" s="24" t="inlineStr">
        <is>
          <t>IDM/제조/메모리</t>
        </is>
      </c>
      <c r="H105" s="24" t="inlineStr">
        <is>
          <t>False</t>
        </is>
      </c>
      <c r="I105" s="24" t="inlineStr">
        <is>
          <t>True</t>
        </is>
      </c>
      <c r="J105" s="24" t="inlineStr">
        <is>
          <t>OK</t>
        </is>
      </c>
      <c r="K105" s="24" t="inlineStr">
        <is>
          <t>데이터 사용 가능</t>
        </is>
      </c>
      <c r="L105" s="24" t="inlineStr">
        <is>
          <t>LOW</t>
        </is>
      </c>
      <c r="M105" s="24" t="inlineStr">
        <is>
          <t>LOW</t>
        </is>
      </c>
      <c r="N105" s="24" t="inlineStr">
        <is>
          <t>0.1995</t>
        </is>
      </c>
      <c r="O105" s="24" t="inlineStr">
        <is>
          <t>EXPENSIVE</t>
        </is>
      </c>
      <c r="P105" s="24" t="inlineStr">
        <is>
          <t>EXPENSIVE</t>
        </is>
      </c>
      <c r="Q105" s="24" t="inlineStr">
        <is>
          <t>EXPENSIVE</t>
        </is>
      </c>
      <c r="R105" s="24" t="inlineStr">
        <is>
          <t>0.6873284389381621</t>
        </is>
      </c>
      <c r="S105" s="24" t="inlineStr">
        <is>
          <t>MEDIUM</t>
        </is>
      </c>
      <c r="T105" s="24" t="inlineStr">
        <is>
          <t>MEDIUM</t>
        </is>
      </c>
      <c r="U105" s="24" t="inlineStr">
        <is>
          <t>0.2142857142857142</t>
        </is>
      </c>
      <c r="V105" s="24" t="inlineStr">
        <is>
          <t>MEDIUM_RISK</t>
        </is>
      </c>
      <c r="W105" s="24" t="inlineStr">
        <is>
          <t>중위험</t>
        </is>
      </c>
      <c r="X105" s="24" t="inlineStr">
        <is>
          <t>MEDIUM_RISK</t>
        </is>
      </c>
      <c r="Y105" s="24" t="inlineStr">
        <is>
          <t>0.7087592263635621</t>
        </is>
      </c>
      <c r="Z105" s="24" t="inlineStr">
        <is>
          <t>HIGH</t>
        </is>
      </c>
      <c r="AA105" s="24" t="inlineStr">
        <is>
          <t>HIGH</t>
        </is>
      </c>
      <c r="AB105" s="24" t="inlineStr">
        <is>
          <t>0.14222896108498048</t>
        </is>
      </c>
      <c r="AC105" s="24" t="inlineStr">
        <is>
          <t>False</t>
        </is>
      </c>
      <c r="AD105" s="24" t="inlineStr">
        <is>
          <t>False</t>
        </is>
      </c>
      <c r="AE105" s="24" t="inlineStr">
        <is>
          <t>valuation_credit_ml_overlay_candidate.csv</t>
        </is>
      </c>
      <c r="AF105" s="24" t="inlineStr">
        <is>
          <t>208개 반도체 reference universe. Valuation Agent가 자체 intake 폴더로 복제해 Peer/ML/대시보드 비교에 사용.</t>
        </is>
      </c>
    </row>
    <row r="106" ht="24" customHeight="1">
      <c r="A106" s="29" t="inlineStr">
        <is>
          <t>39</t>
        </is>
      </c>
      <c r="B106" s="29" t="inlineStr">
        <is>
          <t>해당 없음</t>
        </is>
      </c>
      <c r="C106" s="29" t="inlineStr">
        <is>
          <t>하이딥</t>
        </is>
      </c>
      <c r="D106" s="29" t="inlineStr">
        <is>
          <t>365590</t>
        </is>
      </c>
      <c r="E106" s="29" t="inlineStr">
        <is>
          <t>KOSDAQ</t>
        </is>
      </c>
      <c r="F106" s="29" t="inlineStr">
        <is>
          <t>IDM/제조/메모리</t>
        </is>
      </c>
      <c r="G106" s="29" t="inlineStr">
        <is>
          <t>IDM/제조/메모리</t>
        </is>
      </c>
      <c r="H106" s="29" t="inlineStr">
        <is>
          <t>False</t>
        </is>
      </c>
      <c r="I106" s="29" t="inlineStr">
        <is>
          <t>True</t>
        </is>
      </c>
      <c r="J106" s="29" t="inlineStr">
        <is>
          <t>OK</t>
        </is>
      </c>
      <c r="K106" s="29" t="inlineStr">
        <is>
          <t>데이터 사용 가능</t>
        </is>
      </c>
      <c r="L106" s="29" t="inlineStr">
        <is>
          <t>LOW</t>
        </is>
      </c>
      <c r="M106" s="29" t="inlineStr">
        <is>
          <t>LOW</t>
        </is>
      </c>
      <c r="N106" s="29" t="inlineStr">
        <is>
          <t>0.125</t>
        </is>
      </c>
      <c r="O106" s="29" t="inlineStr">
        <is>
          <t>EXPENSIVE</t>
        </is>
      </c>
      <c r="P106" s="29" t="inlineStr">
        <is>
          <t>EXPENSIVE</t>
        </is>
      </c>
      <c r="Q106" s="29" t="inlineStr">
        <is>
          <t>EXPENSIVE</t>
        </is>
      </c>
      <c r="R106" s="29" t="inlineStr">
        <is>
          <t>0.93355514861914</t>
        </is>
      </c>
      <c r="S106" s="29" t="inlineStr">
        <is>
          <t>HIGH</t>
        </is>
      </c>
      <c r="T106" s="29" t="inlineStr">
        <is>
          <t>HIGH</t>
        </is>
      </c>
      <c r="U106" s="29" t="inlineStr">
        <is>
          <t>0.8571428571428571</t>
        </is>
      </c>
      <c r="V106" s="29" t="inlineStr">
        <is>
          <t>HIGH_RISK</t>
        </is>
      </c>
      <c r="W106" s="29" t="inlineStr">
        <is>
          <t>고위험</t>
        </is>
      </c>
      <c r="X106" s="29" t="inlineStr">
        <is>
          <t>HIGH_RISK</t>
        </is>
      </c>
      <c r="Y106" s="29" t="inlineStr">
        <is>
          <t>0.9622719553866781</t>
        </is>
      </c>
      <c r="Z106" s="29" t="inlineStr">
        <is>
          <t>HIGH</t>
        </is>
      </c>
      <c r="AA106" s="29" t="inlineStr">
        <is>
          <t>HIGH</t>
        </is>
      </c>
      <c r="AB106" s="29" t="inlineStr">
        <is>
          <t>0.9999999977412558</t>
        </is>
      </c>
      <c r="AC106" s="29" t="inlineStr">
        <is>
          <t>True</t>
        </is>
      </c>
      <c r="AD106" s="29" t="inlineStr">
        <is>
          <t>True</t>
        </is>
      </c>
      <c r="AE106" s="29" t="inlineStr">
        <is>
          <t>valuation_credit_ml_overlay_candidate.csv</t>
        </is>
      </c>
      <c r="AF106" s="29" t="inlineStr">
        <is>
          <t>208개 반도체 reference universe. Valuation Agent가 자체 intake 폴더로 복제해 Peer/ML/대시보드 비교에 사용.</t>
        </is>
      </c>
    </row>
    <row r="107" ht="24" customHeight="1">
      <c r="A107" s="24" t="inlineStr">
        <is>
          <t>203</t>
        </is>
      </c>
      <c r="B107" s="24" t="inlineStr">
        <is>
          <t>해당 없음</t>
        </is>
      </c>
      <c r="C107" s="24" t="inlineStr">
        <is>
          <t>인터플렉스</t>
        </is>
      </c>
      <c r="D107" s="24" t="inlineStr">
        <is>
          <t>051370</t>
        </is>
      </c>
      <c r="E107" s="24" t="inlineStr">
        <is>
          <t>KOSDAQ</t>
        </is>
      </c>
      <c r="F107" s="24" t="inlineStr">
        <is>
          <t>부품/기판</t>
        </is>
      </c>
      <c r="G107" s="24" t="inlineStr">
        <is>
          <t>부품/기판</t>
        </is>
      </c>
      <c r="H107" s="24" t="inlineStr">
        <is>
          <t>False</t>
        </is>
      </c>
      <c r="I107" s="24" t="inlineStr">
        <is>
          <t>True</t>
        </is>
      </c>
      <c r="J107" s="24" t="inlineStr">
        <is>
          <t>OK</t>
        </is>
      </c>
      <c r="K107" s="24" t="inlineStr">
        <is>
          <t>데이터 사용 가능</t>
        </is>
      </c>
      <c r="L107" s="24" t="inlineStr">
        <is>
          <t>LOW</t>
        </is>
      </c>
      <c r="M107" s="24" t="inlineStr">
        <is>
          <t>LOW</t>
        </is>
      </c>
      <c r="N107" s="24" t="inlineStr">
        <is>
          <t>0.709047619047619</t>
        </is>
      </c>
      <c r="O107" s="24" t="inlineStr">
        <is>
          <t>FAIR</t>
        </is>
      </c>
      <c r="P107" s="24" t="inlineStr">
        <is>
          <t>FAIR</t>
        </is>
      </c>
      <c r="Q107" s="24" t="inlineStr">
        <is>
          <t>FAIR</t>
        </is>
      </c>
      <c r="R107" s="24" t="inlineStr">
        <is>
          <t>0.904555257888918</t>
        </is>
      </c>
      <c r="S107" s="24" t="inlineStr">
        <is>
          <t>HIGH</t>
        </is>
      </c>
      <c r="T107" s="24" t="inlineStr">
        <is>
          <t>HIGH</t>
        </is>
      </c>
      <c r="U107" s="24" t="inlineStr">
        <is>
          <t>0.0714285714285714</t>
        </is>
      </c>
      <c r="V107" s="24" t="inlineStr">
        <is>
          <t>LOW_RISK</t>
        </is>
      </c>
      <c r="W107" s="24" t="inlineStr">
        <is>
          <t>저위험</t>
        </is>
      </c>
      <c r="X107" s="24" t="inlineStr">
        <is>
          <t>LOW_RISK</t>
        </is>
      </c>
      <c r="Y107" s="24" t="inlineStr">
        <is>
          <t>0.8421993774288782</t>
        </is>
      </c>
      <c r="Z107" s="24" t="inlineStr">
        <is>
          <t>HIGH</t>
        </is>
      </c>
      <c r="AA107" s="24" t="inlineStr">
        <is>
          <t>HIGH</t>
        </is>
      </c>
      <c r="AB107" s="24" t="inlineStr">
        <is>
          <t>0.04875174090091772</t>
        </is>
      </c>
      <c r="AC107" s="24" t="inlineStr">
        <is>
          <t>False</t>
        </is>
      </c>
      <c r="AD107" s="24" t="inlineStr">
        <is>
          <t>False</t>
        </is>
      </c>
      <c r="AE107" s="24" t="inlineStr">
        <is>
          <t>valuation_credit_ml_overlay_candidate.csv</t>
        </is>
      </c>
      <c r="AF107" s="24" t="inlineStr">
        <is>
          <t>208개 반도체 reference universe. Valuation Agent가 자체 intake 폴더로 복제해 Peer/ML/대시보드 비교에 사용.</t>
        </is>
      </c>
    </row>
    <row r="108" ht="24" customHeight="1">
      <c r="A108" s="29" t="inlineStr">
        <is>
          <t>204</t>
        </is>
      </c>
      <c r="B108" s="29" t="inlineStr">
        <is>
          <t>해당 없음</t>
        </is>
      </c>
      <c r="C108" s="29" t="inlineStr">
        <is>
          <t>자화전자</t>
        </is>
      </c>
      <c r="D108" s="29" t="inlineStr">
        <is>
          <t>033240</t>
        </is>
      </c>
      <c r="E108" s="29" t="inlineStr">
        <is>
          <t>KOSPI</t>
        </is>
      </c>
      <c r="F108" s="29" t="inlineStr">
        <is>
          <t>부품/기판</t>
        </is>
      </c>
      <c r="G108" s="29" t="inlineStr">
        <is>
          <t>부품/기판</t>
        </is>
      </c>
      <c r="H108" s="29" t="inlineStr">
        <is>
          <t>False</t>
        </is>
      </c>
      <c r="I108" s="29" t="inlineStr">
        <is>
          <t>True</t>
        </is>
      </c>
      <c r="J108" s="29" t="inlineStr">
        <is>
          <t>OK</t>
        </is>
      </c>
      <c r="K108" s="29" t="inlineStr">
        <is>
          <t>데이터 사용 가능</t>
        </is>
      </c>
      <c r="L108" s="29" t="inlineStr">
        <is>
          <t>LOW</t>
        </is>
      </c>
      <c r="M108" s="29" t="inlineStr">
        <is>
          <t>LOW</t>
        </is>
      </c>
      <c r="N108" s="29" t="inlineStr">
        <is>
          <t>0.6647619047619049</t>
        </is>
      </c>
      <c r="O108" s="29" t="inlineStr">
        <is>
          <t>FAIR</t>
        </is>
      </c>
      <c r="P108" s="29" t="inlineStr">
        <is>
          <t>FAIR</t>
        </is>
      </c>
      <c r="Q108" s="29" t="inlineStr">
        <is>
          <t>FAIR</t>
        </is>
      </c>
      <c r="R108" s="29" t="inlineStr">
        <is>
          <t>0.9380223994723259</t>
        </is>
      </c>
      <c r="S108" s="29" t="inlineStr">
        <is>
          <t>HIGH</t>
        </is>
      </c>
      <c r="T108" s="29" t="inlineStr">
        <is>
          <t>HIGH</t>
        </is>
      </c>
      <c r="U108" s="29" t="inlineStr">
        <is>
          <t>0.0714285714285714</t>
        </is>
      </c>
      <c r="V108" s="29" t="inlineStr">
        <is>
          <t>LOW_RISK</t>
        </is>
      </c>
      <c r="W108" s="29" t="inlineStr">
        <is>
          <t>저위험</t>
        </is>
      </c>
      <c r="X108" s="29" t="inlineStr">
        <is>
          <t>LOW_RISK</t>
        </is>
      </c>
      <c r="Y108" s="29" t="inlineStr">
        <is>
          <t>0.7827117376718701</t>
        </is>
      </c>
      <c r="Z108" s="29" t="inlineStr">
        <is>
          <t>HIGH</t>
        </is>
      </c>
      <c r="AA108" s="29" t="inlineStr">
        <is>
          <t>HIGH</t>
        </is>
      </c>
      <c r="AB108" s="29" t="inlineStr">
        <is>
          <t>0.004560941446629287</t>
        </is>
      </c>
      <c r="AC108" s="29" t="inlineStr">
        <is>
          <t>False</t>
        </is>
      </c>
      <c r="AD108" s="29" t="inlineStr">
        <is>
          <t>False</t>
        </is>
      </c>
      <c r="AE108" s="29" t="inlineStr">
        <is>
          <t>valuation_credit_ml_overlay_candidate.csv</t>
        </is>
      </c>
      <c r="AF108" s="29" t="inlineStr">
        <is>
          <t>208개 반도체 reference universe. Valuation Agent가 자체 intake 폴더로 복제해 Peer/ML/대시보드 비교에 사용.</t>
        </is>
      </c>
    </row>
    <row r="109" ht="24" customHeight="1">
      <c r="A109" s="24" t="inlineStr">
        <is>
          <t>206</t>
        </is>
      </c>
      <c r="B109" s="24" t="inlineStr">
        <is>
          <t>해당 없음</t>
        </is>
      </c>
      <c r="C109" s="24" t="inlineStr">
        <is>
          <t>코미코</t>
        </is>
      </c>
      <c r="D109" s="24" t="inlineStr">
        <is>
          <t>183300</t>
        </is>
      </c>
      <c r="E109" s="24" t="inlineStr">
        <is>
          <t>KOSDAQ GLOBAL</t>
        </is>
      </c>
      <c r="F109" s="24" t="inlineStr">
        <is>
          <t>부품/기판</t>
        </is>
      </c>
      <c r="G109" s="24" t="inlineStr">
        <is>
          <t>부품/기판</t>
        </is>
      </c>
      <c r="H109" s="24" t="inlineStr">
        <is>
          <t>False</t>
        </is>
      </c>
      <c r="I109" s="24" t="inlineStr">
        <is>
          <t>True</t>
        </is>
      </c>
      <c r="J109" s="24" t="inlineStr">
        <is>
          <t>OK</t>
        </is>
      </c>
      <c r="K109" s="24" t="inlineStr">
        <is>
          <t>데이터 사용 가능</t>
        </is>
      </c>
      <c r="L109" s="24" t="inlineStr">
        <is>
          <t>LOW</t>
        </is>
      </c>
      <c r="M109" s="24" t="inlineStr">
        <is>
          <t>LOW</t>
        </is>
      </c>
      <c r="N109" s="24" t="inlineStr">
        <is>
          <t>0.6342857142857143</t>
        </is>
      </c>
      <c r="O109" s="24" t="inlineStr">
        <is>
          <t>FAIR</t>
        </is>
      </c>
      <c r="P109" s="24" t="inlineStr">
        <is>
          <t>FAIR</t>
        </is>
      </c>
      <c r="Q109" s="24" t="inlineStr">
        <is>
          <t>FAIR</t>
        </is>
      </c>
      <c r="R109" s="24" t="inlineStr">
        <is>
          <t>0.8305894153326006</t>
        </is>
      </c>
      <c r="S109" s="24" t="inlineStr">
        <is>
          <t>HIGH</t>
        </is>
      </c>
      <c r="T109" s="24" t="inlineStr">
        <is>
          <t>HIGH</t>
        </is>
      </c>
      <c r="U109" s="24" t="inlineStr">
        <is>
          <t>0.3571428571428571</t>
        </is>
      </c>
      <c r="V109" s="24" t="inlineStr">
        <is>
          <t>MEDIUM_RISK</t>
        </is>
      </c>
      <c r="W109" s="24" t="inlineStr">
        <is>
          <t>중위험</t>
        </is>
      </c>
      <c r="X109" s="24" t="inlineStr">
        <is>
          <t>MEDIUM_RISK</t>
        </is>
      </c>
      <c r="Y109" s="24" t="inlineStr">
        <is>
          <t>0.6510391794232897</t>
        </is>
      </c>
      <c r="Z109" s="24" t="inlineStr">
        <is>
          <t>MEDIUM</t>
        </is>
      </c>
      <c r="AA109" s="24" t="inlineStr">
        <is>
          <t>MEDIUM</t>
        </is>
      </c>
      <c r="AB109" s="24" t="inlineStr">
        <is>
          <t>0.08075637337557524</t>
        </is>
      </c>
      <c r="AC109" s="24" t="inlineStr">
        <is>
          <t>False</t>
        </is>
      </c>
      <c r="AD109" s="24" t="inlineStr">
        <is>
          <t>False</t>
        </is>
      </c>
      <c r="AE109" s="24" t="inlineStr">
        <is>
          <t>valuation_credit_ml_overlay_candidate.csv</t>
        </is>
      </c>
      <c r="AF109" s="24" t="inlineStr">
        <is>
          <t>208개 반도체 reference universe. Valuation Agent가 자체 intake 폴더로 복제해 Peer/ML/대시보드 비교에 사용.</t>
        </is>
      </c>
    </row>
    <row r="110" ht="24" customHeight="1">
      <c r="A110" s="29" t="inlineStr">
        <is>
          <t>196</t>
        </is>
      </c>
      <c r="B110" s="29" t="inlineStr">
        <is>
          <t>해당 없음</t>
        </is>
      </c>
      <c r="C110" s="29" t="inlineStr">
        <is>
          <t>비에이치</t>
        </is>
      </c>
      <c r="D110" s="29" t="inlineStr">
        <is>
          <t>090460</t>
        </is>
      </c>
      <c r="E110" s="29" t="inlineStr">
        <is>
          <t>KOSPI</t>
        </is>
      </c>
      <c r="F110" s="29" t="inlineStr">
        <is>
          <t>부품/기판</t>
        </is>
      </c>
      <c r="G110" s="29" t="inlineStr">
        <is>
          <t>부품/기판</t>
        </is>
      </c>
      <c r="H110" s="29" t="inlineStr">
        <is>
          <t>False</t>
        </is>
      </c>
      <c r="I110" s="29" t="inlineStr">
        <is>
          <t>True</t>
        </is>
      </c>
      <c r="J110" s="29" t="inlineStr">
        <is>
          <t>OK</t>
        </is>
      </c>
      <c r="K110" s="29" t="inlineStr">
        <is>
          <t>데이터 사용 가능</t>
        </is>
      </c>
      <c r="L110" s="29" t="inlineStr">
        <is>
          <t>LOW</t>
        </is>
      </c>
      <c r="M110" s="29" t="inlineStr">
        <is>
          <t>LOW</t>
        </is>
      </c>
      <c r="N110" s="29" t="inlineStr">
        <is>
          <t>0.5752380952380951</t>
        </is>
      </c>
      <c r="O110" s="29" t="inlineStr">
        <is>
          <t>FAIR</t>
        </is>
      </c>
      <c r="P110" s="29" t="inlineStr">
        <is>
          <t>FAIR</t>
        </is>
      </c>
      <c r="Q110" s="29" t="inlineStr">
        <is>
          <t>FAIR</t>
        </is>
      </c>
      <c r="R110" s="29" t="inlineStr">
        <is>
          <t>0.5078538652826</t>
        </is>
      </c>
      <c r="S110" s="29" t="inlineStr">
        <is>
          <t>MEDIUM</t>
        </is>
      </c>
      <c r="T110" s="29" t="inlineStr">
        <is>
          <t>MEDIUM</t>
        </is>
      </c>
      <c r="U110" s="29" t="inlineStr">
        <is>
          <t>0.0</t>
        </is>
      </c>
      <c r="V110" s="29" t="inlineStr">
        <is>
          <t>LOW_RISK</t>
        </is>
      </c>
      <c r="W110" s="29" t="inlineStr">
        <is>
          <t>저위험</t>
        </is>
      </c>
      <c r="X110" s="29" t="inlineStr">
        <is>
          <t>LOW_RISK</t>
        </is>
      </c>
      <c r="Y110" s="29" t="inlineStr">
        <is>
          <t>0.8498731799769995</t>
        </is>
      </c>
      <c r="Z110" s="29" t="inlineStr">
        <is>
          <t>HIGH</t>
        </is>
      </c>
      <c r="AA110" s="29" t="inlineStr">
        <is>
          <t>HIGH</t>
        </is>
      </c>
      <c r="AB110" s="29" t="inlineStr">
        <is>
          <t>0.004189789054000619</t>
        </is>
      </c>
      <c r="AC110" s="29" t="inlineStr">
        <is>
          <t>False</t>
        </is>
      </c>
      <c r="AD110" s="29" t="inlineStr">
        <is>
          <t>False</t>
        </is>
      </c>
      <c r="AE110" s="29" t="inlineStr">
        <is>
          <t>valuation_credit_ml_overlay_candidate.csv</t>
        </is>
      </c>
      <c r="AF110" s="29" t="inlineStr">
        <is>
          <t>208개 반도체 reference universe. Valuation Agent가 자체 intake 폴더로 복제해 Peer/ML/대시보드 비교에 사용.</t>
        </is>
      </c>
    </row>
    <row r="111" ht="24" customHeight="1">
      <c r="A111" s="24" t="inlineStr">
        <is>
          <t>198</t>
        </is>
      </c>
      <c r="B111" s="24" t="inlineStr">
        <is>
          <t>해당 없음</t>
        </is>
      </c>
      <c r="C111" s="24" t="inlineStr">
        <is>
          <t>심텍홀딩스</t>
        </is>
      </c>
      <c r="D111" s="24" t="inlineStr">
        <is>
          <t>036710</t>
        </is>
      </c>
      <c r="E111" s="24" t="inlineStr">
        <is>
          <t>KOSDAQ</t>
        </is>
      </c>
      <c r="F111" s="24" t="inlineStr">
        <is>
          <t>부품/기판</t>
        </is>
      </c>
      <c r="G111" s="24" t="inlineStr">
        <is>
          <t>부품/기판</t>
        </is>
      </c>
      <c r="H111" s="24" t="inlineStr">
        <is>
          <t>False</t>
        </is>
      </c>
      <c r="I111" s="24" t="inlineStr">
        <is>
          <t>True</t>
        </is>
      </c>
      <c r="J111" s="24" t="inlineStr">
        <is>
          <t>OK</t>
        </is>
      </c>
      <c r="K111" s="24" t="inlineStr">
        <is>
          <t>데이터 사용 가능</t>
        </is>
      </c>
      <c r="L111" s="24" t="inlineStr">
        <is>
          <t>LOW</t>
        </is>
      </c>
      <c r="M111" s="24" t="inlineStr">
        <is>
          <t>LOW</t>
        </is>
      </c>
      <c r="N111" s="24" t="inlineStr">
        <is>
          <t>0.5323809523809524</t>
        </is>
      </c>
      <c r="O111" s="24" t="inlineStr">
        <is>
          <t>FAIR</t>
        </is>
      </c>
      <c r="P111" s="24" t="inlineStr">
        <is>
          <t>FAIR</t>
        </is>
      </c>
      <c r="Q111" s="24" t="inlineStr">
        <is>
          <t>FAIR</t>
        </is>
      </c>
      <c r="R111" s="24" t="inlineStr">
        <is>
          <t>0.726519318190825</t>
        </is>
      </c>
      <c r="S111" s="24" t="inlineStr">
        <is>
          <t>HIGH</t>
        </is>
      </c>
      <c r="T111" s="24" t="inlineStr">
        <is>
          <t>HIGH</t>
        </is>
      </c>
      <c r="U111" s="24" t="inlineStr">
        <is>
          <t>0.7857142857142857</t>
        </is>
      </c>
      <c r="V111" s="24" t="inlineStr">
        <is>
          <t>HIGH_RISK</t>
        </is>
      </c>
      <c r="W111" s="24" t="inlineStr">
        <is>
          <t>고위험</t>
        </is>
      </c>
      <c r="X111" s="24" t="inlineStr">
        <is>
          <t>HIGH_RISK</t>
        </is>
      </c>
      <c r="Y111" s="24" t="inlineStr">
        <is>
          <t>0.9494990496511118</t>
        </is>
      </c>
      <c r="Z111" s="24" t="inlineStr">
        <is>
          <t>HIGH</t>
        </is>
      </c>
      <c r="AA111" s="24" t="inlineStr">
        <is>
          <t>HIGH</t>
        </is>
      </c>
      <c r="AB111" s="24" t="inlineStr">
        <is>
          <t>0.2133344405871512</t>
        </is>
      </c>
      <c r="AC111" s="24" t="inlineStr">
        <is>
          <t>False</t>
        </is>
      </c>
      <c r="AD111" s="24" t="inlineStr">
        <is>
          <t>False</t>
        </is>
      </c>
      <c r="AE111" s="24" t="inlineStr">
        <is>
          <t>valuation_credit_ml_overlay_candidate.csv</t>
        </is>
      </c>
      <c r="AF111" s="24" t="inlineStr">
        <is>
          <t>208개 반도체 reference universe. Valuation Agent가 자체 intake 폴더로 복제해 Peer/ML/대시보드 비교에 사용.</t>
        </is>
      </c>
    </row>
    <row r="112" ht="24" customHeight="1">
      <c r="A112" s="29" t="inlineStr">
        <is>
          <t>201</t>
        </is>
      </c>
      <c r="B112" s="29" t="inlineStr">
        <is>
          <t>해당 없음</t>
        </is>
      </c>
      <c r="C112" s="29" t="inlineStr">
        <is>
          <t>엠디바이스</t>
        </is>
      </c>
      <c r="D112" s="29" t="inlineStr">
        <is>
          <t>226590</t>
        </is>
      </c>
      <c r="E112" s="29" t="inlineStr">
        <is>
          <t>KOSDAQ</t>
        </is>
      </c>
      <c r="F112" s="29" t="inlineStr">
        <is>
          <t>부품/기판</t>
        </is>
      </c>
      <c r="G112" s="29" t="inlineStr">
        <is>
          <t>부품/기판</t>
        </is>
      </c>
      <c r="H112" s="29" t="inlineStr">
        <is>
          <t>False</t>
        </is>
      </c>
      <c r="I112" s="29" t="inlineStr">
        <is>
          <t>True</t>
        </is>
      </c>
      <c r="J112" s="29" t="inlineStr">
        <is>
          <t>OK_LIMITED_HISTORY_OR_GROWTH_NA</t>
        </is>
      </c>
      <c r="K112" s="29" t="inlineStr">
        <is>
          <t>데이터 사용 가능</t>
        </is>
      </c>
      <c r="L112" s="29" t="inlineStr">
        <is>
          <t>LOW</t>
        </is>
      </c>
      <c r="M112" s="29" t="inlineStr">
        <is>
          <t>LOW</t>
        </is>
      </c>
      <c r="N112" s="29" t="inlineStr">
        <is>
          <t>0.531904761904762</t>
        </is>
      </c>
      <c r="O112" s="29" t="inlineStr">
        <is>
          <t>FAIR</t>
        </is>
      </c>
      <c r="P112" s="29" t="inlineStr">
        <is>
          <t>FAIR</t>
        </is>
      </c>
      <c r="Q112" s="29" t="inlineStr">
        <is>
          <t>FAIR</t>
        </is>
      </c>
      <c r="R112" s="29" t="inlineStr">
        <is>
          <t>0.7655361666958056</t>
        </is>
      </c>
      <c r="S112" s="29" t="inlineStr">
        <is>
          <t>HIGH</t>
        </is>
      </c>
      <c r="T112" s="29" t="inlineStr">
        <is>
          <t>HIGH</t>
        </is>
      </c>
      <c r="U112" s="29" t="inlineStr">
        <is>
          <t>0.4285714285714285</t>
        </is>
      </c>
      <c r="V112" s="29" t="inlineStr">
        <is>
          <t>HIGH_RISK</t>
        </is>
      </c>
      <c r="W112" s="29" t="inlineStr">
        <is>
          <t>고위험</t>
        </is>
      </c>
      <c r="X112" s="29" t="inlineStr">
        <is>
          <t>HIGH_RISK</t>
        </is>
      </c>
      <c r="Y112" s="29" t="inlineStr">
        <is>
          <t>0.5435613311923726</t>
        </is>
      </c>
      <c r="Z112" s="29" t="inlineStr">
        <is>
          <t>MEDIUM</t>
        </is>
      </c>
      <c r="AA112" s="29" t="inlineStr">
        <is>
          <t>MEDIUM</t>
        </is>
      </c>
      <c r="AB112" s="29" t="inlineStr">
        <is>
          <t>0.09953338023728169</t>
        </is>
      </c>
      <c r="AC112" s="29" t="inlineStr">
        <is>
          <t>False</t>
        </is>
      </c>
      <c r="AD112" s="29" t="inlineStr">
        <is>
          <t>True</t>
        </is>
      </c>
      <c r="AE112" s="29" t="inlineStr">
        <is>
          <t>valuation_credit_ml_overlay_candidate.csv</t>
        </is>
      </c>
      <c r="AF112" s="29" t="inlineStr">
        <is>
          <t>208개 반도체 reference universe. Valuation Agent가 자체 intake 폴더로 복제해 Peer/ML/대시보드 비교에 사용.</t>
        </is>
      </c>
    </row>
    <row r="113" ht="24" customHeight="1">
      <c r="A113" s="24" t="inlineStr">
        <is>
          <t>207</t>
        </is>
      </c>
      <c r="B113" s="24" t="inlineStr">
        <is>
          <t>해당 없음</t>
        </is>
      </c>
      <c r="C113" s="24" t="inlineStr">
        <is>
          <t>타이거일렉</t>
        </is>
      </c>
      <c r="D113" s="24" t="inlineStr">
        <is>
          <t>219130</t>
        </is>
      </c>
      <c r="E113" s="24" t="inlineStr">
        <is>
          <t>KOSDAQ</t>
        </is>
      </c>
      <c r="F113" s="24" t="inlineStr">
        <is>
          <t>부품/기판</t>
        </is>
      </c>
      <c r="G113" s="24" t="inlineStr">
        <is>
          <t>부품/기판</t>
        </is>
      </c>
      <c r="H113" s="24" t="inlineStr">
        <is>
          <t>False</t>
        </is>
      </c>
      <c r="I113" s="24" t="inlineStr">
        <is>
          <t>True</t>
        </is>
      </c>
      <c r="J113" s="24" t="inlineStr">
        <is>
          <t>OK</t>
        </is>
      </c>
      <c r="K113" s="24" t="inlineStr">
        <is>
          <t>데이터 사용 가능</t>
        </is>
      </c>
      <c r="L113" s="24" t="inlineStr">
        <is>
          <t>LOW</t>
        </is>
      </c>
      <c r="M113" s="24" t="inlineStr">
        <is>
          <t>LOW</t>
        </is>
      </c>
      <c r="N113" s="24" t="inlineStr">
        <is>
          <t>0.5066666666666667</t>
        </is>
      </c>
      <c r="O113" s="24" t="inlineStr">
        <is>
          <t>FAIR</t>
        </is>
      </c>
      <c r="P113" s="24" t="inlineStr">
        <is>
          <t>FAIR</t>
        </is>
      </c>
      <c r="Q113" s="24" t="inlineStr">
        <is>
          <t>FAIR</t>
        </is>
      </c>
      <c r="R113" s="24" t="inlineStr">
        <is>
          <t>0.6463040733623892</t>
        </is>
      </c>
      <c r="S113" s="24" t="inlineStr">
        <is>
          <t>MEDIUM</t>
        </is>
      </c>
      <c r="T113" s="24" t="inlineStr">
        <is>
          <t>MEDIUM</t>
        </is>
      </c>
      <c r="U113" s="24" t="inlineStr">
        <is>
          <t>0.1428571428571428</t>
        </is>
      </c>
      <c r="V113" s="24" t="inlineStr">
        <is>
          <t>LOW_RISK</t>
        </is>
      </c>
      <c r="W113" s="24" t="inlineStr">
        <is>
          <t>저위험</t>
        </is>
      </c>
      <c r="X113" s="24" t="inlineStr">
        <is>
          <t>LOW_RISK</t>
        </is>
      </c>
      <c r="Y113" s="24" t="inlineStr">
        <is>
          <t>0.6693838501840603</t>
        </is>
      </c>
      <c r="Z113" s="24" t="inlineStr">
        <is>
          <t>MEDIUM</t>
        </is>
      </c>
      <c r="AA113" s="24" t="inlineStr">
        <is>
          <t>MEDIUM</t>
        </is>
      </c>
      <c r="AB113" s="24" t="inlineStr">
        <is>
          <t>0.019101509586453232</t>
        </is>
      </c>
      <c r="AC113" s="24" t="inlineStr">
        <is>
          <t>False</t>
        </is>
      </c>
      <c r="AD113" s="24" t="inlineStr">
        <is>
          <t>False</t>
        </is>
      </c>
      <c r="AE113" s="24" t="inlineStr">
        <is>
          <t>valuation_credit_ml_overlay_candidate.csv</t>
        </is>
      </c>
      <c r="AF113" s="24" t="inlineStr">
        <is>
          <t>208개 반도체 reference universe. Valuation Agent가 자체 intake 폴더로 복제해 Peer/ML/대시보드 비교에 사용.</t>
        </is>
      </c>
    </row>
    <row r="114" ht="24" customHeight="1">
      <c r="A114" s="29" t="inlineStr">
        <is>
          <t>202</t>
        </is>
      </c>
      <c r="B114" s="29" t="inlineStr">
        <is>
          <t>해당 없음</t>
        </is>
      </c>
      <c r="C114" s="29" t="inlineStr">
        <is>
          <t>이수페타시스</t>
        </is>
      </c>
      <c r="D114" s="29" t="inlineStr">
        <is>
          <t>007660</t>
        </is>
      </c>
      <c r="E114" s="29" t="inlineStr">
        <is>
          <t>KOSPI</t>
        </is>
      </c>
      <c r="F114" s="29" t="inlineStr">
        <is>
          <t>부품/기판</t>
        </is>
      </c>
      <c r="G114" s="29" t="inlineStr">
        <is>
          <t>부품/기판</t>
        </is>
      </c>
      <c r="H114" s="29" t="inlineStr">
        <is>
          <t>False</t>
        </is>
      </c>
      <c r="I114" s="29" t="inlineStr">
        <is>
          <t>True</t>
        </is>
      </c>
      <c r="J114" s="29" t="inlineStr">
        <is>
          <t>OK</t>
        </is>
      </c>
      <c r="K114" s="29" t="inlineStr">
        <is>
          <t>데이터 사용 가능</t>
        </is>
      </c>
      <c r="L114" s="29" t="inlineStr">
        <is>
          <t>LOW</t>
        </is>
      </c>
      <c r="M114" s="29" t="inlineStr">
        <is>
          <t>LOW</t>
        </is>
      </c>
      <c r="N114" s="29" t="inlineStr">
        <is>
          <t>0.5061904761904762</t>
        </is>
      </c>
      <c r="O114" s="29" t="inlineStr">
        <is>
          <t>FAIR</t>
        </is>
      </c>
      <c r="P114" s="29" t="inlineStr">
        <is>
          <t>FAIR</t>
        </is>
      </c>
      <c r="Q114" s="29" t="inlineStr">
        <is>
          <t>FAIR</t>
        </is>
      </c>
      <c r="R114" s="29" t="inlineStr">
        <is>
          <t>0.599589540069591</t>
        </is>
      </c>
      <c r="S114" s="29" t="inlineStr">
        <is>
          <t>MEDIUM</t>
        </is>
      </c>
      <c r="T114" s="29" t="inlineStr">
        <is>
          <t>MEDIUM</t>
        </is>
      </c>
      <c r="U114" s="29" t="inlineStr">
        <is>
          <t>0.0</t>
        </is>
      </c>
      <c r="V114" s="29" t="inlineStr">
        <is>
          <t>LOW_RISK</t>
        </is>
      </c>
      <c r="W114" s="29" t="inlineStr">
        <is>
          <t>저위험</t>
        </is>
      </c>
      <c r="X114" s="29" t="inlineStr">
        <is>
          <t>LOW_RISK</t>
        </is>
      </c>
      <c r="Y114" s="29" t="inlineStr">
        <is>
          <t>0.8732919913777979</t>
        </is>
      </c>
      <c r="Z114" s="29" t="inlineStr">
        <is>
          <t>HIGH</t>
        </is>
      </c>
      <c r="AA114" s="29" t="inlineStr">
        <is>
          <t>HIGH</t>
        </is>
      </c>
      <c r="AB114" s="29" t="inlineStr">
        <is>
          <t>0.038896158054804106</t>
        </is>
      </c>
      <c r="AC114" s="29" t="inlineStr">
        <is>
          <t>False</t>
        </is>
      </c>
      <c r="AD114" s="29" t="inlineStr">
        <is>
          <t>False</t>
        </is>
      </c>
      <c r="AE114" s="29" t="inlineStr">
        <is>
          <t>valuation_credit_ml_overlay_candidate.csv</t>
        </is>
      </c>
      <c r="AF114" s="29" t="inlineStr">
        <is>
          <t>208개 반도체 reference universe. Valuation Agent가 자체 intake 폴더로 복제해 Peer/ML/대시보드 비교에 사용.</t>
        </is>
      </c>
    </row>
    <row r="115" ht="24" customHeight="1">
      <c r="A115" s="24" t="inlineStr">
        <is>
          <t>205</t>
        </is>
      </c>
      <c r="B115" s="24" t="inlineStr">
        <is>
          <t>해당 없음</t>
        </is>
      </c>
      <c r="C115" s="24" t="inlineStr">
        <is>
          <t>코리아써키트</t>
        </is>
      </c>
      <c r="D115" s="24" t="inlineStr">
        <is>
          <t>007810</t>
        </is>
      </c>
      <c r="E115" s="24" t="inlineStr">
        <is>
          <t>KOSPI</t>
        </is>
      </c>
      <c r="F115" s="24" t="inlineStr">
        <is>
          <t>부품/기판</t>
        </is>
      </c>
      <c r="G115" s="24" t="inlineStr">
        <is>
          <t>부품/기판</t>
        </is>
      </c>
      <c r="H115" s="24" t="inlineStr">
        <is>
          <t>False</t>
        </is>
      </c>
      <c r="I115" s="24" t="inlineStr">
        <is>
          <t>True</t>
        </is>
      </c>
      <c r="J115" s="24" t="inlineStr">
        <is>
          <t>OK</t>
        </is>
      </c>
      <c r="K115" s="24" t="inlineStr">
        <is>
          <t>데이터 사용 가능</t>
        </is>
      </c>
      <c r="L115" s="24" t="inlineStr">
        <is>
          <t>LOW</t>
        </is>
      </c>
      <c r="M115" s="24" t="inlineStr">
        <is>
          <t>LOW</t>
        </is>
      </c>
      <c r="N115" s="24" t="inlineStr">
        <is>
          <t>0.4676190476190476</t>
        </is>
      </c>
      <c r="O115" s="24" t="inlineStr">
        <is>
          <t>FAIR</t>
        </is>
      </c>
      <c r="P115" s="24" t="inlineStr">
        <is>
          <t>FAIR</t>
        </is>
      </c>
      <c r="Q115" s="24" t="inlineStr">
        <is>
          <t>FAIR</t>
        </is>
      </c>
      <c r="R115" s="24" t="inlineStr">
        <is>
          <t>0.8409076697911426</t>
        </is>
      </c>
      <c r="S115" s="24" t="inlineStr">
        <is>
          <t>HIGH</t>
        </is>
      </c>
      <c r="T115" s="24" t="inlineStr">
        <is>
          <t>HIGH</t>
        </is>
      </c>
      <c r="U115" s="24" t="inlineStr">
        <is>
          <t>0.2857142857142857</t>
        </is>
      </c>
      <c r="V115" s="24" t="inlineStr">
        <is>
          <t>MEDIUM_RISK</t>
        </is>
      </c>
      <c r="W115" s="24" t="inlineStr">
        <is>
          <t>중위험</t>
        </is>
      </c>
      <c r="X115" s="24" t="inlineStr">
        <is>
          <t>LOW_RISK</t>
        </is>
      </c>
      <c r="Y115" s="24" t="inlineStr">
        <is>
          <t>0.5792263126697852</t>
        </is>
      </c>
      <c r="Z115" s="24" t="inlineStr">
        <is>
          <t>MEDIUM</t>
        </is>
      </c>
      <c r="AA115" s="24" t="inlineStr">
        <is>
          <t>MEDIUM</t>
        </is>
      </c>
      <c r="AB115" s="24" t="inlineStr">
        <is>
          <t>0.03298450854390864</t>
        </is>
      </c>
      <c r="AC115" s="24" t="inlineStr">
        <is>
          <t>False</t>
        </is>
      </c>
      <c r="AD115" s="24" t="inlineStr">
        <is>
          <t>False</t>
        </is>
      </c>
      <c r="AE115" s="24" t="inlineStr">
        <is>
          <t>valuation_credit_ml_overlay_candidate.csv</t>
        </is>
      </c>
      <c r="AF115" s="24" t="inlineStr">
        <is>
          <t>208개 반도체 reference universe. Valuation Agent가 자체 intake 폴더로 복제해 Peer/ML/대시보드 비교에 사용.</t>
        </is>
      </c>
    </row>
    <row r="116" ht="24" customHeight="1">
      <c r="A116" s="29" t="inlineStr">
        <is>
          <t>200</t>
        </is>
      </c>
      <c r="B116" s="29" t="inlineStr">
        <is>
          <t>해당 없음</t>
        </is>
      </c>
      <c r="C116" s="29" t="inlineStr">
        <is>
          <t>아이티엠반도체</t>
        </is>
      </c>
      <c r="D116" s="29" t="inlineStr">
        <is>
          <t>084850</t>
        </is>
      </c>
      <c r="E116" s="29" t="inlineStr">
        <is>
          <t>KOSDAQ GLOBAL</t>
        </is>
      </c>
      <c r="F116" s="29" t="inlineStr">
        <is>
          <t>부품/기판</t>
        </is>
      </c>
      <c r="G116" s="29" t="inlineStr">
        <is>
          <t>부품/기판</t>
        </is>
      </c>
      <c r="H116" s="29" t="inlineStr">
        <is>
          <t>False</t>
        </is>
      </c>
      <c r="I116" s="29" t="inlineStr">
        <is>
          <t>True</t>
        </is>
      </c>
      <c r="J116" s="29" t="inlineStr">
        <is>
          <t>OK</t>
        </is>
      </c>
      <c r="K116" s="29" t="inlineStr">
        <is>
          <t>데이터 사용 가능</t>
        </is>
      </c>
      <c r="L116" s="29" t="inlineStr">
        <is>
          <t>LOW</t>
        </is>
      </c>
      <c r="M116" s="29" t="inlineStr">
        <is>
          <t>LOW</t>
        </is>
      </c>
      <c r="N116" s="29" t="inlineStr">
        <is>
          <t>0.4123809523809524</t>
        </is>
      </c>
      <c r="O116" s="29" t="inlineStr">
        <is>
          <t>EXPENSIVE</t>
        </is>
      </c>
      <c r="P116" s="29" t="inlineStr">
        <is>
          <t>EXPENSIVE</t>
        </is>
      </c>
      <c r="Q116" s="29" t="inlineStr">
        <is>
          <t>EXPENSIVE</t>
        </is>
      </c>
      <c r="R116" s="29" t="inlineStr">
        <is>
          <t>0.599341656390115</t>
        </is>
      </c>
      <c r="S116" s="29" t="inlineStr">
        <is>
          <t>MEDIUM</t>
        </is>
      </c>
      <c r="T116" s="29" t="inlineStr">
        <is>
          <t>MEDIUM</t>
        </is>
      </c>
      <c r="U116" s="29" t="inlineStr">
        <is>
          <t>0.5</t>
        </is>
      </c>
      <c r="V116" s="29" t="inlineStr">
        <is>
          <t>HIGH_RISK</t>
        </is>
      </c>
      <c r="W116" s="29" t="inlineStr">
        <is>
          <t>고위험</t>
        </is>
      </c>
      <c r="X116" s="29" t="inlineStr">
        <is>
          <t>HIGH_RISK</t>
        </is>
      </c>
      <c r="Y116" s="29" t="inlineStr">
        <is>
          <t>0.5842218052758918</t>
        </is>
      </c>
      <c r="Z116" s="29" t="inlineStr">
        <is>
          <t>MEDIUM</t>
        </is>
      </c>
      <c r="AA116" s="29" t="inlineStr">
        <is>
          <t>MEDIUM</t>
        </is>
      </c>
      <c r="AB116" s="29" t="inlineStr">
        <is>
          <t>0.24031195088694401</t>
        </is>
      </c>
      <c r="AC116" s="29" t="inlineStr">
        <is>
          <t>True</t>
        </is>
      </c>
      <c r="AD116" s="29" t="inlineStr">
        <is>
          <t>True</t>
        </is>
      </c>
      <c r="AE116" s="29" t="inlineStr">
        <is>
          <t>valuation_credit_ml_overlay_candidate.csv</t>
        </is>
      </c>
      <c r="AF116" s="29" t="inlineStr">
        <is>
          <t>208개 반도체 reference universe. Valuation Agent가 자체 intake 폴더로 복제해 Peer/ML/대시보드 비교에 사용.</t>
        </is>
      </c>
    </row>
    <row r="117" ht="24" customHeight="1">
      <c r="A117" s="24" t="inlineStr">
        <is>
          <t>195</t>
        </is>
      </c>
      <c r="B117" s="24" t="inlineStr">
        <is>
          <t>해당 없음</t>
        </is>
      </c>
      <c r="C117" s="24" t="inlineStr">
        <is>
          <t>대덕전자</t>
        </is>
      </c>
      <c r="D117" s="24" t="inlineStr">
        <is>
          <t>353200</t>
        </is>
      </c>
      <c r="E117" s="24" t="inlineStr">
        <is>
          <t>KOSPI</t>
        </is>
      </c>
      <c r="F117" s="24" t="inlineStr">
        <is>
          <t>부품/기판</t>
        </is>
      </c>
      <c r="G117" s="24" t="inlineStr">
        <is>
          <t>부품/기판</t>
        </is>
      </c>
      <c r="H117" s="24" t="inlineStr">
        <is>
          <t>False</t>
        </is>
      </c>
      <c r="I117" s="24" t="inlineStr">
        <is>
          <t>True</t>
        </is>
      </c>
      <c r="J117" s="24" t="inlineStr">
        <is>
          <t>OK</t>
        </is>
      </c>
      <c r="K117" s="24" t="inlineStr">
        <is>
          <t>데이터 사용 가능</t>
        </is>
      </c>
      <c r="L117" s="24" t="inlineStr">
        <is>
          <t>LOW</t>
        </is>
      </c>
      <c r="M117" s="24" t="inlineStr">
        <is>
          <t>LOW</t>
        </is>
      </c>
      <c r="N117" s="24" t="inlineStr">
        <is>
          <t>0.3966666666666666</t>
        </is>
      </c>
      <c r="O117" s="24" t="inlineStr">
        <is>
          <t>EXPENSIVE</t>
        </is>
      </c>
      <c r="P117" s="24" t="inlineStr">
        <is>
          <t>EXPENSIVE</t>
        </is>
      </c>
      <c r="Q117" s="24" t="inlineStr">
        <is>
          <t>EXPENSIVE</t>
        </is>
      </c>
      <c r="R117" s="24" t="inlineStr">
        <is>
          <t>0.6645756407915718</t>
        </is>
      </c>
      <c r="S117" s="24" t="inlineStr">
        <is>
          <t>MEDIUM</t>
        </is>
      </c>
      <c r="T117" s="24" t="inlineStr">
        <is>
          <t>MEDIUM</t>
        </is>
      </c>
      <c r="U117" s="24" t="inlineStr">
        <is>
          <t>0.1428571428571428</t>
        </is>
      </c>
      <c r="V117" s="24" t="inlineStr">
        <is>
          <t>LOW_RISK</t>
        </is>
      </c>
      <c r="W117" s="24" t="inlineStr">
        <is>
          <t>저위험</t>
        </is>
      </c>
      <c r="X117" s="24" t="inlineStr">
        <is>
          <t>LOW_RISK</t>
        </is>
      </c>
      <c r="Y117" s="24" t="inlineStr">
        <is>
          <t>0.8790575945794377</t>
        </is>
      </c>
      <c r="Z117" s="24" t="inlineStr">
        <is>
          <t>HIGH</t>
        </is>
      </c>
      <c r="AA117" s="24" t="inlineStr">
        <is>
          <t>HIGH</t>
        </is>
      </c>
      <c r="AB117" s="24" t="inlineStr">
        <is>
          <t>0.04079572535822507</t>
        </is>
      </c>
      <c r="AC117" s="24" t="inlineStr">
        <is>
          <t>False</t>
        </is>
      </c>
      <c r="AD117" s="24" t="inlineStr">
        <is>
          <t>False</t>
        </is>
      </c>
      <c r="AE117" s="24" t="inlineStr">
        <is>
          <t>valuation_credit_ml_overlay_candidate.csv</t>
        </is>
      </c>
      <c r="AF117" s="24" t="inlineStr">
        <is>
          <t>208개 반도체 reference universe. Valuation Agent가 자체 intake 폴더로 복제해 Peer/ML/대시보드 비교에 사용.</t>
        </is>
      </c>
    </row>
    <row r="118" ht="24" customHeight="1">
      <c r="A118" s="29" t="inlineStr">
        <is>
          <t>197</t>
        </is>
      </c>
      <c r="B118" s="29" t="inlineStr">
        <is>
          <t>해당 없음</t>
        </is>
      </c>
      <c r="C118" s="29" t="inlineStr">
        <is>
          <t>심텍</t>
        </is>
      </c>
      <c r="D118" s="29" t="inlineStr">
        <is>
          <t>222800</t>
        </is>
      </c>
      <c r="E118" s="29" t="inlineStr">
        <is>
          <t>KOSDAQ GLOBAL</t>
        </is>
      </c>
      <c r="F118" s="29" t="inlineStr">
        <is>
          <t>부품/기판</t>
        </is>
      </c>
      <c r="G118" s="29" t="inlineStr">
        <is>
          <t>부품/기판</t>
        </is>
      </c>
      <c r="H118" s="29" t="inlineStr">
        <is>
          <t>False</t>
        </is>
      </c>
      <c r="I118" s="29" t="inlineStr">
        <is>
          <t>True</t>
        </is>
      </c>
      <c r="J118" s="29" t="inlineStr">
        <is>
          <t>OK</t>
        </is>
      </c>
      <c r="K118" s="29" t="inlineStr">
        <is>
          <t>데이터 사용 가능</t>
        </is>
      </c>
      <c r="L118" s="29" t="inlineStr">
        <is>
          <t>LOW</t>
        </is>
      </c>
      <c r="M118" s="29" t="inlineStr">
        <is>
          <t>LOW</t>
        </is>
      </c>
      <c r="N118" s="29" t="inlineStr">
        <is>
          <t>0.3776190476190476</t>
        </is>
      </c>
      <c r="O118" s="29" t="inlineStr">
        <is>
          <t>EXPENSIVE</t>
        </is>
      </c>
      <c r="P118" s="29" t="inlineStr">
        <is>
          <t>EXPENSIVE</t>
        </is>
      </c>
      <c r="Q118" s="29" t="inlineStr">
        <is>
          <t>EXPENSIVE</t>
        </is>
      </c>
      <c r="R118" s="29" t="inlineStr">
        <is>
          <t>0.5170784842162837</t>
        </is>
      </c>
      <c r="S118" s="29" t="inlineStr">
        <is>
          <t>MEDIUM</t>
        </is>
      </c>
      <c r="T118" s="29" t="inlineStr">
        <is>
          <t>MEDIUM</t>
        </is>
      </c>
      <c r="U118" s="29" t="inlineStr">
        <is>
          <t>0.5714285714285714</t>
        </is>
      </c>
      <c r="V118" s="29" t="inlineStr">
        <is>
          <t>HIGH_RISK</t>
        </is>
      </c>
      <c r="W118" s="29" t="inlineStr">
        <is>
          <t>고위험</t>
        </is>
      </c>
      <c r="X118" s="29" t="inlineStr">
        <is>
          <t>HIGH_RISK</t>
        </is>
      </c>
      <c r="Y118" s="29" t="inlineStr">
        <is>
          <t>0.8465973773812472</t>
        </is>
      </c>
      <c r="Z118" s="29" t="inlineStr">
        <is>
          <t>HIGH</t>
        </is>
      </c>
      <c r="AA118" s="29" t="inlineStr">
        <is>
          <t>HIGH</t>
        </is>
      </c>
      <c r="AB118" s="29" t="inlineStr">
        <is>
          <t>0.10596332114746113</t>
        </is>
      </c>
      <c r="AC118" s="29" t="inlineStr">
        <is>
          <t>False</t>
        </is>
      </c>
      <c r="AD118" s="29" t="inlineStr">
        <is>
          <t>False</t>
        </is>
      </c>
      <c r="AE118" s="29" t="inlineStr">
        <is>
          <t>valuation_credit_ml_overlay_candidate.csv</t>
        </is>
      </c>
      <c r="AF118" s="29" t="inlineStr">
        <is>
          <t>208개 반도체 reference universe. Valuation Agent가 자체 intake 폴더로 복제해 Peer/ML/대시보드 비교에 사용.</t>
        </is>
      </c>
    </row>
    <row r="119" ht="24" customHeight="1">
      <c r="A119" s="24" t="inlineStr">
        <is>
          <t>199</t>
        </is>
      </c>
      <c r="B119" s="24" t="inlineStr">
        <is>
          <t>해당 없음</t>
        </is>
      </c>
      <c r="C119" s="24" t="inlineStr">
        <is>
          <t>아이에이</t>
        </is>
      </c>
      <c r="D119" s="24" t="inlineStr">
        <is>
          <t>038880</t>
        </is>
      </c>
      <c r="E119" s="24" t="inlineStr">
        <is>
          <t>KOSDAQ</t>
        </is>
      </c>
      <c r="F119" s="24" t="inlineStr">
        <is>
          <t>부품/기판</t>
        </is>
      </c>
      <c r="G119" s="24" t="inlineStr">
        <is>
          <t>부품/기판</t>
        </is>
      </c>
      <c r="H119" s="24" t="inlineStr">
        <is>
          <t>False</t>
        </is>
      </c>
      <c r="I119" s="24" t="inlineStr">
        <is>
          <t>True</t>
        </is>
      </c>
      <c r="J119" s="24" t="inlineStr">
        <is>
          <t>OK</t>
        </is>
      </c>
      <c r="K119" s="24" t="inlineStr">
        <is>
          <t>데이터 사용 가능</t>
        </is>
      </c>
      <c r="L119" s="24" t="inlineStr">
        <is>
          <t>LOW</t>
        </is>
      </c>
      <c r="M119" s="24" t="inlineStr">
        <is>
          <t>LOW</t>
        </is>
      </c>
      <c r="N119" s="24" t="inlineStr">
        <is>
          <t>0.3776190476190476</t>
        </is>
      </c>
      <c r="O119" s="24" t="inlineStr">
        <is>
          <t>EXPENSIVE</t>
        </is>
      </c>
      <c r="P119" s="24" t="inlineStr">
        <is>
          <t>EXPENSIVE</t>
        </is>
      </c>
      <c r="Q119" s="24" t="inlineStr">
        <is>
          <t>EXPENSIVE</t>
        </is>
      </c>
      <c r="R119" s="24" t="inlineStr">
        <is>
          <t>0.7739089828714508</t>
        </is>
      </c>
      <c r="S119" s="24" t="inlineStr">
        <is>
          <t>HIGH</t>
        </is>
      </c>
      <c r="T119" s="24" t="inlineStr">
        <is>
          <t>HIGH</t>
        </is>
      </c>
      <c r="U119" s="24" t="inlineStr">
        <is>
          <t>0.7142857142857143</t>
        </is>
      </c>
      <c r="V119" s="24" t="inlineStr">
        <is>
          <t>HIGH_RISK</t>
        </is>
      </c>
      <c r="W119" s="24" t="inlineStr">
        <is>
          <t>고위험</t>
        </is>
      </c>
      <c r="X119" s="24" t="inlineStr">
        <is>
          <t>HIGH_RISK</t>
        </is>
      </c>
      <c r="Y119" s="24" t="inlineStr">
        <is>
          <t>0.9768034906818953</t>
        </is>
      </c>
      <c r="Z119" s="24" t="inlineStr">
        <is>
          <t>HIGH</t>
        </is>
      </c>
      <c r="AA119" s="24" t="inlineStr">
        <is>
          <t>HIGH</t>
        </is>
      </c>
      <c r="AB119" s="24" t="inlineStr">
        <is>
          <t>0.2681205370430481</t>
        </is>
      </c>
      <c r="AC119" s="24" t="inlineStr">
        <is>
          <t>True</t>
        </is>
      </c>
      <c r="AD119" s="24" t="inlineStr">
        <is>
          <t>True</t>
        </is>
      </c>
      <c r="AE119" s="24" t="inlineStr">
        <is>
          <t>valuation_credit_ml_overlay_candidate.csv</t>
        </is>
      </c>
      <c r="AF119" s="24" t="inlineStr">
        <is>
          <t>208개 반도체 reference universe. Valuation Agent가 자체 intake 폴더로 복제해 Peer/ML/대시보드 비교에 사용.</t>
        </is>
      </c>
    </row>
    <row r="120" ht="24" customHeight="1">
      <c r="A120" s="29" t="inlineStr">
        <is>
          <t>208</t>
        </is>
      </c>
      <c r="B120" s="29" t="inlineStr">
        <is>
          <t>해당 없음</t>
        </is>
      </c>
      <c r="C120" s="29" t="inlineStr">
        <is>
          <t>3S</t>
        </is>
      </c>
      <c r="D120" s="29" t="inlineStr">
        <is>
          <t>060310</t>
        </is>
      </c>
      <c r="E120" s="29" t="inlineStr">
        <is>
          <t>KOSDAQ</t>
        </is>
      </c>
      <c r="F120" s="29" t="inlineStr">
        <is>
          <t>부품/기판</t>
        </is>
      </c>
      <c r="G120" s="29" t="inlineStr">
        <is>
          <t>부품/웨이퍼캐리어</t>
        </is>
      </c>
      <c r="H120" s="29" t="inlineStr">
        <is>
          <t>False</t>
        </is>
      </c>
      <c r="I120" s="29" t="inlineStr">
        <is>
          <t>True</t>
        </is>
      </c>
      <c r="J120" s="29" t="inlineStr">
        <is>
          <t>OK</t>
        </is>
      </c>
      <c r="K120" s="29" t="inlineStr">
        <is>
          <t>데이터 사용 가능</t>
        </is>
      </c>
      <c r="L120" s="29" t="inlineStr">
        <is>
          <t>LOW</t>
        </is>
      </c>
      <c r="M120" s="29" t="inlineStr">
        <is>
          <t>LOW</t>
        </is>
      </c>
      <c r="N120" s="29" t="inlineStr">
        <is>
          <t>0.3409523809523809</t>
        </is>
      </c>
      <c r="O120" s="29" t="inlineStr">
        <is>
          <t>EXPENSIVE</t>
        </is>
      </c>
      <c r="P120" s="29" t="inlineStr">
        <is>
          <t>EXPENSIVE</t>
        </is>
      </c>
      <c r="Q120" s="29" t="inlineStr">
        <is>
          <t>EXPENSIVE</t>
        </is>
      </c>
      <c r="R120" s="29" t="inlineStr">
        <is>
          <t>0.8755971854841007</t>
        </is>
      </c>
      <c r="S120" s="29" t="inlineStr">
        <is>
          <t>HIGH</t>
        </is>
      </c>
      <c r="T120" s="29" t="inlineStr">
        <is>
          <t>HIGH</t>
        </is>
      </c>
      <c r="U120" s="29" t="inlineStr">
        <is>
          <t>0.5714285714285714</t>
        </is>
      </c>
      <c r="V120" s="29" t="inlineStr">
        <is>
          <t>HIGH_RISK</t>
        </is>
      </c>
      <c r="W120" s="29" t="inlineStr">
        <is>
          <t>고위험</t>
        </is>
      </c>
      <c r="X120" s="29" t="inlineStr">
        <is>
          <t>HIGH_RISK</t>
        </is>
      </c>
      <c r="Y120" s="29" t="inlineStr">
        <is>
          <t>0.9688627439088098</t>
        </is>
      </c>
      <c r="Z120" s="29" t="inlineStr">
        <is>
          <t>HIGH</t>
        </is>
      </c>
      <c r="AA120" s="29" t="inlineStr">
        <is>
          <t>HIGH</t>
        </is>
      </c>
      <c r="AB120" s="29" t="inlineStr">
        <is>
          <t>0.13174199880530135</t>
        </is>
      </c>
      <c r="AC120" s="29" t="inlineStr">
        <is>
          <t>False</t>
        </is>
      </c>
      <c r="AD120" s="29" t="inlineStr">
        <is>
          <t>False</t>
        </is>
      </c>
      <c r="AE120" s="29" t="inlineStr">
        <is>
          <t>valuation_credit_ml_overlay_candidate.csv</t>
        </is>
      </c>
      <c r="AF120" s="29" t="inlineStr">
        <is>
          <t>208개 반도체 reference universe. Valuation Agent가 자체 intake 폴더로 복제해 Peer/ML/대시보드 비교에 사용.</t>
        </is>
      </c>
    </row>
    <row r="121" ht="24" customHeight="1">
      <c r="A121" s="24" t="inlineStr">
        <is>
          <t>139</t>
        </is>
      </c>
      <c r="B121" s="24" t="inlineStr">
        <is>
          <t>해당 없음</t>
        </is>
      </c>
      <c r="C121" s="24" t="inlineStr">
        <is>
          <t>월덱스</t>
        </is>
      </c>
      <c r="D121" s="24" t="inlineStr">
        <is>
          <t>101160</t>
        </is>
      </c>
      <c r="E121" s="24" t="inlineStr">
        <is>
          <t>KOSDAQ</t>
        </is>
      </c>
      <c r="F121" s="24" t="inlineStr">
        <is>
          <t>소재</t>
        </is>
      </c>
      <c r="G121" s="24" t="inlineStr">
        <is>
          <t>소재</t>
        </is>
      </c>
      <c r="H121" s="24" t="inlineStr">
        <is>
          <t>False</t>
        </is>
      </c>
      <c r="I121" s="24" t="inlineStr">
        <is>
          <t>True</t>
        </is>
      </c>
      <c r="J121" s="24" t="inlineStr">
        <is>
          <t>OK</t>
        </is>
      </c>
      <c r="K121" s="24" t="inlineStr">
        <is>
          <t>데이터 사용 가능</t>
        </is>
      </c>
      <c r="L121" s="24" t="inlineStr">
        <is>
          <t>LOW</t>
        </is>
      </c>
      <c r="M121" s="24" t="inlineStr">
        <is>
          <t>LOW</t>
        </is>
      </c>
      <c r="N121" s="24" t="inlineStr">
        <is>
          <t>0.745897435897436</t>
        </is>
      </c>
      <c r="O121" s="24" t="inlineStr">
        <is>
          <t>ATTRACTIVE</t>
        </is>
      </c>
      <c r="P121" s="24" t="inlineStr">
        <is>
          <t>가치 매력</t>
        </is>
      </c>
      <c r="Q121" s="24" t="inlineStr">
        <is>
          <t>ATTRACTIVE</t>
        </is>
      </c>
      <c r="R121" s="24" t="inlineStr">
        <is>
          <t>0.9476922450763601</t>
        </is>
      </c>
      <c r="S121" s="24" t="inlineStr">
        <is>
          <t>HIGH</t>
        </is>
      </c>
      <c r="T121" s="24" t="inlineStr">
        <is>
          <t>HIGH</t>
        </is>
      </c>
      <c r="U121" s="24" t="inlineStr">
        <is>
          <t>0.0</t>
        </is>
      </c>
      <c r="V121" s="24" t="inlineStr">
        <is>
          <t>LOW_RISK</t>
        </is>
      </c>
      <c r="W121" s="24" t="inlineStr">
        <is>
          <t>저위험</t>
        </is>
      </c>
      <c r="X121" s="24" t="inlineStr">
        <is>
          <t>LOW_RISK</t>
        </is>
      </c>
      <c r="Y121" s="24" t="inlineStr">
        <is>
          <t>0.9681016473230849</t>
        </is>
      </c>
      <c r="Z121" s="24" t="inlineStr">
        <is>
          <t>HIGH</t>
        </is>
      </c>
      <c r="AA121" s="24" t="inlineStr">
        <is>
          <t>HIGH</t>
        </is>
      </c>
      <c r="AB121" s="24" t="inlineStr">
        <is>
          <t>0.15527064195126172</t>
        </is>
      </c>
      <c r="AC121" s="24" t="inlineStr">
        <is>
          <t>False</t>
        </is>
      </c>
      <c r="AD121" s="24" t="inlineStr">
        <is>
          <t>False</t>
        </is>
      </c>
      <c r="AE121" s="24" t="inlineStr">
        <is>
          <t>valuation_credit_ml_overlay_candidate.csv</t>
        </is>
      </c>
      <c r="AF121" s="24" t="inlineStr">
        <is>
          <t>208개 반도체 reference universe. Valuation Agent가 자체 intake 폴더로 복제해 Peer/ML/대시보드 비교에 사용.</t>
        </is>
      </c>
    </row>
    <row r="122" ht="24" customHeight="1">
      <c r="A122" s="29" t="inlineStr">
        <is>
          <t>147</t>
        </is>
      </c>
      <c r="B122" s="29" t="inlineStr">
        <is>
          <t>해당 없음</t>
        </is>
      </c>
      <c r="C122" s="29" t="inlineStr">
        <is>
          <t>퓨릿</t>
        </is>
      </c>
      <c r="D122" s="29" t="inlineStr">
        <is>
          <t>445180</t>
        </is>
      </c>
      <c r="E122" s="29" t="inlineStr">
        <is>
          <t>KOSDAQ</t>
        </is>
      </c>
      <c r="F122" s="29" t="inlineStr">
        <is>
          <t>소재</t>
        </is>
      </c>
      <c r="G122" s="29" t="inlineStr">
        <is>
          <t>소재</t>
        </is>
      </c>
      <c r="H122" s="29" t="inlineStr">
        <is>
          <t>False</t>
        </is>
      </c>
      <c r="I122" s="29" t="inlineStr">
        <is>
          <t>True</t>
        </is>
      </c>
      <c r="J122" s="29" t="inlineStr">
        <is>
          <t>OK_LIMITED_HISTORY_OR_GROWTH_NA</t>
        </is>
      </c>
      <c r="K122" s="29" t="inlineStr">
        <is>
          <t>데이터 사용 가능</t>
        </is>
      </c>
      <c r="L122" s="29" t="inlineStr">
        <is>
          <t>LOW</t>
        </is>
      </c>
      <c r="M122" s="29" t="inlineStr">
        <is>
          <t>LOW</t>
        </is>
      </c>
      <c r="N122" s="29" t="inlineStr">
        <is>
          <t>0.7448717948717948</t>
        </is>
      </c>
      <c r="O122" s="29" t="inlineStr">
        <is>
          <t>ATTRACTIVE</t>
        </is>
      </c>
      <c r="P122" s="29" t="inlineStr">
        <is>
          <t>가치 매력</t>
        </is>
      </c>
      <c r="Q122" s="29" t="inlineStr">
        <is>
          <t>ATTRACTIVE</t>
        </is>
      </c>
      <c r="R122" s="29" t="inlineStr">
        <is>
          <t>0.8817607106455689</t>
        </is>
      </c>
      <c r="S122" s="29" t="inlineStr">
        <is>
          <t>HIGH</t>
        </is>
      </c>
      <c r="T122" s="29" t="inlineStr">
        <is>
          <t>HIGH</t>
        </is>
      </c>
      <c r="U122" s="29" t="inlineStr">
        <is>
          <t>0.0714285714285714</t>
        </is>
      </c>
      <c r="V122" s="29" t="inlineStr">
        <is>
          <t>LOW_RISK</t>
        </is>
      </c>
      <c r="W122" s="29" t="inlineStr">
        <is>
          <t>저위험</t>
        </is>
      </c>
      <c r="X122" s="29" t="inlineStr">
        <is>
          <t>LOW_RISK</t>
        </is>
      </c>
      <c r="Y122" s="29" t="inlineStr">
        <is>
          <t>0.9587686707140917</t>
        </is>
      </c>
      <c r="Z122" s="29" t="inlineStr">
        <is>
          <t>HIGH</t>
        </is>
      </c>
      <c r="AA122" s="29" t="inlineStr">
        <is>
          <t>HIGH</t>
        </is>
      </c>
      <c r="AB122" s="29" t="inlineStr">
        <is>
          <t>0.09055441585311619</t>
        </is>
      </c>
      <c r="AC122" s="29" t="inlineStr">
        <is>
          <t>False</t>
        </is>
      </c>
      <c r="AD122" s="29" t="inlineStr">
        <is>
          <t>True</t>
        </is>
      </c>
      <c r="AE122" s="29" t="inlineStr">
        <is>
          <t>valuation_credit_ml_overlay_candidate.csv</t>
        </is>
      </c>
      <c r="AF122" s="29" t="inlineStr">
        <is>
          <t>208개 반도체 reference universe. Valuation Agent가 자체 intake 폴더로 복제해 Peer/ML/대시보드 비교에 사용.</t>
        </is>
      </c>
    </row>
    <row r="123" ht="24" customHeight="1">
      <c r="A123" s="24" t="inlineStr">
        <is>
          <t>141</t>
        </is>
      </c>
      <c r="B123" s="24" t="inlineStr">
        <is>
          <t>해당 없음</t>
        </is>
      </c>
      <c r="C123" s="24" t="inlineStr">
        <is>
          <t>이엔에프테크놀로지</t>
        </is>
      </c>
      <c r="D123" s="24" t="inlineStr">
        <is>
          <t>102710</t>
        </is>
      </c>
      <c r="E123" s="24" t="inlineStr">
        <is>
          <t>KOSDAQ</t>
        </is>
      </c>
      <c r="F123" s="24" t="inlineStr">
        <is>
          <t>소재</t>
        </is>
      </c>
      <c r="G123" s="24" t="inlineStr">
        <is>
          <t>소재</t>
        </is>
      </c>
      <c r="H123" s="24" t="inlineStr">
        <is>
          <t>False</t>
        </is>
      </c>
      <c r="I123" s="24" t="inlineStr">
        <is>
          <t>True</t>
        </is>
      </c>
      <c r="J123" s="24" t="inlineStr">
        <is>
          <t>OK</t>
        </is>
      </c>
      <c r="K123" s="24" t="inlineStr">
        <is>
          <t>데이터 사용 가능</t>
        </is>
      </c>
      <c r="L123" s="24" t="inlineStr">
        <is>
          <t>LOW</t>
        </is>
      </c>
      <c r="M123" s="24" t="inlineStr">
        <is>
          <t>LOW</t>
        </is>
      </c>
      <c r="N123" s="24" t="inlineStr">
        <is>
          <t>0.7061538461538462</t>
        </is>
      </c>
      <c r="O123" s="24" t="inlineStr">
        <is>
          <t>ATTRACTIVE</t>
        </is>
      </c>
      <c r="P123" s="24" t="inlineStr">
        <is>
          <t>가치 매력</t>
        </is>
      </c>
      <c r="Q123" s="24" t="inlineStr">
        <is>
          <t>ATTRACTIVE</t>
        </is>
      </c>
      <c r="R123" s="24" t="inlineStr">
        <is>
          <t>0.9371627732042065</t>
        </is>
      </c>
      <c r="S123" s="24" t="inlineStr">
        <is>
          <t>HIGH</t>
        </is>
      </c>
      <c r="T123" s="24" t="inlineStr">
        <is>
          <t>HIGH</t>
        </is>
      </c>
      <c r="U123" s="24" t="inlineStr">
        <is>
          <t>0.0</t>
        </is>
      </c>
      <c r="V123" s="24" t="inlineStr">
        <is>
          <t>LOW_RISK</t>
        </is>
      </c>
      <c r="W123" s="24" t="inlineStr">
        <is>
          <t>저위험</t>
        </is>
      </c>
      <c r="X123" s="24" t="inlineStr">
        <is>
          <t>LOW_RISK</t>
        </is>
      </c>
      <c r="Y123" s="24" t="inlineStr">
        <is>
          <t>0.8730332003988217</t>
        </is>
      </c>
      <c r="Z123" s="24" t="inlineStr">
        <is>
          <t>HIGH</t>
        </is>
      </c>
      <c r="AA123" s="24" t="inlineStr">
        <is>
          <t>HIGH</t>
        </is>
      </c>
      <c r="AB123" s="24" t="inlineStr">
        <is>
          <t>0.01762692878431683</t>
        </is>
      </c>
      <c r="AC123" s="24" t="inlineStr">
        <is>
          <t>False</t>
        </is>
      </c>
      <c r="AD123" s="24" t="inlineStr">
        <is>
          <t>False</t>
        </is>
      </c>
      <c r="AE123" s="24" t="inlineStr">
        <is>
          <t>valuation_credit_ml_overlay_candidate.csv</t>
        </is>
      </c>
      <c r="AF123" s="24" t="inlineStr">
        <is>
          <t>208개 반도체 reference universe. Valuation Agent가 자체 intake 폴더로 복제해 Peer/ML/대시보드 비교에 사용.</t>
        </is>
      </c>
    </row>
    <row r="124" ht="24" customHeight="1">
      <c r="A124" s="29" t="inlineStr">
        <is>
          <t>138</t>
        </is>
      </c>
      <c r="B124" s="29" t="inlineStr">
        <is>
          <t>해당 없음</t>
        </is>
      </c>
      <c r="C124" s="29" t="inlineStr">
        <is>
          <t>원익머트리얼즈</t>
        </is>
      </c>
      <c r="D124" s="29" t="inlineStr">
        <is>
          <t>104830</t>
        </is>
      </c>
      <c r="E124" s="29" t="inlineStr">
        <is>
          <t>KOSDAQ</t>
        </is>
      </c>
      <c r="F124" s="29" t="inlineStr">
        <is>
          <t>소재</t>
        </is>
      </c>
      <c r="G124" s="29" t="inlineStr">
        <is>
          <t>소재</t>
        </is>
      </c>
      <c r="H124" s="29" t="inlineStr">
        <is>
          <t>False</t>
        </is>
      </c>
      <c r="I124" s="29" t="inlineStr">
        <is>
          <t>True</t>
        </is>
      </c>
      <c r="J124" s="29" t="inlineStr">
        <is>
          <t>OK</t>
        </is>
      </c>
      <c r="K124" s="29" t="inlineStr">
        <is>
          <t>데이터 사용 가능</t>
        </is>
      </c>
      <c r="L124" s="29" t="inlineStr">
        <is>
          <t>LOW</t>
        </is>
      </c>
      <c r="M124" s="29" t="inlineStr">
        <is>
          <t>LOW</t>
        </is>
      </c>
      <c r="N124" s="29" t="inlineStr">
        <is>
          <t>0.6682051282051282</t>
        </is>
      </c>
      <c r="O124" s="29" t="inlineStr">
        <is>
          <t>FAIR</t>
        </is>
      </c>
      <c r="P124" s="29" t="inlineStr">
        <is>
          <t>FAIR</t>
        </is>
      </c>
      <c r="Q124" s="29" t="inlineStr">
        <is>
          <t>FAIR</t>
        </is>
      </c>
      <c r="R124" s="29" t="inlineStr">
        <is>
          <t>0.9160049727267536</t>
        </is>
      </c>
      <c r="S124" s="29" t="inlineStr">
        <is>
          <t>HIGH</t>
        </is>
      </c>
      <c r="T124" s="29" t="inlineStr">
        <is>
          <t>HIGH</t>
        </is>
      </c>
      <c r="U124" s="29" t="inlineStr">
        <is>
          <t>0.0714285714285714</t>
        </is>
      </c>
      <c r="V124" s="29" t="inlineStr">
        <is>
          <t>LOW_RISK</t>
        </is>
      </c>
      <c r="W124" s="29" t="inlineStr">
        <is>
          <t>저위험</t>
        </is>
      </c>
      <c r="X124" s="29" t="inlineStr">
        <is>
          <t>LOW_RISK</t>
        </is>
      </c>
      <c r="Y124" s="29" t="inlineStr">
        <is>
          <t>0.9269592012859288</t>
        </is>
      </c>
      <c r="Z124" s="29" t="inlineStr">
        <is>
          <t>HIGH</t>
        </is>
      </c>
      <c r="AA124" s="29" t="inlineStr">
        <is>
          <t>HIGH</t>
        </is>
      </c>
      <c r="AB124" s="29" t="inlineStr">
        <is>
          <t>0.08809933839296093</t>
        </is>
      </c>
      <c r="AC124" s="29" t="inlineStr">
        <is>
          <t>False</t>
        </is>
      </c>
      <c r="AD124" s="29" t="inlineStr">
        <is>
          <t>False</t>
        </is>
      </c>
      <c r="AE124" s="29" t="inlineStr">
        <is>
          <t>valuation_credit_ml_overlay_candidate.csv</t>
        </is>
      </c>
      <c r="AF124" s="29" t="inlineStr">
        <is>
          <t>208개 반도체 reference universe. Valuation Agent가 자체 intake 폴더로 복제해 Peer/ML/대시보드 비교에 사용.</t>
        </is>
      </c>
    </row>
    <row r="125" ht="24" customHeight="1">
      <c r="A125" s="24" t="inlineStr">
        <is>
          <t>130</t>
        </is>
      </c>
      <c r="B125" s="24" t="inlineStr">
        <is>
          <t>해당 없음</t>
        </is>
      </c>
      <c r="C125" s="24" t="inlineStr">
        <is>
          <t>솔브레인홀딩스</t>
        </is>
      </c>
      <c r="D125" s="24" t="inlineStr">
        <is>
          <t>036830</t>
        </is>
      </c>
      <c r="E125" s="24" t="inlineStr">
        <is>
          <t>KOSDAQ GLOBAL</t>
        </is>
      </c>
      <c r="F125" s="24" t="inlineStr">
        <is>
          <t>소재</t>
        </is>
      </c>
      <c r="G125" s="24" t="inlineStr">
        <is>
          <t>소재</t>
        </is>
      </c>
      <c r="H125" s="24" t="inlineStr">
        <is>
          <t>False</t>
        </is>
      </c>
      <c r="I125" s="24" t="inlineStr">
        <is>
          <t>True</t>
        </is>
      </c>
      <c r="J125" s="24" t="inlineStr">
        <is>
          <t>OK</t>
        </is>
      </c>
      <c r="K125" s="24" t="inlineStr">
        <is>
          <t>데이터 사용 가능</t>
        </is>
      </c>
      <c r="L125" s="24" t="inlineStr">
        <is>
          <t>LOW</t>
        </is>
      </c>
      <c r="M125" s="24" t="inlineStr">
        <is>
          <t>LOW</t>
        </is>
      </c>
      <c r="N125" s="24" t="inlineStr">
        <is>
          <t>0.6666666666666667</t>
        </is>
      </c>
      <c r="O125" s="24" t="inlineStr">
        <is>
          <t>ATTRACTIVE</t>
        </is>
      </c>
      <c r="P125" s="24" t="inlineStr">
        <is>
          <t>가치 매력</t>
        </is>
      </c>
      <c r="Q125" s="24" t="inlineStr">
        <is>
          <t>ATTRACTIVE</t>
        </is>
      </c>
      <c r="R125" s="24" t="inlineStr">
        <is>
          <t>0.5229115612060397</t>
        </is>
      </c>
      <c r="S125" s="24" t="inlineStr">
        <is>
          <t>MEDIUM</t>
        </is>
      </c>
      <c r="T125" s="24" t="inlineStr">
        <is>
          <t>MEDIUM</t>
        </is>
      </c>
      <c r="U125" s="24" t="inlineStr">
        <is>
          <t>0.0</t>
        </is>
      </c>
      <c r="V125" s="24" t="inlineStr">
        <is>
          <t>LOW_RISK</t>
        </is>
      </c>
      <c r="W125" s="24" t="inlineStr">
        <is>
          <t>저위험</t>
        </is>
      </c>
      <c r="X125" s="24" t="inlineStr">
        <is>
          <t>LOW_RISK</t>
        </is>
      </c>
      <c r="Y125" s="24" t="inlineStr">
        <is>
          <t>0.8942479649490351</t>
        </is>
      </c>
      <c r="Z125" s="24" t="inlineStr">
        <is>
          <t>HIGH</t>
        </is>
      </c>
      <c r="AA125" s="24" t="inlineStr">
        <is>
          <t>HIGH</t>
        </is>
      </c>
      <c r="AB125" s="24" t="inlineStr">
        <is>
          <t>0.13058276838656327</t>
        </is>
      </c>
      <c r="AC125" s="24" t="inlineStr">
        <is>
          <t>False</t>
        </is>
      </c>
      <c r="AD125" s="24" t="inlineStr">
        <is>
          <t>False</t>
        </is>
      </c>
      <c r="AE125" s="24" t="inlineStr">
        <is>
          <t>valuation_credit_ml_overlay_candidate.csv</t>
        </is>
      </c>
      <c r="AF125" s="24" t="inlineStr">
        <is>
          <t>208개 반도체 reference universe. Valuation Agent가 자체 intake 폴더로 복제해 Peer/ML/대시보드 비교에 사용.</t>
        </is>
      </c>
    </row>
    <row r="126" ht="24" customHeight="1">
      <c r="A126" s="29" t="inlineStr">
        <is>
          <t>148</t>
        </is>
      </c>
      <c r="B126" s="29" t="inlineStr">
        <is>
          <t>hansol</t>
        </is>
      </c>
      <c r="C126" s="29" t="inlineStr">
        <is>
          <t>한솔케미칼</t>
        </is>
      </c>
      <c r="D126" s="29" t="inlineStr">
        <is>
          <t>014680</t>
        </is>
      </c>
      <c r="E126" s="29" t="inlineStr">
        <is>
          <t>KOSPI</t>
        </is>
      </c>
      <c r="F126" s="29" t="inlineStr">
        <is>
          <t>소재</t>
        </is>
      </c>
      <c r="G126" s="29" t="inlineStr">
        <is>
          <t>소재</t>
        </is>
      </c>
      <c r="H126" s="29" t="inlineStr">
        <is>
          <t>True</t>
        </is>
      </c>
      <c r="I126" s="29" t="inlineStr">
        <is>
          <t>True</t>
        </is>
      </c>
      <c r="J126" s="29" t="inlineStr">
        <is>
          <t>OK</t>
        </is>
      </c>
      <c r="K126" s="29" t="inlineStr">
        <is>
          <t>데이터 사용 가능</t>
        </is>
      </c>
      <c r="L126" s="29" t="inlineStr">
        <is>
          <t>LOW</t>
        </is>
      </c>
      <c r="M126" s="29" t="inlineStr">
        <is>
          <t>LOW</t>
        </is>
      </c>
      <c r="N126" s="29" t="inlineStr">
        <is>
          <t>0.6330769230769231</t>
        </is>
      </c>
      <c r="O126" s="29" t="inlineStr">
        <is>
          <t>ATTRACTIVE</t>
        </is>
      </c>
      <c r="P126" s="29" t="inlineStr">
        <is>
          <t>가치 매력</t>
        </is>
      </c>
      <c r="Q126" s="29" t="inlineStr">
        <is>
          <t>ATTRACTIVE</t>
        </is>
      </c>
      <c r="R126" s="29" t="inlineStr">
        <is>
          <t>0.8364696976606926</t>
        </is>
      </c>
      <c r="S126" s="29" t="inlineStr">
        <is>
          <t>HIGH</t>
        </is>
      </c>
      <c r="T126" s="29" t="inlineStr">
        <is>
          <t>HIGH</t>
        </is>
      </c>
      <c r="U126" s="29" t="inlineStr">
        <is>
          <t>0.0</t>
        </is>
      </c>
      <c r="V126" s="29" t="inlineStr">
        <is>
          <t>LOW_RISK</t>
        </is>
      </c>
      <c r="W126" s="29" t="inlineStr">
        <is>
          <t>저위험</t>
        </is>
      </c>
      <c r="X126" s="29" t="inlineStr">
        <is>
          <t>LOW_RISK</t>
        </is>
      </c>
      <c r="Y126" s="29" t="inlineStr">
        <is>
          <t>0.9711543901439185</t>
        </is>
      </c>
      <c r="Z126" s="29" t="inlineStr">
        <is>
          <t>HIGH</t>
        </is>
      </c>
      <c r="AA126" s="29" t="inlineStr">
        <is>
          <t>HIGH</t>
        </is>
      </c>
      <c r="AB126" s="29" t="inlineStr">
        <is>
          <t>0.058190310497948615</t>
        </is>
      </c>
      <c r="AC126" s="29" t="inlineStr">
        <is>
          <t>False</t>
        </is>
      </c>
      <c r="AD126" s="29" t="inlineStr">
        <is>
          <t>False</t>
        </is>
      </c>
      <c r="AE126" s="29" t="inlineStr">
        <is>
          <t>valuation_credit_ml_overlay_candidate.csv</t>
        </is>
      </c>
      <c r="AF126" s="29" t="inlineStr">
        <is>
          <t>208개 반도체 reference universe. Valuation Agent가 자체 intake 폴더로 복제해 Peer/ML/대시보드 비교에 사용.</t>
        </is>
      </c>
    </row>
    <row r="127" ht="24" customHeight="1">
      <c r="A127" s="24" t="inlineStr">
        <is>
          <t>140</t>
        </is>
      </c>
      <c r="B127" s="24" t="inlineStr">
        <is>
          <t>해당 없음</t>
        </is>
      </c>
      <c r="C127" s="24" t="inlineStr">
        <is>
          <t>이녹스첨단소재</t>
        </is>
      </c>
      <c r="D127" s="24" t="inlineStr">
        <is>
          <t>272290</t>
        </is>
      </c>
      <c r="E127" s="24" t="inlineStr">
        <is>
          <t>KOSDAQ GLOBAL</t>
        </is>
      </c>
      <c r="F127" s="24" t="inlineStr">
        <is>
          <t>소재</t>
        </is>
      </c>
      <c r="G127" s="24" t="inlineStr">
        <is>
          <t>소재</t>
        </is>
      </c>
      <c r="H127" s="24" t="inlineStr">
        <is>
          <t>False</t>
        </is>
      </c>
      <c r="I127" s="24" t="inlineStr">
        <is>
          <t>True</t>
        </is>
      </c>
      <c r="J127" s="24" t="inlineStr">
        <is>
          <t>OK</t>
        </is>
      </c>
      <c r="K127" s="24" t="inlineStr">
        <is>
          <t>데이터 사용 가능</t>
        </is>
      </c>
      <c r="L127" s="24" t="inlineStr">
        <is>
          <t>LOW</t>
        </is>
      </c>
      <c r="M127" s="24" t="inlineStr">
        <is>
          <t>LOW</t>
        </is>
      </c>
      <c r="N127" s="24" t="inlineStr">
        <is>
          <t>0.6312820512820514</t>
        </is>
      </c>
      <c r="O127" s="24" t="inlineStr">
        <is>
          <t>FAIR</t>
        </is>
      </c>
      <c r="P127" s="24" t="inlineStr">
        <is>
          <t>FAIR</t>
        </is>
      </c>
      <c r="Q127" s="24" t="inlineStr">
        <is>
          <t>FAIR</t>
        </is>
      </c>
      <c r="R127" s="24" t="inlineStr">
        <is>
          <t>0.900184891106931</t>
        </is>
      </c>
      <c r="S127" s="24" t="inlineStr">
        <is>
          <t>HIGH</t>
        </is>
      </c>
      <c r="T127" s="24" t="inlineStr">
        <is>
          <t>HIGH</t>
        </is>
      </c>
      <c r="U127" s="24" t="inlineStr">
        <is>
          <t>0.0714285714285714</t>
        </is>
      </c>
      <c r="V127" s="24" t="inlineStr">
        <is>
          <t>LOW_RISK</t>
        </is>
      </c>
      <c r="W127" s="24" t="inlineStr">
        <is>
          <t>저위험</t>
        </is>
      </c>
      <c r="X127" s="24" t="inlineStr">
        <is>
          <t>LOW_RISK</t>
        </is>
      </c>
      <c r="Y127" s="24" t="inlineStr">
        <is>
          <t>0.7417939360948919</t>
        </is>
      </c>
      <c r="Z127" s="24" t="inlineStr">
        <is>
          <t>HIGH</t>
        </is>
      </c>
      <c r="AA127" s="24" t="inlineStr">
        <is>
          <t>HIGH</t>
        </is>
      </c>
      <c r="AB127" s="24" t="inlineStr">
        <is>
          <t>0.06763542968359648</t>
        </is>
      </c>
      <c r="AC127" s="24" t="inlineStr">
        <is>
          <t>False</t>
        </is>
      </c>
      <c r="AD127" s="24" t="inlineStr">
        <is>
          <t>False</t>
        </is>
      </c>
      <c r="AE127" s="24" t="inlineStr">
        <is>
          <t>valuation_credit_ml_overlay_candidate.csv</t>
        </is>
      </c>
      <c r="AF127" s="24" t="inlineStr">
        <is>
          <t>208개 반도체 reference universe. Valuation Agent가 자체 intake 폴더로 복제해 Peer/ML/대시보드 비교에 사용.</t>
        </is>
      </c>
    </row>
    <row r="128" ht="24" customHeight="1">
      <c r="A128" s="29" t="inlineStr">
        <is>
          <t>133</t>
        </is>
      </c>
      <c r="B128" s="29" t="inlineStr">
        <is>
          <t>ltc</t>
        </is>
      </c>
      <c r="C128" s="29" t="inlineStr">
        <is>
          <t>엘티씨</t>
        </is>
      </c>
      <c r="D128" s="29" t="inlineStr">
        <is>
          <t>170920</t>
        </is>
      </c>
      <c r="E128" s="29" t="inlineStr">
        <is>
          <t>KOSDAQ</t>
        </is>
      </c>
      <c r="F128" s="29" t="inlineStr">
        <is>
          <t>소재</t>
        </is>
      </c>
      <c r="G128" s="29" t="inlineStr">
        <is>
          <t>소재</t>
        </is>
      </c>
      <c r="H128" s="29" t="inlineStr">
        <is>
          <t>True</t>
        </is>
      </c>
      <c r="I128" s="29" t="inlineStr">
        <is>
          <t>True</t>
        </is>
      </c>
      <c r="J128" s="29" t="inlineStr">
        <is>
          <t>OK</t>
        </is>
      </c>
      <c r="K128" s="29" t="inlineStr">
        <is>
          <t>데이터 사용 가능</t>
        </is>
      </c>
      <c r="L128" s="29" t="inlineStr">
        <is>
          <t>LOW</t>
        </is>
      </c>
      <c r="M128" s="29" t="inlineStr">
        <is>
          <t>LOW</t>
        </is>
      </c>
      <c r="N128" s="29" t="inlineStr">
        <is>
          <t>0.5838461538461538</t>
        </is>
      </c>
      <c r="O128" s="29" t="inlineStr">
        <is>
          <t>FAIR</t>
        </is>
      </c>
      <c r="P128" s="29" t="inlineStr">
        <is>
          <t>FAIR</t>
        </is>
      </c>
      <c r="Q128" s="29" t="inlineStr">
        <is>
          <t>ATTRACTIVE</t>
        </is>
      </c>
      <c r="R128" s="29" t="inlineStr">
        <is>
          <t>0.6353016273848794</t>
        </is>
      </c>
      <c r="S128" s="29" t="inlineStr">
        <is>
          <t>MEDIUM</t>
        </is>
      </c>
      <c r="T128" s="29" t="inlineStr">
        <is>
          <t>MEDIUM</t>
        </is>
      </c>
      <c r="U128" s="29" t="inlineStr">
        <is>
          <t>0.0</t>
        </is>
      </c>
      <c r="V128" s="29" t="inlineStr">
        <is>
          <t>LOW_RISK</t>
        </is>
      </c>
      <c r="W128" s="29" t="inlineStr">
        <is>
          <t>저위험</t>
        </is>
      </c>
      <c r="X128" s="29" t="inlineStr">
        <is>
          <t>LOW_RISK</t>
        </is>
      </c>
      <c r="Y128" s="29" t="inlineStr">
        <is>
          <t>0.9205018564538214</t>
        </is>
      </c>
      <c r="Z128" s="29" t="inlineStr">
        <is>
          <t>HIGH</t>
        </is>
      </c>
      <c r="AA128" s="29" t="inlineStr">
        <is>
          <t>HIGH</t>
        </is>
      </c>
      <c r="AB128" s="29" t="inlineStr">
        <is>
          <t>0.0038993876391341673</t>
        </is>
      </c>
      <c r="AC128" s="29" t="inlineStr">
        <is>
          <t>False</t>
        </is>
      </c>
      <c r="AD128" s="29" t="inlineStr">
        <is>
          <t>False</t>
        </is>
      </c>
      <c r="AE128" s="29" t="inlineStr">
        <is>
          <t>valuation_credit_ml_overlay_candidate.csv</t>
        </is>
      </c>
      <c r="AF128" s="29" t="inlineStr">
        <is>
          <t>208개 반도체 reference universe. Valuation Agent가 자체 intake 폴더로 복제해 Peer/ML/대시보드 비교에 사용.</t>
        </is>
      </c>
    </row>
    <row r="129" ht="24" customHeight="1">
      <c r="A129" s="24" t="inlineStr">
        <is>
          <t>146</t>
        </is>
      </c>
      <c r="B129" s="24" t="inlineStr">
        <is>
          <t>해당 없음</t>
        </is>
      </c>
      <c r="C129" s="24" t="inlineStr">
        <is>
          <t>티이엠씨</t>
        </is>
      </c>
      <c r="D129" s="24" t="inlineStr">
        <is>
          <t>425040</t>
        </is>
      </c>
      <c r="E129" s="24" t="inlineStr">
        <is>
          <t>KOSDAQ</t>
        </is>
      </c>
      <c r="F129" s="24" t="inlineStr">
        <is>
          <t>소재</t>
        </is>
      </c>
      <c r="G129" s="24" t="inlineStr">
        <is>
          <t>소재</t>
        </is>
      </c>
      <c r="H129" s="24" t="inlineStr">
        <is>
          <t>False</t>
        </is>
      </c>
      <c r="I129" s="24" t="inlineStr">
        <is>
          <t>True</t>
        </is>
      </c>
      <c r="J129" s="24" t="inlineStr">
        <is>
          <t>OK</t>
        </is>
      </c>
      <c r="K129" s="24" t="inlineStr">
        <is>
          <t>데이터 사용 가능</t>
        </is>
      </c>
      <c r="L129" s="24" t="inlineStr">
        <is>
          <t>LOW</t>
        </is>
      </c>
      <c r="M129" s="24" t="inlineStr">
        <is>
          <t>LOW</t>
        </is>
      </c>
      <c r="N129" s="24" t="inlineStr">
        <is>
          <t>0.5666666666666668</t>
        </is>
      </c>
      <c r="O129" s="24" t="inlineStr">
        <is>
          <t>FAIR</t>
        </is>
      </c>
      <c r="P129" s="24" t="inlineStr">
        <is>
          <t>FAIR</t>
        </is>
      </c>
      <c r="Q129" s="24" t="inlineStr">
        <is>
          <t>FAIR</t>
        </is>
      </c>
      <c r="R129" s="24" t="inlineStr">
        <is>
          <t>0.8720430887980049</t>
        </is>
      </c>
      <c r="S129" s="24" t="inlineStr">
        <is>
          <t>HIGH</t>
        </is>
      </c>
      <c r="T129" s="24" t="inlineStr">
        <is>
          <t>HIGH</t>
        </is>
      </c>
      <c r="U129" s="24" t="inlineStr">
        <is>
          <t>0.0714285714285714</t>
        </is>
      </c>
      <c r="V129" s="24" t="inlineStr">
        <is>
          <t>LOW_RISK</t>
        </is>
      </c>
      <c r="W129" s="24" t="inlineStr">
        <is>
          <t>저위험</t>
        </is>
      </c>
      <c r="X129" s="24" t="inlineStr">
        <is>
          <t>LOW_RISK</t>
        </is>
      </c>
      <c r="Y129" s="24" t="inlineStr">
        <is>
          <t>0.7252297088077002</t>
        </is>
      </c>
      <c r="Z129" s="24" t="inlineStr">
        <is>
          <t>HIGH</t>
        </is>
      </c>
      <c r="AA129" s="24" t="inlineStr">
        <is>
          <t>HIGH</t>
        </is>
      </c>
      <c r="AB129" s="24" t="inlineStr">
        <is>
          <t>0.006424650558916757</t>
        </is>
      </c>
      <c r="AC129" s="24" t="inlineStr">
        <is>
          <t>False</t>
        </is>
      </c>
      <c r="AD129" s="24" t="inlineStr">
        <is>
          <t>False</t>
        </is>
      </c>
      <c r="AE129" s="24" t="inlineStr">
        <is>
          <t>valuation_credit_ml_overlay_candidate.csv</t>
        </is>
      </c>
      <c r="AF129" s="24" t="inlineStr">
        <is>
          <t>208개 반도체 reference universe. Valuation Agent가 자체 intake 폴더로 복제해 Peer/ML/대시보드 비교에 사용.</t>
        </is>
      </c>
    </row>
    <row r="130" ht="24" customHeight="1">
      <c r="A130" s="29" t="inlineStr">
        <is>
          <t>131</t>
        </is>
      </c>
      <c r="B130" s="29" t="inlineStr">
        <is>
          <t>해당 없음</t>
        </is>
      </c>
      <c r="C130" s="29" t="inlineStr">
        <is>
          <t>에스앤에스텍</t>
        </is>
      </c>
      <c r="D130" s="29" t="inlineStr">
        <is>
          <t>101490</t>
        </is>
      </c>
      <c r="E130" s="29" t="inlineStr">
        <is>
          <t>KOSDAQ</t>
        </is>
      </c>
      <c r="F130" s="29" t="inlineStr">
        <is>
          <t>소재</t>
        </is>
      </c>
      <c r="G130" s="29" t="inlineStr">
        <is>
          <t>소재</t>
        </is>
      </c>
      <c r="H130" s="29" t="inlineStr">
        <is>
          <t>False</t>
        </is>
      </c>
      <c r="I130" s="29" t="inlineStr">
        <is>
          <t>True</t>
        </is>
      </c>
      <c r="J130" s="29" t="inlineStr">
        <is>
          <t>OK</t>
        </is>
      </c>
      <c r="K130" s="29" t="inlineStr">
        <is>
          <t>데이터 사용 가능</t>
        </is>
      </c>
      <c r="L130" s="29" t="inlineStr">
        <is>
          <t>LOW</t>
        </is>
      </c>
      <c r="M130" s="29" t="inlineStr">
        <is>
          <t>LOW</t>
        </is>
      </c>
      <c r="N130" s="29" t="inlineStr">
        <is>
          <t>0.5653846153846155</t>
        </is>
      </c>
      <c r="O130" s="29" t="inlineStr">
        <is>
          <t>FAIR</t>
        </is>
      </c>
      <c r="P130" s="29" t="inlineStr">
        <is>
          <t>FAIR</t>
        </is>
      </c>
      <c r="Q130" s="29" t="inlineStr">
        <is>
          <t>FAIR</t>
        </is>
      </c>
      <c r="R130" s="29" t="inlineStr">
        <is>
          <t>0.7907123507381016</t>
        </is>
      </c>
      <c r="S130" s="29" t="inlineStr">
        <is>
          <t>HIGH</t>
        </is>
      </c>
      <c r="T130" s="29" t="inlineStr">
        <is>
          <t>HIGH</t>
        </is>
      </c>
      <c r="U130" s="29" t="inlineStr">
        <is>
          <t>0.0714285714285714</t>
        </is>
      </c>
      <c r="V130" s="29" t="inlineStr">
        <is>
          <t>LOW_RISK</t>
        </is>
      </c>
      <c r="W130" s="29" t="inlineStr">
        <is>
          <t>저위험</t>
        </is>
      </c>
      <c r="X130" s="29" t="inlineStr">
        <is>
          <t>LOW_RISK</t>
        </is>
      </c>
      <c r="Y130" s="29" t="inlineStr">
        <is>
          <t>0.877704032267338</t>
        </is>
      </c>
      <c r="Z130" s="29" t="inlineStr">
        <is>
          <t>HIGH</t>
        </is>
      </c>
      <c r="AA130" s="29" t="inlineStr">
        <is>
          <t>HIGH</t>
        </is>
      </c>
      <c r="AB130" s="29" t="inlineStr">
        <is>
          <t>0.05130595484789171</t>
        </is>
      </c>
      <c r="AC130" s="29" t="inlineStr">
        <is>
          <t>False</t>
        </is>
      </c>
      <c r="AD130" s="29" t="inlineStr">
        <is>
          <t>False</t>
        </is>
      </c>
      <c r="AE130" s="29" t="inlineStr">
        <is>
          <t>valuation_credit_ml_overlay_candidate.csv</t>
        </is>
      </c>
      <c r="AF130" s="29" t="inlineStr">
        <is>
          <t>208개 반도체 reference universe. Valuation Agent가 자체 intake 폴더로 복제해 Peer/ML/대시보드 비교에 사용.</t>
        </is>
      </c>
    </row>
    <row r="131" ht="24" customHeight="1">
      <c r="A131" s="24" t="inlineStr">
        <is>
          <t>142</t>
        </is>
      </c>
      <c r="B131" s="24" t="inlineStr">
        <is>
          <t>해당 없음</t>
        </is>
      </c>
      <c r="C131" s="24" t="inlineStr">
        <is>
          <t>제이아이테크</t>
        </is>
      </c>
      <c r="D131" s="24" t="inlineStr">
        <is>
          <t>417500</t>
        </is>
      </c>
      <c r="E131" s="24" t="inlineStr">
        <is>
          <t>KOSDAQ</t>
        </is>
      </c>
      <c r="F131" s="24" t="inlineStr">
        <is>
          <t>소재</t>
        </is>
      </c>
      <c r="G131" s="24" t="inlineStr">
        <is>
          <t>소재</t>
        </is>
      </c>
      <c r="H131" s="24" t="inlineStr">
        <is>
          <t>False</t>
        </is>
      </c>
      <c r="I131" s="24" t="inlineStr">
        <is>
          <t>True</t>
        </is>
      </c>
      <c r="J131" s="24" t="inlineStr">
        <is>
          <t>OK</t>
        </is>
      </c>
      <c r="K131" s="24" t="inlineStr">
        <is>
          <t>데이터 사용 가능</t>
        </is>
      </c>
      <c r="L131" s="24" t="inlineStr">
        <is>
          <t>LOW</t>
        </is>
      </c>
      <c r="M131" s="24" t="inlineStr">
        <is>
          <t>LOW</t>
        </is>
      </c>
      <c r="N131" s="24" t="inlineStr">
        <is>
          <t>0.5264102564102564</t>
        </is>
      </c>
      <c r="O131" s="24" t="inlineStr">
        <is>
          <t>FAIR</t>
        </is>
      </c>
      <c r="P131" s="24" t="inlineStr">
        <is>
          <t>FAIR</t>
        </is>
      </c>
      <c r="Q131" s="24" t="inlineStr">
        <is>
          <t>FAIR</t>
        </is>
      </c>
      <c r="R131" s="24" t="inlineStr">
        <is>
          <t>0.8525733569966568</t>
        </is>
      </c>
      <c r="S131" s="24" t="inlineStr">
        <is>
          <t>HIGH</t>
        </is>
      </c>
      <c r="T131" s="24" t="inlineStr">
        <is>
          <t>HIGH</t>
        </is>
      </c>
      <c r="U131" s="24" t="inlineStr">
        <is>
          <t>0.0714285714285714</t>
        </is>
      </c>
      <c r="V131" s="24" t="inlineStr">
        <is>
          <t>LOW_RISK</t>
        </is>
      </c>
      <c r="W131" s="24" t="inlineStr">
        <is>
          <t>저위험</t>
        </is>
      </c>
      <c r="X131" s="24" t="inlineStr">
        <is>
          <t>LOW_RISK</t>
        </is>
      </c>
      <c r="Y131" s="24" t="inlineStr">
        <is>
          <t>0.7562204122456074</t>
        </is>
      </c>
      <c r="Z131" s="24" t="inlineStr">
        <is>
          <t>HIGH</t>
        </is>
      </c>
      <c r="AA131" s="24" t="inlineStr">
        <is>
          <t>HIGH</t>
        </is>
      </c>
      <c r="AB131" s="24" t="inlineStr">
        <is>
          <t>0.026961826720125225</t>
        </is>
      </c>
      <c r="AC131" s="24" t="inlineStr">
        <is>
          <t>False</t>
        </is>
      </c>
      <c r="AD131" s="24" t="inlineStr">
        <is>
          <t>False</t>
        </is>
      </c>
      <c r="AE131" s="24" t="inlineStr">
        <is>
          <t>valuation_credit_ml_overlay_candidate.csv</t>
        </is>
      </c>
      <c r="AF131" s="24" t="inlineStr">
        <is>
          <t>208개 반도체 reference universe. Valuation Agent가 자체 intake 폴더로 복제해 Peer/ML/대시보드 비교에 사용.</t>
        </is>
      </c>
    </row>
    <row r="132" ht="24" customHeight="1">
      <c r="A132" s="29" t="inlineStr">
        <is>
          <t>137</t>
        </is>
      </c>
      <c r="B132" s="29" t="inlineStr">
        <is>
          <t>해당 없음</t>
        </is>
      </c>
      <c r="C132" s="29" t="inlineStr">
        <is>
          <t>원익QnC</t>
        </is>
      </c>
      <c r="D132" s="29" t="inlineStr">
        <is>
          <t>074600</t>
        </is>
      </c>
      <c r="E132" s="29" t="inlineStr">
        <is>
          <t>KOSDAQ GLOBAL</t>
        </is>
      </c>
      <c r="F132" s="29" t="inlineStr">
        <is>
          <t>소재</t>
        </is>
      </c>
      <c r="G132" s="29" t="inlineStr">
        <is>
          <t>소재</t>
        </is>
      </c>
      <c r="H132" s="29" t="inlineStr">
        <is>
          <t>False</t>
        </is>
      </c>
      <c r="I132" s="29" t="inlineStr">
        <is>
          <t>True</t>
        </is>
      </c>
      <c r="J132" s="29" t="inlineStr">
        <is>
          <t>OK</t>
        </is>
      </c>
      <c r="K132" s="29" t="inlineStr">
        <is>
          <t>데이터 사용 가능</t>
        </is>
      </c>
      <c r="L132" s="29" t="inlineStr">
        <is>
          <t>LOW</t>
        </is>
      </c>
      <c r="M132" s="29" t="inlineStr">
        <is>
          <t>LOW</t>
        </is>
      </c>
      <c r="N132" s="29" t="inlineStr">
        <is>
          <t>0.5156410256410257</t>
        </is>
      </c>
      <c r="O132" s="29" t="inlineStr">
        <is>
          <t>FAIR</t>
        </is>
      </c>
      <c r="P132" s="29" t="inlineStr">
        <is>
          <t>FAIR</t>
        </is>
      </c>
      <c r="Q132" s="29" t="inlineStr">
        <is>
          <t>ATTRACTIVE</t>
        </is>
      </c>
      <c r="R132" s="29" t="inlineStr">
        <is>
          <t>0.4211836082778998</t>
        </is>
      </c>
      <c r="S132" s="29" t="inlineStr">
        <is>
          <t>LOW</t>
        </is>
      </c>
      <c r="T132" s="29" t="inlineStr">
        <is>
          <t>LOW</t>
        </is>
      </c>
      <c r="U132" s="29" t="inlineStr">
        <is>
          <t>0.2857142857142857</t>
        </is>
      </c>
      <c r="V132" s="29" t="inlineStr">
        <is>
          <t>MEDIUM_RISK</t>
        </is>
      </c>
      <c r="W132" s="29" t="inlineStr">
        <is>
          <t>중위험</t>
        </is>
      </c>
      <c r="X132" s="29" t="inlineStr">
        <is>
          <t>MEDIUM_RISK</t>
        </is>
      </c>
      <c r="Y132" s="29" t="inlineStr">
        <is>
          <t>0.6182675579184692</t>
        </is>
      </c>
      <c r="Z132" s="29" t="inlineStr">
        <is>
          <t>MEDIUM</t>
        </is>
      </c>
      <c r="AA132" s="29" t="inlineStr">
        <is>
          <t>MEDIUM</t>
        </is>
      </c>
      <c r="AB132" s="29" t="inlineStr">
        <is>
          <t>0.07153695388648715</t>
        </is>
      </c>
      <c r="AC132" s="29" t="inlineStr">
        <is>
          <t>False</t>
        </is>
      </c>
      <c r="AD132" s="29" t="inlineStr">
        <is>
          <t>True</t>
        </is>
      </c>
      <c r="AE132" s="29" t="inlineStr">
        <is>
          <t>valuation_credit_ml_overlay_candidate.csv</t>
        </is>
      </c>
      <c r="AF132" s="29" t="inlineStr">
        <is>
          <t>208개 반도체 reference universe. Valuation Agent가 자체 intake 폴더로 복제해 Peer/ML/대시보드 비교에 사용.</t>
        </is>
      </c>
    </row>
    <row r="133" ht="24" customHeight="1">
      <c r="A133" s="24" t="inlineStr">
        <is>
          <t>134</t>
        </is>
      </c>
      <c r="B133" s="24" t="inlineStr">
        <is>
          <t>해당 없음</t>
        </is>
      </c>
      <c r="C133" s="24" t="inlineStr">
        <is>
          <t>엠케이전자</t>
        </is>
      </c>
      <c r="D133" s="24" t="inlineStr">
        <is>
          <t>033160</t>
        </is>
      </c>
      <c r="E133" s="24" t="inlineStr">
        <is>
          <t>KOSDAQ</t>
        </is>
      </c>
      <c r="F133" s="24" t="inlineStr">
        <is>
          <t>소재</t>
        </is>
      </c>
      <c r="G133" s="24" t="inlineStr">
        <is>
          <t>소재</t>
        </is>
      </c>
      <c r="H133" s="24" t="inlineStr">
        <is>
          <t>False</t>
        </is>
      </c>
      <c r="I133" s="24" t="inlineStr">
        <is>
          <t>True</t>
        </is>
      </c>
      <c r="J133" s="24" t="inlineStr">
        <is>
          <t>OK</t>
        </is>
      </c>
      <c r="K133" s="24" t="inlineStr">
        <is>
          <t>데이터 사용 가능</t>
        </is>
      </c>
      <c r="L133" s="24" t="inlineStr">
        <is>
          <t>LOW</t>
        </is>
      </c>
      <c r="M133" s="24" t="inlineStr">
        <is>
          <t>LOW</t>
        </is>
      </c>
      <c r="N133" s="24" t="inlineStr">
        <is>
          <t>0.5105128205128205</t>
        </is>
      </c>
      <c r="O133" s="24" t="inlineStr">
        <is>
          <t>FAIR</t>
        </is>
      </c>
      <c r="P133" s="24" t="inlineStr">
        <is>
          <t>FAIR</t>
        </is>
      </c>
      <c r="Q133" s="24" t="inlineStr">
        <is>
          <t>FAIR</t>
        </is>
      </c>
      <c r="R133" s="24" t="inlineStr">
        <is>
          <t>0.801168459079624</t>
        </is>
      </c>
      <c r="S133" s="24" t="inlineStr">
        <is>
          <t>HIGH</t>
        </is>
      </c>
      <c r="T133" s="24" t="inlineStr">
        <is>
          <t>HIGH</t>
        </is>
      </c>
      <c r="U133" s="24" t="inlineStr">
        <is>
          <t>0.5714285714285714</t>
        </is>
      </c>
      <c r="V133" s="24" t="inlineStr">
        <is>
          <t>HIGH_RISK</t>
        </is>
      </c>
      <c r="W133" s="24" t="inlineStr">
        <is>
          <t>고위험</t>
        </is>
      </c>
      <c r="X133" s="24" t="inlineStr">
        <is>
          <t>HIGH_RISK</t>
        </is>
      </c>
      <c r="Y133" s="24" t="inlineStr">
        <is>
          <t>0.6458821552404778</t>
        </is>
      </c>
      <c r="Z133" s="24" t="inlineStr">
        <is>
          <t>MEDIUM</t>
        </is>
      </c>
      <c r="AA133" s="24" t="inlineStr">
        <is>
          <t>MEDIUM</t>
        </is>
      </c>
      <c r="AB133" s="24" t="inlineStr">
        <is>
          <t>0.06935231891152775</t>
        </is>
      </c>
      <c r="AC133" s="24" t="inlineStr">
        <is>
          <t>False</t>
        </is>
      </c>
      <c r="AD133" s="24" t="inlineStr">
        <is>
          <t>False</t>
        </is>
      </c>
      <c r="AE133" s="24" t="inlineStr">
        <is>
          <t>valuation_credit_ml_overlay_candidate.csv</t>
        </is>
      </c>
      <c r="AF133" s="24" t="inlineStr">
        <is>
          <t>208개 반도체 reference universe. Valuation Agent가 자체 intake 폴더로 복제해 Peer/ML/대시보드 비교에 사용.</t>
        </is>
      </c>
    </row>
    <row r="134" ht="24" customHeight="1">
      <c r="A134" s="29" t="inlineStr">
        <is>
          <t>136</t>
        </is>
      </c>
      <c r="B134" s="29" t="inlineStr">
        <is>
          <t>해당 없음</t>
        </is>
      </c>
      <c r="C134" s="29" t="inlineStr">
        <is>
          <t>와이엠티</t>
        </is>
      </c>
      <c r="D134" s="29" t="inlineStr">
        <is>
          <t>251370</t>
        </is>
      </c>
      <c r="E134" s="29" t="inlineStr">
        <is>
          <t>KOSDAQ</t>
        </is>
      </c>
      <c r="F134" s="29" t="inlineStr">
        <is>
          <t>소재</t>
        </is>
      </c>
      <c r="G134" s="29" t="inlineStr">
        <is>
          <t>소재</t>
        </is>
      </c>
      <c r="H134" s="29" t="inlineStr">
        <is>
          <t>False</t>
        </is>
      </c>
      <c r="I134" s="29" t="inlineStr">
        <is>
          <t>True</t>
        </is>
      </c>
      <c r="J134" s="29" t="inlineStr">
        <is>
          <t>OK</t>
        </is>
      </c>
      <c r="K134" s="29" t="inlineStr">
        <is>
          <t>데이터 사용 가능</t>
        </is>
      </c>
      <c r="L134" s="29" t="inlineStr">
        <is>
          <t>LOW</t>
        </is>
      </c>
      <c r="M134" s="29" t="inlineStr">
        <is>
          <t>LOW</t>
        </is>
      </c>
      <c r="N134" s="29" t="inlineStr">
        <is>
          <t>0.4989743589743589</t>
        </is>
      </c>
      <c r="O134" s="29" t="inlineStr">
        <is>
          <t>FAIR</t>
        </is>
      </c>
      <c r="P134" s="29" t="inlineStr">
        <is>
          <t>FAIR</t>
        </is>
      </c>
      <c r="Q134" s="29" t="inlineStr">
        <is>
          <t>FAIR</t>
        </is>
      </c>
      <c r="R134" s="29" t="inlineStr">
        <is>
          <t>0.730943868859095</t>
        </is>
      </c>
      <c r="S134" s="29" t="inlineStr">
        <is>
          <t>HIGH</t>
        </is>
      </c>
      <c r="T134" s="29" t="inlineStr">
        <is>
          <t>HIGH</t>
        </is>
      </c>
      <c r="U134" s="29" t="inlineStr">
        <is>
          <t>0.2142857142857142</t>
        </is>
      </c>
      <c r="V134" s="29" t="inlineStr">
        <is>
          <t>MEDIUM_RISK</t>
        </is>
      </c>
      <c r="W134" s="29" t="inlineStr">
        <is>
          <t>중위험</t>
        </is>
      </c>
      <c r="X134" s="29" t="inlineStr">
        <is>
          <t>MEDIUM_RISK</t>
        </is>
      </c>
      <c r="Y134" s="29" t="inlineStr">
        <is>
          <t>0.4510396871808976</t>
        </is>
      </c>
      <c r="Z134" s="29" t="inlineStr">
        <is>
          <t>LOW</t>
        </is>
      </c>
      <c r="AA134" s="29" t="inlineStr">
        <is>
          <t>LOW</t>
        </is>
      </c>
      <c r="AB134" s="29" t="inlineStr">
        <is>
          <t>0.021802364937517606</t>
        </is>
      </c>
      <c r="AC134" s="29" t="inlineStr">
        <is>
          <t>False</t>
        </is>
      </c>
      <c r="AD134" s="29" t="inlineStr">
        <is>
          <t>True</t>
        </is>
      </c>
      <c r="AE134" s="29" t="inlineStr">
        <is>
          <t>valuation_credit_ml_overlay_candidate.csv</t>
        </is>
      </c>
      <c r="AF134" s="29" t="inlineStr">
        <is>
          <t>208개 반도체 reference universe. Valuation Agent가 자체 intake 폴더로 복제해 Peer/ML/대시보드 비교에 사용.</t>
        </is>
      </c>
    </row>
    <row r="135" ht="24" customHeight="1">
      <c r="A135" s="24" t="inlineStr">
        <is>
          <t>145</t>
        </is>
      </c>
      <c r="B135" s="24" t="inlineStr">
        <is>
          <t>해당 없음</t>
        </is>
      </c>
      <c r="C135" s="24" t="inlineStr">
        <is>
          <t>티씨케이</t>
        </is>
      </c>
      <c r="D135" s="24" t="inlineStr">
        <is>
          <t>064760</t>
        </is>
      </c>
      <c r="E135" s="24" t="inlineStr">
        <is>
          <t>KOSDAQ GLOBAL</t>
        </is>
      </c>
      <c r="F135" s="24" t="inlineStr">
        <is>
          <t>소재</t>
        </is>
      </c>
      <c r="G135" s="24" t="inlineStr">
        <is>
          <t>소재</t>
        </is>
      </c>
      <c r="H135" s="24" t="inlineStr">
        <is>
          <t>False</t>
        </is>
      </c>
      <c r="I135" s="24" t="inlineStr">
        <is>
          <t>True</t>
        </is>
      </c>
      <c r="J135" s="24" t="inlineStr">
        <is>
          <t>OK</t>
        </is>
      </c>
      <c r="K135" s="24" t="inlineStr">
        <is>
          <t>데이터 사용 가능</t>
        </is>
      </c>
      <c r="L135" s="24" t="inlineStr">
        <is>
          <t>LOW</t>
        </is>
      </c>
      <c r="M135" s="24" t="inlineStr">
        <is>
          <t>LOW</t>
        </is>
      </c>
      <c r="N135" s="24" t="inlineStr">
        <is>
          <t>0.4956410256410256</t>
        </is>
      </c>
      <c r="O135" s="24" t="inlineStr">
        <is>
          <t>FAIR</t>
        </is>
      </c>
      <c r="P135" s="24" t="inlineStr">
        <is>
          <t>FAIR</t>
        </is>
      </c>
      <c r="Q135" s="24" t="inlineStr">
        <is>
          <t>FAIR</t>
        </is>
      </c>
      <c r="R135" s="24" t="inlineStr">
        <is>
          <t>0.6535546916238612</t>
        </is>
      </c>
      <c r="S135" s="24" t="inlineStr">
        <is>
          <t>MEDIUM</t>
        </is>
      </c>
      <c r="T135" s="24" t="inlineStr">
        <is>
          <t>MEDIUM</t>
        </is>
      </c>
      <c r="U135" s="24" t="inlineStr">
        <is>
          <t>0.0</t>
        </is>
      </c>
      <c r="V135" s="24" t="inlineStr">
        <is>
          <t>LOW_RISK</t>
        </is>
      </c>
      <c r="W135" s="24" t="inlineStr">
        <is>
          <t>저위험</t>
        </is>
      </c>
      <c r="X135" s="24" t="inlineStr">
        <is>
          <t>LOW_RISK</t>
        </is>
      </c>
      <c r="Y135" s="24" t="inlineStr">
        <is>
          <t>0.7960429313317705</t>
        </is>
      </c>
      <c r="Z135" s="24" t="inlineStr">
        <is>
          <t>HIGH</t>
        </is>
      </c>
      <c r="AA135" s="24" t="inlineStr">
        <is>
          <t>HIGH</t>
        </is>
      </c>
      <c r="AB135" s="24" t="inlineStr">
        <is>
          <t>0.151556576218825</t>
        </is>
      </c>
      <c r="AC135" s="24" t="inlineStr">
        <is>
          <t>False</t>
        </is>
      </c>
      <c r="AD135" s="24" t="inlineStr">
        <is>
          <t>False</t>
        </is>
      </c>
      <c r="AE135" s="24" t="inlineStr">
        <is>
          <t>valuation_credit_ml_overlay_candidate.csv</t>
        </is>
      </c>
      <c r="AF135" s="24" t="inlineStr">
        <is>
          <t>208개 반도체 reference universe. Valuation Agent가 자체 intake 폴더로 복제해 Peer/ML/대시보드 비교에 사용.</t>
        </is>
      </c>
    </row>
    <row r="136" ht="24" customHeight="1">
      <c r="A136" s="29" t="inlineStr">
        <is>
          <t>126</t>
        </is>
      </c>
      <c r="B136" s="29" t="inlineStr">
        <is>
          <t>해당 없음</t>
        </is>
      </c>
      <c r="C136" s="29" t="inlineStr">
        <is>
          <t>동진쎄미켐</t>
        </is>
      </c>
      <c r="D136" s="29" t="inlineStr">
        <is>
          <t>005290</t>
        </is>
      </c>
      <c r="E136" s="29" t="inlineStr">
        <is>
          <t>KOSDAQ</t>
        </is>
      </c>
      <c r="F136" s="29" t="inlineStr">
        <is>
          <t>소재</t>
        </is>
      </c>
      <c r="G136" s="29" t="inlineStr">
        <is>
          <t>소재</t>
        </is>
      </c>
      <c r="H136" s="29" t="inlineStr">
        <is>
          <t>False</t>
        </is>
      </c>
      <c r="I136" s="29" t="inlineStr">
        <is>
          <t>True</t>
        </is>
      </c>
      <c r="J136" s="29" t="inlineStr">
        <is>
          <t>OK</t>
        </is>
      </c>
      <c r="K136" s="29" t="inlineStr">
        <is>
          <t>데이터 사용 가능</t>
        </is>
      </c>
      <c r="L136" s="29" t="inlineStr">
        <is>
          <t>LOW</t>
        </is>
      </c>
      <c r="M136" s="29" t="inlineStr">
        <is>
          <t>LOW</t>
        </is>
      </c>
      <c r="N136" s="29" t="inlineStr">
        <is>
          <t>0.4702564102564102</t>
        </is>
      </c>
      <c r="O136" s="29" t="inlineStr">
        <is>
          <t>FAIR</t>
        </is>
      </c>
      <c r="P136" s="29" t="inlineStr">
        <is>
          <t>FAIR</t>
        </is>
      </c>
      <c r="Q136" s="29" t="inlineStr">
        <is>
          <t>ATTRACTIVE</t>
        </is>
      </c>
      <c r="R136" s="29" t="inlineStr">
        <is>
          <t>0.48929755601795294</t>
        </is>
      </c>
      <c r="S136" s="29" t="inlineStr">
        <is>
          <t>LOW</t>
        </is>
      </c>
      <c r="T136" s="29" t="inlineStr">
        <is>
          <t>LOW</t>
        </is>
      </c>
      <c r="U136" s="29" t="inlineStr">
        <is>
          <t>0.0</t>
        </is>
      </c>
      <c r="V136" s="29" t="inlineStr">
        <is>
          <t>LOW_RISK</t>
        </is>
      </c>
      <c r="W136" s="29" t="inlineStr">
        <is>
          <t>저위험</t>
        </is>
      </c>
      <c r="X136" s="29" t="inlineStr">
        <is>
          <t>LOW_RISK</t>
        </is>
      </c>
      <c r="Y136" s="29" t="inlineStr">
        <is>
          <t>0.9474461757717627</t>
        </is>
      </c>
      <c r="Z136" s="29" t="inlineStr">
        <is>
          <t>HIGH</t>
        </is>
      </c>
      <c r="AA136" s="29" t="inlineStr">
        <is>
          <t>HIGH</t>
        </is>
      </c>
      <c r="AB136" s="29" t="inlineStr">
        <is>
          <t>0.021813937556984325</t>
        </is>
      </c>
      <c r="AC136" s="29" t="inlineStr">
        <is>
          <t>False</t>
        </is>
      </c>
      <c r="AD136" s="29" t="inlineStr">
        <is>
          <t>True</t>
        </is>
      </c>
      <c r="AE136" s="29" t="inlineStr">
        <is>
          <t>valuation_credit_ml_overlay_candidate.csv</t>
        </is>
      </c>
      <c r="AF136" s="29" t="inlineStr">
        <is>
          <t>208개 반도체 reference universe. Valuation Agent가 자체 intake 폴더로 복제해 Peer/ML/대시보드 비교에 사용.</t>
        </is>
      </c>
    </row>
    <row r="137" ht="24" customHeight="1">
      <c r="A137" s="24" t="inlineStr">
        <is>
          <t>144</t>
        </is>
      </c>
      <c r="B137" s="24" t="inlineStr">
        <is>
          <t>해당 없음</t>
        </is>
      </c>
      <c r="C137" s="24" t="inlineStr">
        <is>
          <t>켐트로닉스</t>
        </is>
      </c>
      <c r="D137" s="24" t="inlineStr">
        <is>
          <t>089010</t>
        </is>
      </c>
      <c r="E137" s="24" t="inlineStr">
        <is>
          <t>KOSDAQ</t>
        </is>
      </c>
      <c r="F137" s="24" t="inlineStr">
        <is>
          <t>소재</t>
        </is>
      </c>
      <c r="G137" s="24" t="inlineStr">
        <is>
          <t>소재</t>
        </is>
      </c>
      <c r="H137" s="24" t="inlineStr">
        <is>
          <t>False</t>
        </is>
      </c>
      <c r="I137" s="24" t="inlineStr">
        <is>
          <t>True</t>
        </is>
      </c>
      <c r="J137" s="24" t="inlineStr">
        <is>
          <t>OK</t>
        </is>
      </c>
      <c r="K137" s="24" t="inlineStr">
        <is>
          <t>데이터 사용 가능</t>
        </is>
      </c>
      <c r="L137" s="24" t="inlineStr">
        <is>
          <t>LOW</t>
        </is>
      </c>
      <c r="M137" s="24" t="inlineStr">
        <is>
          <t>LOW</t>
        </is>
      </c>
      <c r="N137" s="24" t="inlineStr">
        <is>
          <t>0.4412820512820513</t>
        </is>
      </c>
      <c r="O137" s="24" t="inlineStr">
        <is>
          <t>FAIR</t>
        </is>
      </c>
      <c r="P137" s="24" t="inlineStr">
        <is>
          <t>FAIR</t>
        </is>
      </c>
      <c r="Q137" s="24" t="inlineStr">
        <is>
          <t>FAIR</t>
        </is>
      </c>
      <c r="R137" s="24" t="inlineStr">
        <is>
          <t>0.7697961799623572</t>
        </is>
      </c>
      <c r="S137" s="24" t="inlineStr">
        <is>
          <t>HIGH</t>
        </is>
      </c>
      <c r="T137" s="24" t="inlineStr">
        <is>
          <t>HIGH</t>
        </is>
      </c>
      <c r="U137" s="24" t="inlineStr">
        <is>
          <t>0.3571428571428571</t>
        </is>
      </c>
      <c r="V137" s="24" t="inlineStr">
        <is>
          <t>MEDIUM_RISK</t>
        </is>
      </c>
      <c r="W137" s="24" t="inlineStr">
        <is>
          <t>중위험</t>
        </is>
      </c>
      <c r="X137" s="24" t="inlineStr">
        <is>
          <t>MEDIUM_RISK</t>
        </is>
      </c>
      <c r="Y137" s="24" t="inlineStr">
        <is>
          <t>0.46850853772952833</t>
        </is>
      </c>
      <c r="Z137" s="24" t="inlineStr">
        <is>
          <t>LOW</t>
        </is>
      </c>
      <c r="AA137" s="24" t="inlineStr">
        <is>
          <t>LOW</t>
        </is>
      </c>
      <c r="AB137" s="24" t="inlineStr">
        <is>
          <t>0.08001716573230905</t>
        </is>
      </c>
      <c r="AC137" s="24" t="inlineStr">
        <is>
          <t>False</t>
        </is>
      </c>
      <c r="AD137" s="24" t="inlineStr">
        <is>
          <t>True</t>
        </is>
      </c>
      <c r="AE137" s="24" t="inlineStr">
        <is>
          <t>valuation_credit_ml_overlay_candidate.csv</t>
        </is>
      </c>
      <c r="AF137" s="24" t="inlineStr">
        <is>
          <t>208개 반도체 reference universe. Valuation Agent가 자체 intake 폴더로 복제해 Peer/ML/대시보드 비교에 사용.</t>
        </is>
      </c>
    </row>
    <row r="138" ht="24" customHeight="1">
      <c r="A138" s="29" t="inlineStr">
        <is>
          <t>129</t>
        </is>
      </c>
      <c r="B138" s="29" t="inlineStr">
        <is>
          <t>해당 없음</t>
        </is>
      </c>
      <c r="C138" s="29" t="inlineStr">
        <is>
          <t>솔브레인</t>
        </is>
      </c>
      <c r="D138" s="29" t="inlineStr">
        <is>
          <t>357780</t>
        </is>
      </c>
      <c r="E138" s="29" t="inlineStr">
        <is>
          <t>KOSDAQ GLOBAL</t>
        </is>
      </c>
      <c r="F138" s="29" t="inlineStr">
        <is>
          <t>소재</t>
        </is>
      </c>
      <c r="G138" s="29" t="inlineStr">
        <is>
          <t>소재</t>
        </is>
      </c>
      <c r="H138" s="29" t="inlineStr">
        <is>
          <t>False</t>
        </is>
      </c>
      <c r="I138" s="29" t="inlineStr">
        <is>
          <t>True</t>
        </is>
      </c>
      <c r="J138" s="29" t="inlineStr">
        <is>
          <t>OK</t>
        </is>
      </c>
      <c r="K138" s="29" t="inlineStr">
        <is>
          <t>데이터 사용 가능</t>
        </is>
      </c>
      <c r="L138" s="29" t="inlineStr">
        <is>
          <t>LOW</t>
        </is>
      </c>
      <c r="M138" s="29" t="inlineStr">
        <is>
          <t>LOW</t>
        </is>
      </c>
      <c r="N138" s="29" t="inlineStr">
        <is>
          <t>0.4330769230769231</t>
        </is>
      </c>
      <c r="O138" s="29" t="inlineStr">
        <is>
          <t>FAIR</t>
        </is>
      </c>
      <c r="P138" s="29" t="inlineStr">
        <is>
          <t>FAIR</t>
        </is>
      </c>
      <c r="Q138" s="29" t="inlineStr">
        <is>
          <t>FAIR</t>
        </is>
      </c>
      <c r="R138" s="29" t="inlineStr">
        <is>
          <t>0.6367158518654258</t>
        </is>
      </c>
      <c r="S138" s="29" t="inlineStr">
        <is>
          <t>MEDIUM</t>
        </is>
      </c>
      <c r="T138" s="29" t="inlineStr">
        <is>
          <t>MEDIUM</t>
        </is>
      </c>
      <c r="U138" s="29" t="inlineStr">
        <is>
          <t>0.0</t>
        </is>
      </c>
      <c r="V138" s="29" t="inlineStr">
        <is>
          <t>LOW_RISK</t>
        </is>
      </c>
      <c r="W138" s="29" t="inlineStr">
        <is>
          <t>저위험</t>
        </is>
      </c>
      <c r="X138" s="29" t="inlineStr">
        <is>
          <t>LOW_RISK</t>
        </is>
      </c>
      <c r="Y138" s="29" t="inlineStr">
        <is>
          <t>0.9460528189989016</t>
        </is>
      </c>
      <c r="Z138" s="29" t="inlineStr">
        <is>
          <t>HIGH</t>
        </is>
      </c>
      <c r="AA138" s="29" t="inlineStr">
        <is>
          <t>HIGH</t>
        </is>
      </c>
      <c r="AB138" s="29" t="inlineStr">
        <is>
          <t>0.0320761550307272</t>
        </is>
      </c>
      <c r="AC138" s="29" t="inlineStr">
        <is>
          <t>False</t>
        </is>
      </c>
      <c r="AD138" s="29" t="inlineStr">
        <is>
          <t>False</t>
        </is>
      </c>
      <c r="AE138" s="29" t="inlineStr">
        <is>
          <t>valuation_credit_ml_overlay_candidate.csv</t>
        </is>
      </c>
      <c r="AF138" s="29" t="inlineStr">
        <is>
          <t>208개 반도체 reference universe. Valuation Agent가 자체 intake 폴더로 복제해 Peer/ML/대시보드 비교에 사용.</t>
        </is>
      </c>
    </row>
    <row r="139" ht="24" customHeight="1">
      <c r="A139" s="24" t="inlineStr">
        <is>
          <t>127</t>
        </is>
      </c>
      <c r="B139" s="24" t="inlineStr">
        <is>
          <t>해당 없음</t>
        </is>
      </c>
      <c r="C139" s="24" t="inlineStr">
        <is>
          <t>디엔에프</t>
        </is>
      </c>
      <c r="D139" s="24" t="inlineStr">
        <is>
          <t>092070</t>
        </is>
      </c>
      <c r="E139" s="24" t="inlineStr">
        <is>
          <t>KOSDAQ</t>
        </is>
      </c>
      <c r="F139" s="24" t="inlineStr">
        <is>
          <t>소재</t>
        </is>
      </c>
      <c r="G139" s="24" t="inlineStr">
        <is>
          <t>소재</t>
        </is>
      </c>
      <c r="H139" s="24" t="inlineStr">
        <is>
          <t>False</t>
        </is>
      </c>
      <c r="I139" s="24" t="inlineStr">
        <is>
          <t>True</t>
        </is>
      </c>
      <c r="J139" s="24" t="inlineStr">
        <is>
          <t>OK</t>
        </is>
      </c>
      <c r="K139" s="24" t="inlineStr">
        <is>
          <t>데이터 사용 가능</t>
        </is>
      </c>
      <c r="L139" s="24" t="inlineStr">
        <is>
          <t>LOW</t>
        </is>
      </c>
      <c r="M139" s="24" t="inlineStr">
        <is>
          <t>LOW</t>
        </is>
      </c>
      <c r="N139" s="24" t="inlineStr">
        <is>
          <t>0.4041025641025642</t>
        </is>
      </c>
      <c r="O139" s="24" t="inlineStr">
        <is>
          <t>EXPENSIVE</t>
        </is>
      </c>
      <c r="P139" s="24" t="inlineStr">
        <is>
          <t>EXPENSIVE</t>
        </is>
      </c>
      <c r="Q139" s="24" t="inlineStr">
        <is>
          <t>EXPENSIVE</t>
        </is>
      </c>
      <c r="R139" s="24" t="inlineStr">
        <is>
          <t>0.6833535693717029</t>
        </is>
      </c>
      <c r="S139" s="24" t="inlineStr">
        <is>
          <t>MEDIUM</t>
        </is>
      </c>
      <c r="T139" s="24" t="inlineStr">
        <is>
          <t>MEDIUM</t>
        </is>
      </c>
      <c r="U139" s="24" t="inlineStr">
        <is>
          <t>0.1428571428571428</t>
        </is>
      </c>
      <c r="V139" s="24" t="inlineStr">
        <is>
          <t>LOW_RISK</t>
        </is>
      </c>
      <c r="W139" s="24" t="inlineStr">
        <is>
          <t>저위험</t>
        </is>
      </c>
      <c r="X139" s="24" t="inlineStr">
        <is>
          <t>LOW_RISK</t>
        </is>
      </c>
      <c r="Y139" s="24" t="inlineStr">
        <is>
          <t>0.5929893794662974</t>
        </is>
      </c>
      <c r="Z139" s="24" t="inlineStr">
        <is>
          <t>MEDIUM</t>
        </is>
      </c>
      <c r="AA139" s="24" t="inlineStr">
        <is>
          <t>MEDIUM</t>
        </is>
      </c>
      <c r="AB139" s="24" t="inlineStr">
        <is>
          <t>0.12453521172683771</t>
        </is>
      </c>
      <c r="AC139" s="24" t="inlineStr">
        <is>
          <t>False</t>
        </is>
      </c>
      <c r="AD139" s="24" t="inlineStr">
        <is>
          <t>False</t>
        </is>
      </c>
      <c r="AE139" s="24" t="inlineStr">
        <is>
          <t>valuation_credit_ml_overlay_candidate.csv</t>
        </is>
      </c>
      <c r="AF139" s="24" t="inlineStr">
        <is>
          <t>208개 반도체 reference universe. Valuation Agent가 자체 intake 폴더로 복제해 Peer/ML/대시보드 비교에 사용.</t>
        </is>
      </c>
    </row>
    <row r="140" ht="24" customHeight="1">
      <c r="A140" s="29" t="inlineStr">
        <is>
          <t>135</t>
        </is>
      </c>
      <c r="B140" s="29" t="inlineStr">
        <is>
          <t>해당 없음</t>
        </is>
      </c>
      <c r="C140" s="29" t="inlineStr">
        <is>
          <t>와이씨켐</t>
        </is>
      </c>
      <c r="D140" s="29" t="inlineStr">
        <is>
          <t>112290</t>
        </is>
      </c>
      <c r="E140" s="29" t="inlineStr">
        <is>
          <t>KOSDAQ</t>
        </is>
      </c>
      <c r="F140" s="29" t="inlineStr">
        <is>
          <t>소재</t>
        </is>
      </c>
      <c r="G140" s="29" t="inlineStr">
        <is>
          <t>소재</t>
        </is>
      </c>
      <c r="H140" s="29" t="inlineStr">
        <is>
          <t>False</t>
        </is>
      </c>
      <c r="I140" s="29" t="inlineStr">
        <is>
          <t>True</t>
        </is>
      </c>
      <c r="J140" s="29" t="inlineStr">
        <is>
          <t>OK</t>
        </is>
      </c>
      <c r="K140" s="29" t="inlineStr">
        <is>
          <t>데이터 사용 가능</t>
        </is>
      </c>
      <c r="L140" s="29" t="inlineStr">
        <is>
          <t>LOW</t>
        </is>
      </c>
      <c r="M140" s="29" t="inlineStr">
        <is>
          <t>LOW</t>
        </is>
      </c>
      <c r="N140" s="29" t="inlineStr">
        <is>
          <t>0.3835897435897436</t>
        </is>
      </c>
      <c r="O140" s="29" t="inlineStr">
        <is>
          <t>EXPENSIVE</t>
        </is>
      </c>
      <c r="P140" s="29" t="inlineStr">
        <is>
          <t>EXPENSIVE</t>
        </is>
      </c>
      <c r="Q140" s="29" t="inlineStr">
        <is>
          <t>EXPENSIVE</t>
        </is>
      </c>
      <c r="R140" s="29" t="inlineStr">
        <is>
          <t>0.7576999610053956</t>
        </is>
      </c>
      <c r="S140" s="29" t="inlineStr">
        <is>
          <t>HIGH</t>
        </is>
      </c>
      <c r="T140" s="29" t="inlineStr">
        <is>
          <t>HIGH</t>
        </is>
      </c>
      <c r="U140" s="29" t="inlineStr">
        <is>
          <t>0.5</t>
        </is>
      </c>
      <c r="V140" s="29" t="inlineStr">
        <is>
          <t>HIGH_RISK</t>
        </is>
      </c>
      <c r="W140" s="29" t="inlineStr">
        <is>
          <t>고위험</t>
        </is>
      </c>
      <c r="X140" s="29" t="inlineStr">
        <is>
          <t>HIGH_RISK</t>
        </is>
      </c>
      <c r="Y140" s="29" t="inlineStr">
        <is>
          <t>0.5943318096005836</t>
        </is>
      </c>
      <c r="Z140" s="29" t="inlineStr">
        <is>
          <t>MEDIUM</t>
        </is>
      </c>
      <c r="AA140" s="29" t="inlineStr">
        <is>
          <t>MEDIUM</t>
        </is>
      </c>
      <c r="AB140" s="29" t="inlineStr">
        <is>
          <t>0.09923299749910795</t>
        </is>
      </c>
      <c r="AC140" s="29" t="inlineStr">
        <is>
          <t>False</t>
        </is>
      </c>
      <c r="AD140" s="29" t="inlineStr">
        <is>
          <t>False</t>
        </is>
      </c>
      <c r="AE140" s="29" t="inlineStr">
        <is>
          <t>valuation_credit_ml_overlay_candidate.csv</t>
        </is>
      </c>
      <c r="AF140" s="29" t="inlineStr">
        <is>
          <t>208개 반도체 reference universe. Valuation Agent가 자체 intake 폴더로 복제해 Peer/ML/대시보드 비교에 사용.</t>
        </is>
      </c>
    </row>
    <row r="141" ht="24" customHeight="1">
      <c r="A141" s="24" t="inlineStr">
        <is>
          <t>143</t>
        </is>
      </c>
      <c r="B141" s="24" t="inlineStr">
        <is>
          <t>해당 없음</t>
        </is>
      </c>
      <c r="C141" s="24" t="inlineStr">
        <is>
          <t>천보</t>
        </is>
      </c>
      <c r="D141" s="24" t="inlineStr">
        <is>
          <t>278280</t>
        </is>
      </c>
      <c r="E141" s="24" t="inlineStr">
        <is>
          <t>KOSDAQ</t>
        </is>
      </c>
      <c r="F141" s="24" t="inlineStr">
        <is>
          <t>소재</t>
        </is>
      </c>
      <c r="G141" s="24" t="inlineStr">
        <is>
          <t>소재</t>
        </is>
      </c>
      <c r="H141" s="24" t="inlineStr">
        <is>
          <t>False</t>
        </is>
      </c>
      <c r="I141" s="24" t="inlineStr">
        <is>
          <t>True</t>
        </is>
      </c>
      <c r="J141" s="24" t="inlineStr">
        <is>
          <t>OK</t>
        </is>
      </c>
      <c r="K141" s="24" t="inlineStr">
        <is>
          <t>데이터 사용 가능</t>
        </is>
      </c>
      <c r="L141" s="24" t="inlineStr">
        <is>
          <t>LOW</t>
        </is>
      </c>
      <c r="M141" s="24" t="inlineStr">
        <is>
          <t>LOW</t>
        </is>
      </c>
      <c r="N141" s="24" t="inlineStr">
        <is>
          <t>0.3387179487179487</t>
        </is>
      </c>
      <c r="O141" s="24" t="inlineStr">
        <is>
          <t>EXPENSIVE</t>
        </is>
      </c>
      <c r="P141" s="24" t="inlineStr">
        <is>
          <t>EXPENSIVE</t>
        </is>
      </c>
      <c r="Q141" s="24" t="inlineStr">
        <is>
          <t>EXPENSIVE</t>
        </is>
      </c>
      <c r="R141" s="24" t="inlineStr">
        <is>
          <t>0.5721835844163214</t>
        </is>
      </c>
      <c r="S141" s="24" t="inlineStr">
        <is>
          <t>MEDIUM</t>
        </is>
      </c>
      <c r="T141" s="24" t="inlineStr">
        <is>
          <t>MEDIUM</t>
        </is>
      </c>
      <c r="U141" s="24" t="inlineStr">
        <is>
          <t>0.3571428571428571</t>
        </is>
      </c>
      <c r="V141" s="24" t="inlineStr">
        <is>
          <t>MEDIUM_RISK</t>
        </is>
      </c>
      <c r="W141" s="24" t="inlineStr">
        <is>
          <t>중위험</t>
        </is>
      </c>
      <c r="X141" s="24" t="inlineStr">
        <is>
          <t>MEDIUM_RISK</t>
        </is>
      </c>
      <c r="Y141" s="24" t="inlineStr">
        <is>
          <t>0.6610625585827647</t>
        </is>
      </c>
      <c r="Z141" s="24" t="inlineStr">
        <is>
          <t>MEDIUM</t>
        </is>
      </c>
      <c r="AA141" s="24" t="inlineStr">
        <is>
          <t>MEDIUM</t>
        </is>
      </c>
      <c r="AB141" s="24" t="inlineStr">
        <is>
          <t>0.09911108426869078</t>
        </is>
      </c>
      <c r="AC141" s="24" t="inlineStr">
        <is>
          <t>False</t>
        </is>
      </c>
      <c r="AD141" s="24" t="inlineStr">
        <is>
          <t>False</t>
        </is>
      </c>
      <c r="AE141" s="24" t="inlineStr">
        <is>
          <t>valuation_credit_ml_overlay_candidate.csv</t>
        </is>
      </c>
      <c r="AF141" s="24" t="inlineStr">
        <is>
          <t>208개 반도체 reference universe. Valuation Agent가 자체 intake 폴더로 복제해 Peer/ML/대시보드 비교에 사용.</t>
        </is>
      </c>
    </row>
    <row r="142" ht="24" customHeight="1">
      <c r="A142" s="29" t="inlineStr">
        <is>
          <t>149</t>
        </is>
      </c>
      <c r="B142" s="29" t="inlineStr">
        <is>
          <t>해당 없음</t>
        </is>
      </c>
      <c r="C142" s="29" t="inlineStr">
        <is>
          <t>후성</t>
        </is>
      </c>
      <c r="D142" s="29" t="inlineStr">
        <is>
          <t>093370</t>
        </is>
      </c>
      <c r="E142" s="29" t="inlineStr">
        <is>
          <t>KOSPI</t>
        </is>
      </c>
      <c r="F142" s="29" t="inlineStr">
        <is>
          <t>소재</t>
        </is>
      </c>
      <c r="G142" s="29" t="inlineStr">
        <is>
          <t>소재</t>
        </is>
      </c>
      <c r="H142" s="29" t="inlineStr">
        <is>
          <t>False</t>
        </is>
      </c>
      <c r="I142" s="29" t="inlineStr">
        <is>
          <t>True</t>
        </is>
      </c>
      <c r="J142" s="29" t="inlineStr">
        <is>
          <t>OK</t>
        </is>
      </c>
      <c r="K142" s="29" t="inlineStr">
        <is>
          <t>데이터 사용 가능</t>
        </is>
      </c>
      <c r="L142" s="29" t="inlineStr">
        <is>
          <t>LOW</t>
        </is>
      </c>
      <c r="M142" s="29" t="inlineStr">
        <is>
          <t>LOW</t>
        </is>
      </c>
      <c r="N142" s="29" t="inlineStr">
        <is>
          <t>0.3387179487179487</t>
        </is>
      </c>
      <c r="O142" s="29" t="inlineStr">
        <is>
          <t>EXPENSIVE</t>
        </is>
      </c>
      <c r="P142" s="29" t="inlineStr">
        <is>
          <t>EXPENSIVE</t>
        </is>
      </c>
      <c r="Q142" s="29" t="inlineStr">
        <is>
          <t>EXPENSIVE</t>
        </is>
      </c>
      <c r="R142" s="29" t="inlineStr">
        <is>
          <t>0.7388215177779633</t>
        </is>
      </c>
      <c r="S142" s="29" t="inlineStr">
        <is>
          <t>HIGH</t>
        </is>
      </c>
      <c r="T142" s="29" t="inlineStr">
        <is>
          <t>HIGH</t>
        </is>
      </c>
      <c r="U142" s="29" t="inlineStr">
        <is>
          <t>0.1428571428571428</t>
        </is>
      </c>
      <c r="V142" s="29" t="inlineStr">
        <is>
          <t>LOW_RISK</t>
        </is>
      </c>
      <c r="W142" s="29" t="inlineStr">
        <is>
          <t>저위험</t>
        </is>
      </c>
      <c r="X142" s="29" t="inlineStr">
        <is>
          <t>LOW_RISK</t>
        </is>
      </c>
      <c r="Y142" s="29" t="inlineStr">
        <is>
          <t>0.6020102100460379</t>
        </is>
      </c>
      <c r="Z142" s="29" t="inlineStr">
        <is>
          <t>MEDIUM</t>
        </is>
      </c>
      <c r="AA142" s="29" t="inlineStr">
        <is>
          <t>MEDIUM</t>
        </is>
      </c>
      <c r="AB142" s="29" t="inlineStr">
        <is>
          <t>0.03702349009826696</t>
        </is>
      </c>
      <c r="AC142" s="29" t="inlineStr">
        <is>
          <t>False</t>
        </is>
      </c>
      <c r="AD142" s="29" t="inlineStr">
        <is>
          <t>False</t>
        </is>
      </c>
      <c r="AE142" s="29" t="inlineStr">
        <is>
          <t>valuation_credit_ml_overlay_candidate.csv</t>
        </is>
      </c>
      <c r="AF142" s="29" t="inlineStr">
        <is>
          <t>208개 반도체 reference universe. Valuation Agent가 자체 intake 폴더로 복제해 Peer/ML/대시보드 비교에 사용.</t>
        </is>
      </c>
    </row>
    <row r="143" ht="24" customHeight="1">
      <c r="A143" s="24" t="inlineStr">
        <is>
          <t>132</t>
        </is>
      </c>
      <c r="B143" s="24" t="inlineStr">
        <is>
          <t>해당 없음</t>
        </is>
      </c>
      <c r="C143" s="24" t="inlineStr">
        <is>
          <t>엘케이켐</t>
        </is>
      </c>
      <c r="D143" s="24" t="inlineStr">
        <is>
          <t>489500</t>
        </is>
      </c>
      <c r="E143" s="24" t="inlineStr">
        <is>
          <t>KOSDAQ</t>
        </is>
      </c>
      <c r="F143" s="24" t="inlineStr">
        <is>
          <t>소재</t>
        </is>
      </c>
      <c r="G143" s="24" t="inlineStr">
        <is>
          <t>소재</t>
        </is>
      </c>
      <c r="H143" s="24" t="inlineStr">
        <is>
          <t>False</t>
        </is>
      </c>
      <c r="I143" s="24" t="inlineStr">
        <is>
          <t>True</t>
        </is>
      </c>
      <c r="J143" s="24" t="inlineStr">
        <is>
          <t>OK_LIMITED_HISTORY_OR_GROWTH_NA</t>
        </is>
      </c>
      <c r="K143" s="24" t="inlineStr">
        <is>
          <t>데이터 사용 가능</t>
        </is>
      </c>
      <c r="L143" s="24" t="inlineStr">
        <is>
          <t>LOW</t>
        </is>
      </c>
      <c r="M143" s="24" t="inlineStr">
        <is>
          <t>LOW</t>
        </is>
      </c>
      <c r="N143" s="24" t="inlineStr">
        <is>
          <t>0.3238461538461538</t>
        </is>
      </c>
      <c r="O143" s="24" t="inlineStr">
        <is>
          <t>EXPENSIVE</t>
        </is>
      </c>
      <c r="P143" s="24" t="inlineStr">
        <is>
          <t>EXPENSIVE</t>
        </is>
      </c>
      <c r="Q143" s="24" t="inlineStr">
        <is>
          <t>EXPENSIVE</t>
        </is>
      </c>
      <c r="R143" s="24" t="inlineStr">
        <is>
          <t>0.702794478496214</t>
        </is>
      </c>
      <c r="S143" s="24" t="inlineStr">
        <is>
          <t>HIGH</t>
        </is>
      </c>
      <c r="T143" s="24" t="inlineStr">
        <is>
          <t>HIGH</t>
        </is>
      </c>
      <c r="U143" s="24" t="inlineStr">
        <is>
          <t>0.2857142857142857</t>
        </is>
      </c>
      <c r="V143" s="24" t="inlineStr">
        <is>
          <t>MEDIUM_RISK</t>
        </is>
      </c>
      <c r="W143" s="24" t="inlineStr">
        <is>
          <t>중위험</t>
        </is>
      </c>
      <c r="X143" s="24" t="inlineStr">
        <is>
          <t>MEDIUM_RISK</t>
        </is>
      </c>
      <c r="Y143" s="24" t="inlineStr">
        <is>
          <t>0.5536965458646373</t>
        </is>
      </c>
      <c r="Z143" s="24" t="inlineStr">
        <is>
          <t>MEDIUM</t>
        </is>
      </c>
      <c r="AA143" s="24" t="inlineStr">
        <is>
          <t>MEDIUM</t>
        </is>
      </c>
      <c r="AB143" s="24" t="inlineStr">
        <is>
          <t>0.25181847400004714</t>
        </is>
      </c>
      <c r="AC143" s="24" t="inlineStr">
        <is>
          <t>True</t>
        </is>
      </c>
      <c r="AD143" s="24" t="inlineStr">
        <is>
          <t>True</t>
        </is>
      </c>
      <c r="AE143" s="24" t="inlineStr">
        <is>
          <t>valuation_credit_ml_overlay_candidate.csv</t>
        </is>
      </c>
      <c r="AF143" s="24" t="inlineStr">
        <is>
          <t>208개 반도체 reference universe. Valuation Agent가 자체 intake 폴더로 복제해 Peer/ML/대시보드 비교에 사용.</t>
        </is>
      </c>
    </row>
    <row r="144" ht="24" customHeight="1">
      <c r="A144" s="29" t="inlineStr">
        <is>
          <t>124</t>
        </is>
      </c>
      <c r="B144" s="29" t="inlineStr">
        <is>
          <t>해당 없음</t>
        </is>
      </c>
      <c r="C144" s="29" t="inlineStr">
        <is>
          <t>SKC</t>
        </is>
      </c>
      <c r="D144" s="29" t="inlineStr">
        <is>
          <t>011790</t>
        </is>
      </c>
      <c r="E144" s="29" t="inlineStr">
        <is>
          <t>KOSPI</t>
        </is>
      </c>
      <c r="F144" s="29" t="inlineStr">
        <is>
          <t>소재</t>
        </is>
      </c>
      <c r="G144" s="29" t="inlineStr">
        <is>
          <t>소재</t>
        </is>
      </c>
      <c r="H144" s="29" t="inlineStr">
        <is>
          <t>False</t>
        </is>
      </c>
      <c r="I144" s="29" t="inlineStr">
        <is>
          <t>True</t>
        </is>
      </c>
      <c r="J144" s="29" t="inlineStr">
        <is>
          <t>OK</t>
        </is>
      </c>
      <c r="K144" s="29" t="inlineStr">
        <is>
          <t>데이터 사용 가능</t>
        </is>
      </c>
      <c r="L144" s="29" t="inlineStr">
        <is>
          <t>LOW</t>
        </is>
      </c>
      <c r="M144" s="29" t="inlineStr">
        <is>
          <t>LOW</t>
        </is>
      </c>
      <c r="N144" s="29" t="inlineStr">
        <is>
          <t>0.3217948717948718</t>
        </is>
      </c>
      <c r="O144" s="29" t="inlineStr">
        <is>
          <t>EXPENSIVE</t>
        </is>
      </c>
      <c r="P144" s="29" t="inlineStr">
        <is>
          <t>EXPENSIVE</t>
        </is>
      </c>
      <c r="Q144" s="29" t="inlineStr">
        <is>
          <t>EXPENSIVE</t>
        </is>
      </c>
      <c r="R144" s="29" t="inlineStr">
        <is>
          <t>0.865330691240198</t>
        </is>
      </c>
      <c r="S144" s="29" t="inlineStr">
        <is>
          <t>HIGH</t>
        </is>
      </c>
      <c r="T144" s="29" t="inlineStr">
        <is>
          <t>HIGH</t>
        </is>
      </c>
      <c r="U144" s="29" t="inlineStr">
        <is>
          <t>0.7142857142857143</t>
        </is>
      </c>
      <c r="V144" s="29" t="inlineStr">
        <is>
          <t>HIGH_RISK</t>
        </is>
      </c>
      <c r="W144" s="29" t="inlineStr">
        <is>
          <t>고위험</t>
        </is>
      </c>
      <c r="X144" s="29" t="inlineStr">
        <is>
          <t>HIGH_RISK</t>
        </is>
      </c>
      <c r="Y144" s="29" t="inlineStr">
        <is>
          <t>0.9272418560336225</t>
        </is>
      </c>
      <c r="Z144" s="29" t="inlineStr">
        <is>
          <t>HIGH</t>
        </is>
      </c>
      <c r="AA144" s="29" t="inlineStr">
        <is>
          <t>HIGH</t>
        </is>
      </c>
      <c r="AB144" s="29" t="inlineStr">
        <is>
          <t>0.23200310396853355</t>
        </is>
      </c>
      <c r="AC144" s="29" t="inlineStr">
        <is>
          <t>False</t>
        </is>
      </c>
      <c r="AD144" s="29" t="inlineStr">
        <is>
          <t>False</t>
        </is>
      </c>
      <c r="AE144" s="29" t="inlineStr">
        <is>
          <t>valuation_credit_ml_overlay_candidate.csv</t>
        </is>
      </c>
      <c r="AF144" s="29" t="inlineStr">
        <is>
          <t>208개 반도체 reference universe. Valuation Agent가 자체 intake 폴더로 복제해 Peer/ML/대시보드 비교에 사용.</t>
        </is>
      </c>
    </row>
    <row r="145" ht="24" customHeight="1">
      <c r="A145" s="24" t="inlineStr">
        <is>
          <t>128</t>
        </is>
      </c>
      <c r="B145" s="24" t="inlineStr">
        <is>
          <t>해당 없음</t>
        </is>
      </c>
      <c r="C145" s="24" t="inlineStr">
        <is>
          <t>레이크머티리얼즈</t>
        </is>
      </c>
      <c r="D145" s="24" t="inlineStr">
        <is>
          <t>281740</t>
        </is>
      </c>
      <c r="E145" s="24" t="inlineStr">
        <is>
          <t>KOSDAQ</t>
        </is>
      </c>
      <c r="F145" s="24" t="inlineStr">
        <is>
          <t>소재</t>
        </is>
      </c>
      <c r="G145" s="24" t="inlineStr">
        <is>
          <t>소재</t>
        </is>
      </c>
      <c r="H145" s="24" t="inlineStr">
        <is>
          <t>False</t>
        </is>
      </c>
      <c r="I145" s="24" t="inlineStr">
        <is>
          <t>True</t>
        </is>
      </c>
      <c r="J145" s="24" t="inlineStr">
        <is>
          <t>OK</t>
        </is>
      </c>
      <c r="K145" s="24" t="inlineStr">
        <is>
          <t>데이터 사용 가능</t>
        </is>
      </c>
      <c r="L145" s="24" t="inlineStr">
        <is>
          <t>LOW</t>
        </is>
      </c>
      <c r="M145" s="24" t="inlineStr">
        <is>
          <t>LOW</t>
        </is>
      </c>
      <c r="N145" s="24" t="inlineStr">
        <is>
          <t>0.2676923076923077</t>
        </is>
      </c>
      <c r="O145" s="24" t="inlineStr">
        <is>
          <t>EXPENSIVE</t>
        </is>
      </c>
      <c r="P145" s="24" t="inlineStr">
        <is>
          <t>EXPENSIVE</t>
        </is>
      </c>
      <c r="Q145" s="24" t="inlineStr">
        <is>
          <t>EXPENSIVE</t>
        </is>
      </c>
      <c r="R145" s="24" t="inlineStr">
        <is>
          <t>0.7822727417954645</t>
        </is>
      </c>
      <c r="S145" s="24" t="inlineStr">
        <is>
          <t>HIGH</t>
        </is>
      </c>
      <c r="T145" s="24" t="inlineStr">
        <is>
          <t>HIGH</t>
        </is>
      </c>
      <c r="U145" s="24" t="inlineStr">
        <is>
          <t>0.2857142857142857</t>
        </is>
      </c>
      <c r="V145" s="24" t="inlineStr">
        <is>
          <t>MEDIUM_RISK</t>
        </is>
      </c>
      <c r="W145" s="24" t="inlineStr">
        <is>
          <t>중위험</t>
        </is>
      </c>
      <c r="X145" s="24" t="inlineStr">
        <is>
          <t>LOW_RISK</t>
        </is>
      </c>
      <c r="Y145" s="24" t="inlineStr">
        <is>
          <t>0.44190315892256776</t>
        </is>
      </c>
      <c r="Z145" s="24" t="inlineStr">
        <is>
          <t>LOW</t>
        </is>
      </c>
      <c r="AA145" s="24" t="inlineStr">
        <is>
          <t>LOW</t>
        </is>
      </c>
      <c r="AB145" s="24" t="inlineStr">
        <is>
          <t>0.0525163305941587</t>
        </is>
      </c>
      <c r="AC145" s="24" t="inlineStr">
        <is>
          <t>False</t>
        </is>
      </c>
      <c r="AD145" s="24" t="inlineStr">
        <is>
          <t>True</t>
        </is>
      </c>
      <c r="AE145" s="24" t="inlineStr">
        <is>
          <t>valuation_credit_ml_overlay_candidate.csv</t>
        </is>
      </c>
      <c r="AF145" s="24" t="inlineStr">
        <is>
          <t>208개 반도체 reference universe. Valuation Agent가 자체 intake 폴더로 복제해 Peer/ML/대시보드 비교에 사용.</t>
        </is>
      </c>
    </row>
    <row r="146" ht="24" customHeight="1">
      <c r="A146" s="29" t="inlineStr">
        <is>
          <t>125</t>
        </is>
      </c>
      <c r="B146" s="29" t="inlineStr">
        <is>
          <t>duksan</t>
        </is>
      </c>
      <c r="C146" s="29" t="inlineStr">
        <is>
          <t>덕산테코피아</t>
        </is>
      </c>
      <c r="D146" s="29" t="inlineStr">
        <is>
          <t>317330</t>
        </is>
      </c>
      <c r="E146" s="29" t="inlineStr">
        <is>
          <t>KOSDAQ</t>
        </is>
      </c>
      <c r="F146" s="29" t="inlineStr">
        <is>
          <t>소재</t>
        </is>
      </c>
      <c r="G146" s="29" t="inlineStr">
        <is>
          <t>소재</t>
        </is>
      </c>
      <c r="H146" s="29" t="inlineStr">
        <is>
          <t>True</t>
        </is>
      </c>
      <c r="I146" s="29" t="inlineStr">
        <is>
          <t>True</t>
        </is>
      </c>
      <c r="J146" s="29" t="inlineStr">
        <is>
          <t>OK</t>
        </is>
      </c>
      <c r="K146" s="29" t="inlineStr">
        <is>
          <t>데이터 사용 가능</t>
        </is>
      </c>
      <c r="L146" s="29" t="inlineStr">
        <is>
          <t>LOW</t>
        </is>
      </c>
      <c r="M146" s="29" t="inlineStr">
        <is>
          <t>LOW</t>
        </is>
      </c>
      <c r="N146" s="29" t="inlineStr">
        <is>
          <t>0.251025641025641</t>
        </is>
      </c>
      <c r="O146" s="29" t="inlineStr">
        <is>
          <t>EXPENSIVE</t>
        </is>
      </c>
      <c r="P146" s="29" t="inlineStr">
        <is>
          <t>EXPENSIVE</t>
        </is>
      </c>
      <c r="Q146" s="29" t="inlineStr">
        <is>
          <t>EXPENSIVE</t>
        </is>
      </c>
      <c r="R146" s="29" t="inlineStr">
        <is>
          <t>0.9683283970250778</t>
        </is>
      </c>
      <c r="S146" s="29" t="inlineStr">
        <is>
          <t>HIGH</t>
        </is>
      </c>
      <c r="T146" s="29" t="inlineStr">
        <is>
          <t>HIGH</t>
        </is>
      </c>
      <c r="U146" s="29" t="inlineStr">
        <is>
          <t>0.7142857142857143</t>
        </is>
      </c>
      <c r="V146" s="29" t="inlineStr">
        <is>
          <t>HIGH_RISK</t>
        </is>
      </c>
      <c r="W146" s="29" t="inlineStr">
        <is>
          <t>고위험</t>
        </is>
      </c>
      <c r="X146" s="29" t="inlineStr">
        <is>
          <t>HIGH_RISK</t>
        </is>
      </c>
      <c r="Y146" s="29" t="inlineStr">
        <is>
          <t>0.9663044353705786</t>
        </is>
      </c>
      <c r="Z146" s="29" t="inlineStr">
        <is>
          <t>HIGH</t>
        </is>
      </c>
      <c r="AA146" s="29" t="inlineStr">
        <is>
          <t>HIGH</t>
        </is>
      </c>
      <c r="AB146" s="29" t="inlineStr">
        <is>
          <t>0.3843555232614074</t>
        </is>
      </c>
      <c r="AC146" s="29" t="inlineStr">
        <is>
          <t>True</t>
        </is>
      </c>
      <c r="AD146" s="29" t="inlineStr">
        <is>
          <t>True</t>
        </is>
      </c>
      <c r="AE146" s="29" t="inlineStr">
        <is>
          <t>valuation_credit_ml_overlay_candidate.csv</t>
        </is>
      </c>
      <c r="AF146" s="29" t="inlineStr">
        <is>
          <t>208개 반도체 reference universe. Valuation Agent가 자체 intake 폴더로 복제해 Peer/ML/대시보드 비교에 사용.</t>
        </is>
      </c>
    </row>
    <row r="147" ht="24" customHeight="1">
      <c r="A147" s="24" t="inlineStr">
        <is>
          <t>99</t>
        </is>
      </c>
      <c r="B147" s="24" t="inlineStr">
        <is>
          <t>해당 없음</t>
        </is>
      </c>
      <c r="C147" s="24" t="inlineStr">
        <is>
          <t>엔투텍</t>
        </is>
      </c>
      <c r="D147" s="24" t="inlineStr">
        <is>
          <t>227950</t>
        </is>
      </c>
      <c r="E147" s="24" t="inlineStr">
        <is>
          <t>KOSDAQ</t>
        </is>
      </c>
      <c r="F147" s="24" t="inlineStr">
        <is>
          <t>장비</t>
        </is>
      </c>
      <c r="G147" s="24" t="inlineStr">
        <is>
          <t>장비</t>
        </is>
      </c>
      <c r="H147" s="24" t="inlineStr">
        <is>
          <t>False</t>
        </is>
      </c>
      <c r="I147" s="24" t="inlineStr">
        <is>
          <t>True</t>
        </is>
      </c>
      <c r="J147" s="24" t="inlineStr">
        <is>
          <t>OK</t>
        </is>
      </c>
      <c r="K147" s="24" t="inlineStr">
        <is>
          <t>데이터 사용 가능</t>
        </is>
      </c>
      <c r="L147" s="24" t="inlineStr">
        <is>
          <t>LOW</t>
        </is>
      </c>
      <c r="M147" s="24" t="inlineStr">
        <is>
          <t>LOW</t>
        </is>
      </c>
      <c r="N147" s="24" t="inlineStr">
        <is>
          <t>0.8128666666666667</t>
        </is>
      </c>
      <c r="O147" s="24" t="inlineStr">
        <is>
          <t>ATTRACTIVE</t>
        </is>
      </c>
      <c r="P147" s="24" t="inlineStr">
        <is>
          <t>가치 매력</t>
        </is>
      </c>
      <c r="Q147" s="24" t="inlineStr">
        <is>
          <t>ATTRACTIVE</t>
        </is>
      </c>
      <c r="R147" s="24" t="inlineStr">
        <is>
          <t>0.8347222629406851</t>
        </is>
      </c>
      <c r="S147" s="24" t="inlineStr">
        <is>
          <t>HIGH</t>
        </is>
      </c>
      <c r="T147" s="24" t="inlineStr">
        <is>
          <t>HIGH</t>
        </is>
      </c>
      <c r="U147" s="24" t="inlineStr">
        <is>
          <t>0.2142857142857142</t>
        </is>
      </c>
      <c r="V147" s="24" t="inlineStr">
        <is>
          <t>MEDIUM_RISK</t>
        </is>
      </c>
      <c r="W147" s="24" t="inlineStr">
        <is>
          <t>중위험</t>
        </is>
      </c>
      <c r="X147" s="24" t="inlineStr">
        <is>
          <t>MEDIUM_RISK</t>
        </is>
      </c>
      <c r="Y147" s="24" t="inlineStr">
        <is>
          <t>0.5142933547274794</t>
        </is>
      </c>
      <c r="Z147" s="24" t="inlineStr">
        <is>
          <t>MEDIUM</t>
        </is>
      </c>
      <c r="AA147" s="24" t="inlineStr">
        <is>
          <t>MEDIUM</t>
        </is>
      </c>
      <c r="AB147" s="24" t="inlineStr">
        <is>
          <t>0.21193857896314997</t>
        </is>
      </c>
      <c r="AC147" s="24" t="inlineStr">
        <is>
          <t>False</t>
        </is>
      </c>
      <c r="AD147" s="24" t="inlineStr">
        <is>
          <t>False</t>
        </is>
      </c>
      <c r="AE147" s="24" t="inlineStr">
        <is>
          <t>valuation_credit_ml_overlay_candidate.csv</t>
        </is>
      </c>
      <c r="AF147" s="24" t="inlineStr">
        <is>
          <t>208개 반도체 reference universe. Valuation Agent가 자체 intake 폴더로 복제해 Peer/ML/대시보드 비교에 사용.</t>
        </is>
      </c>
    </row>
    <row r="148" ht="24" customHeight="1">
      <c r="A148" s="29" t="inlineStr">
        <is>
          <t>88</t>
        </is>
      </c>
      <c r="B148" s="29" t="inlineStr">
        <is>
          <t>해당 없음</t>
        </is>
      </c>
      <c r="C148" s="29" t="inlineStr">
        <is>
          <t>비아트론</t>
        </is>
      </c>
      <c r="D148" s="29" t="inlineStr">
        <is>
          <t>141000</t>
        </is>
      </c>
      <c r="E148" s="29" t="inlineStr">
        <is>
          <t>KOSDAQ</t>
        </is>
      </c>
      <c r="F148" s="29" t="inlineStr">
        <is>
          <t>장비</t>
        </is>
      </c>
      <c r="G148" s="29" t="inlineStr">
        <is>
          <t>장비</t>
        </is>
      </c>
      <c r="H148" s="29" t="inlineStr">
        <is>
          <t>False</t>
        </is>
      </c>
      <c r="I148" s="29" t="inlineStr">
        <is>
          <t>True</t>
        </is>
      </c>
      <c r="J148" s="29" t="inlineStr">
        <is>
          <t>OK</t>
        </is>
      </c>
      <c r="K148" s="29" t="inlineStr">
        <is>
          <t>데이터 사용 가능</t>
        </is>
      </c>
      <c r="L148" s="29" t="inlineStr">
        <is>
          <t>LOW</t>
        </is>
      </c>
      <c r="M148" s="29" t="inlineStr">
        <is>
          <t>LOW</t>
        </is>
      </c>
      <c r="N148" s="29" t="inlineStr">
        <is>
          <t>0.7105333333333335</t>
        </is>
      </c>
      <c r="O148" s="29" t="inlineStr">
        <is>
          <t>ATTRACTIVE</t>
        </is>
      </c>
      <c r="P148" s="29" t="inlineStr">
        <is>
          <t>가치 매력</t>
        </is>
      </c>
      <c r="Q148" s="29" t="inlineStr">
        <is>
          <t>ATTRACTIVE</t>
        </is>
      </c>
      <c r="R148" s="29" t="inlineStr">
        <is>
          <t>0.934708213344448</t>
        </is>
      </c>
      <c r="S148" s="29" t="inlineStr">
        <is>
          <t>HIGH</t>
        </is>
      </c>
      <c r="T148" s="29" t="inlineStr">
        <is>
          <t>HIGH</t>
        </is>
      </c>
      <c r="U148" s="29" t="inlineStr">
        <is>
          <t>0.0</t>
        </is>
      </c>
      <c r="V148" s="29" t="inlineStr">
        <is>
          <t>LOW_RISK</t>
        </is>
      </c>
      <c r="W148" s="29" t="inlineStr">
        <is>
          <t>저위험</t>
        </is>
      </c>
      <c r="X148" s="29" t="inlineStr">
        <is>
          <t>LOW_RISK</t>
        </is>
      </c>
      <c r="Y148" s="29" t="inlineStr">
        <is>
          <t>0.9411184099481913</t>
        </is>
      </c>
      <c r="Z148" s="29" t="inlineStr">
        <is>
          <t>HIGH</t>
        </is>
      </c>
      <c r="AA148" s="29" t="inlineStr">
        <is>
          <t>HIGH</t>
        </is>
      </c>
      <c r="AB148" s="29" t="inlineStr">
        <is>
          <t>0.11715633071246634</t>
        </is>
      </c>
      <c r="AC148" s="29" t="inlineStr">
        <is>
          <t>False</t>
        </is>
      </c>
      <c r="AD148" s="29" t="inlineStr">
        <is>
          <t>False</t>
        </is>
      </c>
      <c r="AE148" s="29" t="inlineStr">
        <is>
          <t>valuation_credit_ml_overlay_candidate.csv</t>
        </is>
      </c>
      <c r="AF148" s="29" t="inlineStr">
        <is>
          <t>208개 반도체 reference universe. Valuation Agent가 자체 intake 폴더로 복제해 Peer/ML/대시보드 비교에 사용.</t>
        </is>
      </c>
    </row>
    <row r="149" ht="24" customHeight="1">
      <c r="A149" s="24" t="inlineStr">
        <is>
          <t>112</t>
        </is>
      </c>
      <c r="B149" s="24" t="inlineStr">
        <is>
          <t>해당 없음</t>
        </is>
      </c>
      <c r="C149" s="24" t="inlineStr">
        <is>
          <t>케이씨</t>
        </is>
      </c>
      <c r="D149" s="24" t="inlineStr">
        <is>
          <t>029460</t>
        </is>
      </c>
      <c r="E149" s="24" t="inlineStr">
        <is>
          <t>KOSPI</t>
        </is>
      </c>
      <c r="F149" s="24" t="inlineStr">
        <is>
          <t>장비</t>
        </is>
      </c>
      <c r="G149" s="24" t="inlineStr">
        <is>
          <t>장비</t>
        </is>
      </c>
      <c r="H149" s="24" t="inlineStr">
        <is>
          <t>False</t>
        </is>
      </c>
      <c r="I149" s="24" t="inlineStr">
        <is>
          <t>True</t>
        </is>
      </c>
      <c r="J149" s="24" t="inlineStr">
        <is>
          <t>OK</t>
        </is>
      </c>
      <c r="K149" s="24" t="inlineStr">
        <is>
          <t>데이터 사용 가능</t>
        </is>
      </c>
      <c r="L149" s="24" t="inlineStr">
        <is>
          <t>LOW</t>
        </is>
      </c>
      <c r="M149" s="24" t="inlineStr">
        <is>
          <t>LOW</t>
        </is>
      </c>
      <c r="N149" s="24" t="inlineStr">
        <is>
          <t>0.7065333333333332</t>
        </is>
      </c>
      <c r="O149" s="24" t="inlineStr">
        <is>
          <t>ATTRACTIVE</t>
        </is>
      </c>
      <c r="P149" s="24" t="inlineStr">
        <is>
          <t>가치 매력</t>
        </is>
      </c>
      <c r="Q149" s="24" t="inlineStr">
        <is>
          <t>ATTRACTIVE</t>
        </is>
      </c>
      <c r="R149" s="24" t="inlineStr">
        <is>
          <t>0.9151708177015135</t>
        </is>
      </c>
      <c r="S149" s="24" t="inlineStr">
        <is>
          <t>HIGH</t>
        </is>
      </c>
      <c r="T149" s="24" t="inlineStr">
        <is>
          <t>HIGH</t>
        </is>
      </c>
      <c r="U149" s="24" t="inlineStr">
        <is>
          <t>0.0</t>
        </is>
      </c>
      <c r="V149" s="24" t="inlineStr">
        <is>
          <t>LOW_RISK</t>
        </is>
      </c>
      <c r="W149" s="24" t="inlineStr">
        <is>
          <t>저위험</t>
        </is>
      </c>
      <c r="X149" s="24" t="inlineStr">
        <is>
          <t>LOW_RISK</t>
        </is>
      </c>
      <c r="Y149" s="24" t="inlineStr">
        <is>
          <t>0.883115363364621</t>
        </is>
      </c>
      <c r="Z149" s="24" t="inlineStr">
        <is>
          <t>HIGH</t>
        </is>
      </c>
      <c r="AA149" s="24" t="inlineStr">
        <is>
          <t>HIGH</t>
        </is>
      </c>
      <c r="AB149" s="24" t="inlineStr">
        <is>
          <t>0.07036651203602409</t>
        </is>
      </c>
      <c r="AC149" s="24" t="inlineStr">
        <is>
          <t>False</t>
        </is>
      </c>
      <c r="AD149" s="24" t="inlineStr">
        <is>
          <t>False</t>
        </is>
      </c>
      <c r="AE149" s="24" t="inlineStr">
        <is>
          <t>valuation_credit_ml_overlay_candidate.csv</t>
        </is>
      </c>
      <c r="AF149" s="24" t="inlineStr">
        <is>
          <t>208개 반도체 reference universe. Valuation Agent가 자체 intake 폴더로 복제해 Peer/ML/대시보드 비교에 사용.</t>
        </is>
      </c>
    </row>
    <row r="150" ht="24" customHeight="1">
      <c r="A150" s="29" t="inlineStr">
        <is>
          <t>81</t>
        </is>
      </c>
      <c r="B150" s="29" t="inlineStr">
        <is>
          <t>해당 없음</t>
        </is>
      </c>
      <c r="C150" s="29" t="inlineStr">
        <is>
          <t>더코디</t>
        </is>
      </c>
      <c r="D150" s="29" t="inlineStr">
        <is>
          <t>224060</t>
        </is>
      </c>
      <c r="E150" s="29" t="inlineStr">
        <is>
          <t>KOSDAQ</t>
        </is>
      </c>
      <c r="F150" s="29" t="inlineStr">
        <is>
          <t>장비</t>
        </is>
      </c>
      <c r="G150" s="29" t="inlineStr">
        <is>
          <t>장비</t>
        </is>
      </c>
      <c r="H150" s="29" t="inlineStr">
        <is>
          <t>False</t>
        </is>
      </c>
      <c r="I150" s="29" t="inlineStr">
        <is>
          <t>True</t>
        </is>
      </c>
      <c r="J150" s="29" t="inlineStr">
        <is>
          <t>OK</t>
        </is>
      </c>
      <c r="K150" s="29" t="inlineStr">
        <is>
          <t>데이터 사용 가능</t>
        </is>
      </c>
      <c r="L150" s="29" t="inlineStr">
        <is>
          <t>LOW</t>
        </is>
      </c>
      <c r="M150" s="29" t="inlineStr">
        <is>
          <t>LOW</t>
        </is>
      </c>
      <c r="N150" s="29" t="inlineStr">
        <is>
          <t>0.6908666666666667</t>
        </is>
      </c>
      <c r="O150" s="29" t="inlineStr">
        <is>
          <t>FAIR</t>
        </is>
      </c>
      <c r="P150" s="29" t="inlineStr">
        <is>
          <t>FAIR</t>
        </is>
      </c>
      <c r="Q150" s="29" t="inlineStr">
        <is>
          <t>FAIR</t>
        </is>
      </c>
      <c r="R150" s="29" t="inlineStr">
        <is>
          <t>0.6613330626239345</t>
        </is>
      </c>
      <c r="S150" s="29" t="inlineStr">
        <is>
          <t>MEDIUM</t>
        </is>
      </c>
      <c r="T150" s="29" t="inlineStr">
        <is>
          <t>MEDIUM</t>
        </is>
      </c>
      <c r="U150" s="29" t="inlineStr">
        <is>
          <t>0.8571428571428571</t>
        </is>
      </c>
      <c r="V150" s="29" t="inlineStr">
        <is>
          <t>HIGH_RISK</t>
        </is>
      </c>
      <c r="W150" s="29" t="inlineStr">
        <is>
          <t>고위험</t>
        </is>
      </c>
      <c r="X150" s="29" t="inlineStr">
        <is>
          <t>HIGH_RISK</t>
        </is>
      </c>
      <c r="Y150" s="29" t="inlineStr">
        <is>
          <t>0.5690179270143122</t>
        </is>
      </c>
      <c r="Z150" s="29" t="inlineStr">
        <is>
          <t>MEDIUM</t>
        </is>
      </c>
      <c r="AA150" s="29" t="inlineStr">
        <is>
          <t>MEDIUM</t>
        </is>
      </c>
      <c r="AB150" s="29" t="inlineStr">
        <is>
          <t>0.3728446721783581</t>
        </is>
      </c>
      <c r="AC150" s="29" t="inlineStr">
        <is>
          <t>True</t>
        </is>
      </c>
      <c r="AD150" s="29" t="inlineStr">
        <is>
          <t>True</t>
        </is>
      </c>
      <c r="AE150" s="29" t="inlineStr">
        <is>
          <t>valuation_credit_ml_overlay_candidate.csv</t>
        </is>
      </c>
      <c r="AF150" s="29" t="inlineStr">
        <is>
          <t>208개 반도체 reference universe. Valuation Agent가 자체 intake 폴더로 복제해 Peer/ML/대시보드 비교에 사용.</t>
        </is>
      </c>
    </row>
    <row r="151" ht="24" customHeight="1">
      <c r="A151" s="24" t="inlineStr">
        <is>
          <t>76</t>
        </is>
      </c>
      <c r="B151" s="24" t="inlineStr">
        <is>
          <t>해당 없음</t>
        </is>
      </c>
      <c r="C151" s="24" t="inlineStr">
        <is>
          <t>KPX케미칼</t>
        </is>
      </c>
      <c r="D151" s="24" t="inlineStr">
        <is>
          <t>025000</t>
        </is>
      </c>
      <c r="E151" s="24" t="inlineStr">
        <is>
          <t>KOSPI</t>
        </is>
      </c>
      <c r="F151" s="24" t="inlineStr">
        <is>
          <t>장비</t>
        </is>
      </c>
      <c r="G151" s="24" t="inlineStr">
        <is>
          <t>장비</t>
        </is>
      </c>
      <c r="H151" s="24" t="inlineStr">
        <is>
          <t>False</t>
        </is>
      </c>
      <c r="I151" s="24" t="inlineStr">
        <is>
          <t>True</t>
        </is>
      </c>
      <c r="J151" s="24" t="inlineStr">
        <is>
          <t>OK</t>
        </is>
      </c>
      <c r="K151" s="24" t="inlineStr">
        <is>
          <t>데이터 사용 가능</t>
        </is>
      </c>
      <c r="L151" s="24" t="inlineStr">
        <is>
          <t>LOW</t>
        </is>
      </c>
      <c r="M151" s="24" t="inlineStr">
        <is>
          <t>LOW</t>
        </is>
      </c>
      <c r="N151" s="24" t="inlineStr">
        <is>
          <t>0.6876</t>
        </is>
      </c>
      <c r="O151" s="24" t="inlineStr">
        <is>
          <t>ATTRACTIVE</t>
        </is>
      </c>
      <c r="P151" s="24" t="inlineStr">
        <is>
          <t>가치 매력</t>
        </is>
      </c>
      <c r="Q151" s="24" t="inlineStr">
        <is>
          <t>ATTRACTIVE</t>
        </is>
      </c>
      <c r="R151" s="24" t="inlineStr">
        <is>
          <t>0.9091955435785402</t>
        </is>
      </c>
      <c r="S151" s="24" t="inlineStr">
        <is>
          <t>HIGH</t>
        </is>
      </c>
      <c r="T151" s="24" t="inlineStr">
        <is>
          <t>HIGH</t>
        </is>
      </c>
      <c r="U151" s="24" t="inlineStr">
        <is>
          <t>0.0</t>
        </is>
      </c>
      <c r="V151" s="24" t="inlineStr">
        <is>
          <t>LOW_RISK</t>
        </is>
      </c>
      <c r="W151" s="24" t="inlineStr">
        <is>
          <t>저위험</t>
        </is>
      </c>
      <c r="X151" s="24" t="inlineStr">
        <is>
          <t>LOW_RISK</t>
        </is>
      </c>
      <c r="Y151" s="24" t="inlineStr">
        <is>
          <t>0.9222174142026104</t>
        </is>
      </c>
      <c r="Z151" s="24" t="inlineStr">
        <is>
          <t>HIGH</t>
        </is>
      </c>
      <c r="AA151" s="24" t="inlineStr">
        <is>
          <t>HIGH</t>
        </is>
      </c>
      <c r="AB151" s="24" t="inlineStr">
        <is>
          <t>0.13901835477996793</t>
        </is>
      </c>
      <c r="AC151" s="24" t="inlineStr">
        <is>
          <t>False</t>
        </is>
      </c>
      <c r="AD151" s="24" t="inlineStr">
        <is>
          <t>False</t>
        </is>
      </c>
      <c r="AE151" s="24" t="inlineStr">
        <is>
          <t>valuation_credit_ml_overlay_candidate.csv</t>
        </is>
      </c>
      <c r="AF151" s="24" t="inlineStr">
        <is>
          <t>208개 반도체 reference universe. Valuation Agent가 자체 intake 폴더로 복제해 Peer/ML/대시보드 비교에 사용.</t>
        </is>
      </c>
    </row>
    <row r="152" ht="24" customHeight="1">
      <c r="A152" s="29" t="inlineStr">
        <is>
          <t>91</t>
        </is>
      </c>
      <c r="B152" s="29" t="inlineStr">
        <is>
          <t>해당 없음</t>
        </is>
      </c>
      <c r="C152" s="29" t="inlineStr">
        <is>
          <t>성도이엔지</t>
        </is>
      </c>
      <c r="D152" s="29" t="inlineStr">
        <is>
          <t>037350</t>
        </is>
      </c>
      <c r="E152" s="29" t="inlineStr">
        <is>
          <t>KOSDAQ</t>
        </is>
      </c>
      <c r="F152" s="29" t="inlineStr">
        <is>
          <t>장비</t>
        </is>
      </c>
      <c r="G152" s="29" t="inlineStr">
        <is>
          <t>장비</t>
        </is>
      </c>
      <c r="H152" s="29" t="inlineStr">
        <is>
          <t>False</t>
        </is>
      </c>
      <c r="I152" s="29" t="inlineStr">
        <is>
          <t>True</t>
        </is>
      </c>
      <c r="J152" s="29" t="inlineStr">
        <is>
          <t>OK</t>
        </is>
      </c>
      <c r="K152" s="29" t="inlineStr">
        <is>
          <t>데이터 사용 가능</t>
        </is>
      </c>
      <c r="L152" s="29" t="inlineStr">
        <is>
          <t>LOW</t>
        </is>
      </c>
      <c r="M152" s="29" t="inlineStr">
        <is>
          <t>LOW</t>
        </is>
      </c>
      <c r="N152" s="29" t="inlineStr">
        <is>
          <t>0.6874666666666667</t>
        </is>
      </c>
      <c r="O152" s="29" t="inlineStr">
        <is>
          <t>ATTRACTIVE</t>
        </is>
      </c>
      <c r="P152" s="29" t="inlineStr">
        <is>
          <t>가치 매력</t>
        </is>
      </c>
      <c r="Q152" s="29" t="inlineStr">
        <is>
          <t>ATTRACTIVE</t>
        </is>
      </c>
      <c r="R152" s="29" t="inlineStr">
        <is>
          <t>0.9250659167833418</t>
        </is>
      </c>
      <c r="S152" s="29" t="inlineStr">
        <is>
          <t>HIGH</t>
        </is>
      </c>
      <c r="T152" s="29" t="inlineStr">
        <is>
          <t>HIGH</t>
        </is>
      </c>
      <c r="U152" s="29" t="inlineStr">
        <is>
          <t>0.0</t>
        </is>
      </c>
      <c r="V152" s="29" t="inlineStr">
        <is>
          <t>LOW_RISK</t>
        </is>
      </c>
      <c r="W152" s="29" t="inlineStr">
        <is>
          <t>저위험</t>
        </is>
      </c>
      <c r="X152" s="29" t="inlineStr">
        <is>
          <t>LOW_RISK</t>
        </is>
      </c>
      <c r="Y152" s="29" t="inlineStr">
        <is>
          <t>0.7848826000183735</t>
        </is>
      </c>
      <c r="Z152" s="29" t="inlineStr">
        <is>
          <t>HIGH</t>
        </is>
      </c>
      <c r="AA152" s="29" t="inlineStr">
        <is>
          <t>HIGH</t>
        </is>
      </c>
      <c r="AB152" s="29" t="inlineStr">
        <is>
          <t>0.02320770424808947</t>
        </is>
      </c>
      <c r="AC152" s="29" t="inlineStr">
        <is>
          <t>False</t>
        </is>
      </c>
      <c r="AD152" s="29" t="inlineStr">
        <is>
          <t>False</t>
        </is>
      </c>
      <c r="AE152" s="29" t="inlineStr">
        <is>
          <t>valuation_credit_ml_overlay_candidate.csv</t>
        </is>
      </c>
      <c r="AF152" s="29" t="inlineStr">
        <is>
          <t>208개 반도체 reference universe. Valuation Agent가 자체 intake 폴더로 복제해 Peer/ML/대시보드 비교에 사용.</t>
        </is>
      </c>
    </row>
    <row r="153" ht="24" customHeight="1">
      <c r="A153" s="24" t="inlineStr">
        <is>
          <t>105</t>
        </is>
      </c>
      <c r="B153" s="24" t="inlineStr">
        <is>
          <t>해당 없음</t>
        </is>
      </c>
      <c r="C153" s="24" t="inlineStr">
        <is>
          <t>유니퀘스트</t>
        </is>
      </c>
      <c r="D153" s="24" t="inlineStr">
        <is>
          <t>077500</t>
        </is>
      </c>
      <c r="E153" s="24" t="inlineStr">
        <is>
          <t>KOSPI</t>
        </is>
      </c>
      <c r="F153" s="24" t="inlineStr">
        <is>
          <t>장비</t>
        </is>
      </c>
      <c r="G153" s="24" t="inlineStr">
        <is>
          <t>장비</t>
        </is>
      </c>
      <c r="H153" s="24" t="inlineStr">
        <is>
          <t>False</t>
        </is>
      </c>
      <c r="I153" s="24" t="inlineStr">
        <is>
          <t>True</t>
        </is>
      </c>
      <c r="J153" s="24" t="inlineStr">
        <is>
          <t>OK</t>
        </is>
      </c>
      <c r="K153" s="24" t="inlineStr">
        <is>
          <t>데이터 사용 가능</t>
        </is>
      </c>
      <c r="L153" s="24" t="inlineStr">
        <is>
          <t>LOW</t>
        </is>
      </c>
      <c r="M153" s="24" t="inlineStr">
        <is>
          <t>LOW</t>
        </is>
      </c>
      <c r="N153" s="24" t="inlineStr">
        <is>
          <t>0.6784</t>
        </is>
      </c>
      <c r="O153" s="24" t="inlineStr">
        <is>
          <t>ATTRACTIVE</t>
        </is>
      </c>
      <c r="P153" s="24" t="inlineStr">
        <is>
          <t>가치 매력</t>
        </is>
      </c>
      <c r="Q153" s="24" t="inlineStr">
        <is>
          <t>ATTRACTIVE</t>
        </is>
      </c>
      <c r="R153" s="24" t="inlineStr">
        <is>
          <t>0.8881603628406226</t>
        </is>
      </c>
      <c r="S153" s="24" t="inlineStr">
        <is>
          <t>HIGH</t>
        </is>
      </c>
      <c r="T153" s="24" t="inlineStr">
        <is>
          <t>HIGH</t>
        </is>
      </c>
      <c r="U153" s="24" t="inlineStr">
        <is>
          <t>0.0</t>
        </is>
      </c>
      <c r="V153" s="24" t="inlineStr">
        <is>
          <t>LOW_RISK</t>
        </is>
      </c>
      <c r="W153" s="24" t="inlineStr">
        <is>
          <t>저위험</t>
        </is>
      </c>
      <c r="X153" s="24" t="inlineStr">
        <is>
          <t>LOW_RISK</t>
        </is>
      </c>
      <c r="Y153" s="24" t="inlineStr">
        <is>
          <t>0.8138676885332061</t>
        </is>
      </c>
      <c r="Z153" s="24" t="inlineStr">
        <is>
          <t>HIGH</t>
        </is>
      </c>
      <c r="AA153" s="24" t="inlineStr">
        <is>
          <t>HIGH</t>
        </is>
      </c>
      <c r="AB153" s="24" t="inlineStr">
        <is>
          <t>0.042139285734196785</t>
        </is>
      </c>
      <c r="AC153" s="24" t="inlineStr">
        <is>
          <t>False</t>
        </is>
      </c>
      <c r="AD153" s="24" t="inlineStr">
        <is>
          <t>False</t>
        </is>
      </c>
      <c r="AE153" s="24" t="inlineStr">
        <is>
          <t>valuation_credit_ml_overlay_candidate.csv</t>
        </is>
      </c>
      <c r="AF153" s="24" t="inlineStr">
        <is>
          <t>208개 반도체 reference universe. Valuation Agent가 자체 intake 폴더로 복제해 Peer/ML/대시보드 비교에 사용.</t>
        </is>
      </c>
    </row>
    <row r="154" ht="24" customHeight="1">
      <c r="A154" s="29" t="inlineStr">
        <is>
          <t>123</t>
        </is>
      </c>
      <c r="B154" s="29" t="inlineStr">
        <is>
          <t>해당 없음</t>
        </is>
      </c>
      <c r="C154" s="29" t="inlineStr">
        <is>
          <t>한솔아이원스</t>
        </is>
      </c>
      <c r="D154" s="29" t="inlineStr">
        <is>
          <t>114810</t>
        </is>
      </c>
      <c r="E154" s="29" t="inlineStr">
        <is>
          <t>KOSDAQ</t>
        </is>
      </c>
      <c r="F154" s="29" t="inlineStr">
        <is>
          <t>장비</t>
        </is>
      </c>
      <c r="G154" s="29" t="inlineStr">
        <is>
          <t>장비</t>
        </is>
      </c>
      <c r="H154" s="29" t="inlineStr">
        <is>
          <t>False</t>
        </is>
      </c>
      <c r="I154" s="29" t="inlineStr">
        <is>
          <t>True</t>
        </is>
      </c>
      <c r="J154" s="29" t="inlineStr">
        <is>
          <t>OK</t>
        </is>
      </c>
      <c r="K154" s="29" t="inlineStr">
        <is>
          <t>데이터 사용 가능</t>
        </is>
      </c>
      <c r="L154" s="29" t="inlineStr">
        <is>
          <t>LOW</t>
        </is>
      </c>
      <c r="M154" s="29" t="inlineStr">
        <is>
          <t>LOW</t>
        </is>
      </c>
      <c r="N154" s="29" t="inlineStr">
        <is>
          <t>0.6648</t>
        </is>
      </c>
      <c r="O154" s="29" t="inlineStr">
        <is>
          <t>ATTRACTIVE</t>
        </is>
      </c>
      <c r="P154" s="29" t="inlineStr">
        <is>
          <t>가치 매력</t>
        </is>
      </c>
      <c r="Q154" s="29" t="inlineStr">
        <is>
          <t>ATTRACTIVE</t>
        </is>
      </c>
      <c r="R154" s="29" t="inlineStr">
        <is>
          <t>0.9031428820161691</t>
        </is>
      </c>
      <c r="S154" s="29" t="inlineStr">
        <is>
          <t>HIGH</t>
        </is>
      </c>
      <c r="T154" s="29" t="inlineStr">
        <is>
          <t>HIGH</t>
        </is>
      </c>
      <c r="U154" s="29" t="inlineStr">
        <is>
          <t>0.1428571428571428</t>
        </is>
      </c>
      <c r="V154" s="29" t="inlineStr">
        <is>
          <t>LOW_RISK</t>
        </is>
      </c>
      <c r="W154" s="29" t="inlineStr">
        <is>
          <t>저위험</t>
        </is>
      </c>
      <c r="X154" s="29" t="inlineStr">
        <is>
          <t>LOW_RISK</t>
        </is>
      </c>
      <c r="Y154" s="29" t="inlineStr">
        <is>
          <t>0.8626763542915618</t>
        </is>
      </c>
      <c r="Z154" s="29" t="inlineStr">
        <is>
          <t>HIGH</t>
        </is>
      </c>
      <c r="AA154" s="29" t="inlineStr">
        <is>
          <t>HIGH</t>
        </is>
      </c>
      <c r="AB154" s="29" t="inlineStr">
        <is>
          <t>0.040357003305963514</t>
        </is>
      </c>
      <c r="AC154" s="29" t="inlineStr">
        <is>
          <t>False</t>
        </is>
      </c>
      <c r="AD154" s="29" t="inlineStr">
        <is>
          <t>False</t>
        </is>
      </c>
      <c r="AE154" s="29" t="inlineStr">
        <is>
          <t>valuation_credit_ml_overlay_candidate.csv</t>
        </is>
      </c>
      <c r="AF154" s="29" t="inlineStr">
        <is>
          <t>208개 반도체 reference universe. Valuation Agent가 자체 intake 폴더로 복제해 Peer/ML/대시보드 비교에 사용.</t>
        </is>
      </c>
    </row>
    <row r="155" ht="24" customHeight="1">
      <c r="A155" s="24" t="inlineStr">
        <is>
          <t>74</t>
        </is>
      </c>
      <c r="B155" s="24" t="inlineStr">
        <is>
          <t>해당 없음</t>
        </is>
      </c>
      <c r="C155" s="24" t="inlineStr">
        <is>
          <t>GST</t>
        </is>
      </c>
      <c r="D155" s="24" t="inlineStr">
        <is>
          <t>083450</t>
        </is>
      </c>
      <c r="E155" s="24" t="inlineStr">
        <is>
          <t>KOSDAQ</t>
        </is>
      </c>
      <c r="F155" s="24" t="inlineStr">
        <is>
          <t>장비</t>
        </is>
      </c>
      <c r="G155" s="24" t="inlineStr">
        <is>
          <t>장비</t>
        </is>
      </c>
      <c r="H155" s="24" t="inlineStr">
        <is>
          <t>False</t>
        </is>
      </c>
      <c r="I155" s="24" t="inlineStr">
        <is>
          <t>True</t>
        </is>
      </c>
      <c r="J155" s="24" t="inlineStr">
        <is>
          <t>OK</t>
        </is>
      </c>
      <c r="K155" s="24" t="inlineStr">
        <is>
          <t>데이터 사용 가능</t>
        </is>
      </c>
      <c r="L155" s="24" t="inlineStr">
        <is>
          <t>LOW</t>
        </is>
      </c>
      <c r="M155" s="24" t="inlineStr">
        <is>
          <t>LOW</t>
        </is>
      </c>
      <c r="N155" s="24" t="inlineStr">
        <is>
          <t>0.6474666666666666</t>
        </is>
      </c>
      <c r="O155" s="24" t="inlineStr">
        <is>
          <t>ATTRACTIVE</t>
        </is>
      </c>
      <c r="P155" s="24" t="inlineStr">
        <is>
          <t>가치 매력</t>
        </is>
      </c>
      <c r="Q155" s="24" t="inlineStr">
        <is>
          <t>ATTRACTIVE</t>
        </is>
      </c>
      <c r="R155" s="24" t="inlineStr">
        <is>
          <t>0.900491542853433</t>
        </is>
      </c>
      <c r="S155" s="24" t="inlineStr">
        <is>
          <t>HIGH</t>
        </is>
      </c>
      <c r="T155" s="24" t="inlineStr">
        <is>
          <t>HIGH</t>
        </is>
      </c>
      <c r="U155" s="24" t="inlineStr">
        <is>
          <t>0.0</t>
        </is>
      </c>
      <c r="V155" s="24" t="inlineStr">
        <is>
          <t>LOW_RISK</t>
        </is>
      </c>
      <c r="W155" s="24" t="inlineStr">
        <is>
          <t>저위험</t>
        </is>
      </c>
      <c r="X155" s="24" t="inlineStr">
        <is>
          <t>LOW_RISK</t>
        </is>
      </c>
      <c r="Y155" s="24" t="inlineStr">
        <is>
          <t>0.9914514013000448</t>
        </is>
      </c>
      <c r="Z155" s="24" t="inlineStr">
        <is>
          <t>HIGH</t>
        </is>
      </c>
      <c r="AA155" s="24" t="inlineStr">
        <is>
          <t>HIGH</t>
        </is>
      </c>
      <c r="AB155" s="24" t="inlineStr">
        <is>
          <t>0.030956097033645616</t>
        </is>
      </c>
      <c r="AC155" s="24" t="inlineStr">
        <is>
          <t>False</t>
        </is>
      </c>
      <c r="AD155" s="24" t="inlineStr">
        <is>
          <t>False</t>
        </is>
      </c>
      <c r="AE155" s="24" t="inlineStr">
        <is>
          <t>valuation_credit_ml_overlay_candidate.csv</t>
        </is>
      </c>
      <c r="AF155" s="24" t="inlineStr">
        <is>
          <t>208개 반도체 reference universe. Valuation Agent가 자체 intake 폴더로 복제해 Peer/ML/대시보드 비교에 사용.</t>
        </is>
      </c>
    </row>
    <row r="156" ht="24" customHeight="1">
      <c r="A156" s="29" t="inlineStr">
        <is>
          <t>117</t>
        </is>
      </c>
      <c r="B156" s="29" t="inlineStr">
        <is>
          <t>해당 없음</t>
        </is>
      </c>
      <c r="C156" s="29" t="inlineStr">
        <is>
          <t>티이엠씨씨엔에스</t>
        </is>
      </c>
      <c r="D156" s="29" t="inlineStr">
        <is>
          <t>241790</t>
        </is>
      </c>
      <c r="E156" s="29" t="inlineStr">
        <is>
          <t>KOSDAQ</t>
        </is>
      </c>
      <c r="F156" s="29" t="inlineStr">
        <is>
          <t>장비</t>
        </is>
      </c>
      <c r="G156" s="29" t="inlineStr">
        <is>
          <t>장비</t>
        </is>
      </c>
      <c r="H156" s="29" t="inlineStr">
        <is>
          <t>False</t>
        </is>
      </c>
      <c r="I156" s="29" t="inlineStr">
        <is>
          <t>True</t>
        </is>
      </c>
      <c r="J156" s="29" t="inlineStr">
        <is>
          <t>OK</t>
        </is>
      </c>
      <c r="K156" s="29" t="inlineStr">
        <is>
          <t>데이터 사용 가능</t>
        </is>
      </c>
      <c r="L156" s="29" t="inlineStr">
        <is>
          <t>LOW</t>
        </is>
      </c>
      <c r="M156" s="29" t="inlineStr">
        <is>
          <t>LOW</t>
        </is>
      </c>
      <c r="N156" s="29" t="inlineStr">
        <is>
          <t>0.6393333333333333</t>
        </is>
      </c>
      <c r="O156" s="29" t="inlineStr">
        <is>
          <t>ATTRACTIVE</t>
        </is>
      </c>
      <c r="P156" s="29" t="inlineStr">
        <is>
          <t>가치 매력</t>
        </is>
      </c>
      <c r="Q156" s="29" t="inlineStr">
        <is>
          <t>ATTRACTIVE</t>
        </is>
      </c>
      <c r="R156" s="29" t="inlineStr">
        <is>
          <t>0.8915695356337118</t>
        </is>
      </c>
      <c r="S156" s="29" t="inlineStr">
        <is>
          <t>HIGH</t>
        </is>
      </c>
      <c r="T156" s="29" t="inlineStr">
        <is>
          <t>HIGH</t>
        </is>
      </c>
      <c r="U156" s="29" t="inlineStr">
        <is>
          <t>0.0714285714285714</t>
        </is>
      </c>
      <c r="V156" s="29" t="inlineStr">
        <is>
          <t>LOW_RISK</t>
        </is>
      </c>
      <c r="W156" s="29" t="inlineStr">
        <is>
          <t>저위험</t>
        </is>
      </c>
      <c r="X156" s="29" t="inlineStr">
        <is>
          <t>LOW_RISK</t>
        </is>
      </c>
      <c r="Y156" s="29" t="inlineStr">
        <is>
          <t>0.8390932561788113</t>
        </is>
      </c>
      <c r="Z156" s="29" t="inlineStr">
        <is>
          <t>HIGH</t>
        </is>
      </c>
      <c r="AA156" s="29" t="inlineStr">
        <is>
          <t>HIGH</t>
        </is>
      </c>
      <c r="AB156" s="29" t="inlineStr">
        <is>
          <t>0.02833353868990863</t>
        </is>
      </c>
      <c r="AC156" s="29" t="inlineStr">
        <is>
          <t>False</t>
        </is>
      </c>
      <c r="AD156" s="29" t="inlineStr">
        <is>
          <t>False</t>
        </is>
      </c>
      <c r="AE156" s="29" t="inlineStr">
        <is>
          <t>valuation_credit_ml_overlay_candidate.csv</t>
        </is>
      </c>
      <c r="AF156" s="29" t="inlineStr">
        <is>
          <t>208개 반도체 reference universe. Valuation Agent가 자체 intake 폴더로 복제해 Peer/ML/대시보드 비교에 사용.</t>
        </is>
      </c>
    </row>
    <row r="157" ht="24" customHeight="1">
      <c r="A157" s="24" t="inlineStr">
        <is>
          <t>82</t>
        </is>
      </c>
      <c r="B157" s="24" t="inlineStr">
        <is>
          <t>해당 없음</t>
        </is>
      </c>
      <c r="C157" s="24" t="inlineStr">
        <is>
          <t>디아이티</t>
        </is>
      </c>
      <c r="D157" s="24" t="inlineStr">
        <is>
          <t>110990</t>
        </is>
      </c>
      <c r="E157" s="24" t="inlineStr">
        <is>
          <t>KOSDAQ</t>
        </is>
      </c>
      <c r="F157" s="24" t="inlineStr">
        <is>
          <t>장비</t>
        </is>
      </c>
      <c r="G157" s="24" t="inlineStr">
        <is>
          <t>장비</t>
        </is>
      </c>
      <c r="H157" s="24" t="inlineStr">
        <is>
          <t>False</t>
        </is>
      </c>
      <c r="I157" s="24" t="inlineStr">
        <is>
          <t>True</t>
        </is>
      </c>
      <c r="J157" s="24" t="inlineStr">
        <is>
          <t>OK</t>
        </is>
      </c>
      <c r="K157" s="24" t="inlineStr">
        <is>
          <t>데이터 사용 가능</t>
        </is>
      </c>
      <c r="L157" s="24" t="inlineStr">
        <is>
          <t>LOW</t>
        </is>
      </c>
      <c r="M157" s="24" t="inlineStr">
        <is>
          <t>LOW</t>
        </is>
      </c>
      <c r="N157" s="24" t="inlineStr">
        <is>
          <t>0.6341333333333333</t>
        </is>
      </c>
      <c r="O157" s="24" t="inlineStr">
        <is>
          <t>ATTRACTIVE</t>
        </is>
      </c>
      <c r="P157" s="24" t="inlineStr">
        <is>
          <t>가치 매력</t>
        </is>
      </c>
      <c r="Q157" s="24" t="inlineStr">
        <is>
          <t>ATTRACTIVE</t>
        </is>
      </c>
      <c r="R157" s="24" t="inlineStr">
        <is>
          <t>0.8847780199048246</t>
        </is>
      </c>
      <c r="S157" s="24" t="inlineStr">
        <is>
          <t>HIGH</t>
        </is>
      </c>
      <c r="T157" s="24" t="inlineStr">
        <is>
          <t>HIGH</t>
        </is>
      </c>
      <c r="U157" s="24" t="inlineStr">
        <is>
          <t>0.0</t>
        </is>
      </c>
      <c r="V157" s="24" t="inlineStr">
        <is>
          <t>LOW_RISK</t>
        </is>
      </c>
      <c r="W157" s="24" t="inlineStr">
        <is>
          <t>저위험</t>
        </is>
      </c>
      <c r="X157" s="24" t="inlineStr">
        <is>
          <t>LOW_RISK</t>
        </is>
      </c>
      <c r="Y157" s="24" t="inlineStr">
        <is>
          <t>0.9680387620928</t>
        </is>
      </c>
      <c r="Z157" s="24" t="inlineStr">
        <is>
          <t>HIGH</t>
        </is>
      </c>
      <c r="AA157" s="24" t="inlineStr">
        <is>
          <t>HIGH</t>
        </is>
      </c>
      <c r="AB157" s="24" t="inlineStr">
        <is>
          <t>0.10339551954594055</t>
        </is>
      </c>
      <c r="AC157" s="24" t="inlineStr">
        <is>
          <t>False</t>
        </is>
      </c>
      <c r="AD157" s="24" t="inlineStr">
        <is>
          <t>False</t>
        </is>
      </c>
      <c r="AE157" s="24" t="inlineStr">
        <is>
          <t>valuation_credit_ml_overlay_candidate.csv</t>
        </is>
      </c>
      <c r="AF157" s="24" t="inlineStr">
        <is>
          <t>208개 반도체 reference universe. Valuation Agent가 자체 intake 폴더로 복제해 Peer/ML/대시보드 비교에 사용.</t>
        </is>
      </c>
    </row>
    <row r="158" ht="24" customHeight="1">
      <c r="A158" s="29" t="inlineStr">
        <is>
          <t>113</t>
        </is>
      </c>
      <c r="B158" s="29" t="inlineStr">
        <is>
          <t>해당 없음</t>
        </is>
      </c>
      <c r="C158" s="29" t="inlineStr">
        <is>
          <t>케이씨텍</t>
        </is>
      </c>
      <c r="D158" s="29" t="inlineStr">
        <is>
          <t>281820</t>
        </is>
      </c>
      <c r="E158" s="29" t="inlineStr">
        <is>
          <t>KOSPI</t>
        </is>
      </c>
      <c r="F158" s="29" t="inlineStr">
        <is>
          <t>장비</t>
        </is>
      </c>
      <c r="G158" s="29" t="inlineStr">
        <is>
          <t>장비</t>
        </is>
      </c>
      <c r="H158" s="29" t="inlineStr">
        <is>
          <t>False</t>
        </is>
      </c>
      <c r="I158" s="29" t="inlineStr">
        <is>
          <t>True</t>
        </is>
      </c>
      <c r="J158" s="29" t="inlineStr">
        <is>
          <t>OK</t>
        </is>
      </c>
      <c r="K158" s="29" t="inlineStr">
        <is>
          <t>데이터 사용 가능</t>
        </is>
      </c>
      <c r="L158" s="29" t="inlineStr">
        <is>
          <t>LOW</t>
        </is>
      </c>
      <c r="M158" s="29" t="inlineStr">
        <is>
          <t>LOW</t>
        </is>
      </c>
      <c r="N158" s="29" t="inlineStr">
        <is>
          <t>0.6314666666666666</t>
        </is>
      </c>
      <c r="O158" s="29" t="inlineStr">
        <is>
          <t>ATTRACTIVE</t>
        </is>
      </c>
      <c r="P158" s="29" t="inlineStr">
        <is>
          <t>가치 매력</t>
        </is>
      </c>
      <c r="Q158" s="29" t="inlineStr">
        <is>
          <t>ATTRACTIVE</t>
        </is>
      </c>
      <c r="R158" s="29" t="inlineStr">
        <is>
          <t>0.8895261430914092</t>
        </is>
      </c>
      <c r="S158" s="29" t="inlineStr">
        <is>
          <t>HIGH</t>
        </is>
      </c>
      <c r="T158" s="29" t="inlineStr">
        <is>
          <t>HIGH</t>
        </is>
      </c>
      <c r="U158" s="29" t="inlineStr">
        <is>
          <t>0.0</t>
        </is>
      </c>
      <c r="V158" s="29" t="inlineStr">
        <is>
          <t>LOW_RISK</t>
        </is>
      </c>
      <c r="W158" s="29" t="inlineStr">
        <is>
          <t>저위험</t>
        </is>
      </c>
      <c r="X158" s="29" t="inlineStr">
        <is>
          <t>LOW_RISK</t>
        </is>
      </c>
      <c r="Y158" s="29" t="inlineStr">
        <is>
          <t>0.9840164809601727</t>
        </is>
      </c>
      <c r="Z158" s="29" t="inlineStr">
        <is>
          <t>HIGH</t>
        </is>
      </c>
      <c r="AA158" s="29" t="inlineStr">
        <is>
          <t>HIGH</t>
        </is>
      </c>
      <c r="AB158" s="29" t="inlineStr">
        <is>
          <t>0.08604596455969397</t>
        </is>
      </c>
      <c r="AC158" s="29" t="inlineStr">
        <is>
          <t>False</t>
        </is>
      </c>
      <c r="AD158" s="29" t="inlineStr">
        <is>
          <t>False</t>
        </is>
      </c>
      <c r="AE158" s="29" t="inlineStr">
        <is>
          <t>valuation_credit_ml_overlay_candidate.csv</t>
        </is>
      </c>
      <c r="AF158" s="29" t="inlineStr">
        <is>
          <t>208개 반도체 reference universe. Valuation Agent가 자체 intake 폴더로 복제해 Peer/ML/대시보드 비교에 사용.</t>
        </is>
      </c>
    </row>
    <row r="159" ht="24" customHeight="1">
      <c r="A159" s="24" t="inlineStr">
        <is>
          <t>85</t>
        </is>
      </c>
      <c r="B159" s="24" t="inlineStr">
        <is>
          <t>해당 없음</t>
        </is>
      </c>
      <c r="C159" s="24" t="inlineStr">
        <is>
          <t>로체시스템즈</t>
        </is>
      </c>
      <c r="D159" s="24" t="inlineStr">
        <is>
          <t>071280</t>
        </is>
      </c>
      <c r="E159" s="24" t="inlineStr">
        <is>
          <t>KOSDAQ</t>
        </is>
      </c>
      <c r="F159" s="24" t="inlineStr">
        <is>
          <t>장비</t>
        </is>
      </c>
      <c r="G159" s="24" t="inlineStr">
        <is>
          <t>장비</t>
        </is>
      </c>
      <c r="H159" s="24" t="inlineStr">
        <is>
          <t>False</t>
        </is>
      </c>
      <c r="I159" s="24" t="inlineStr">
        <is>
          <t>True</t>
        </is>
      </c>
      <c r="J159" s="24" t="inlineStr">
        <is>
          <t>OK</t>
        </is>
      </c>
      <c r="K159" s="24" t="inlineStr">
        <is>
          <t>데이터 사용 가능</t>
        </is>
      </c>
      <c r="L159" s="24" t="inlineStr">
        <is>
          <t>LOW</t>
        </is>
      </c>
      <c r="M159" s="24" t="inlineStr">
        <is>
          <t>LOW</t>
        </is>
      </c>
      <c r="N159" s="24" t="inlineStr">
        <is>
          <t>0.6258666666666667</t>
        </is>
      </c>
      <c r="O159" s="24" t="inlineStr">
        <is>
          <t>ATTRACTIVE</t>
        </is>
      </c>
      <c r="P159" s="24" t="inlineStr">
        <is>
          <t>가치 매력</t>
        </is>
      </c>
      <c r="Q159" s="24" t="inlineStr">
        <is>
          <t>ATTRACTIVE</t>
        </is>
      </c>
      <c r="R159" s="24" t="inlineStr">
        <is>
          <t>0.9642438845844894</t>
        </is>
      </c>
      <c r="S159" s="24" t="inlineStr">
        <is>
          <t>HIGH</t>
        </is>
      </c>
      <c r="T159" s="24" t="inlineStr">
        <is>
          <t>HIGH</t>
        </is>
      </c>
      <c r="U159" s="24" t="inlineStr">
        <is>
          <t>0.0714285714285714</t>
        </is>
      </c>
      <c r="V159" s="24" t="inlineStr">
        <is>
          <t>LOW_RISK</t>
        </is>
      </c>
      <c r="W159" s="24" t="inlineStr">
        <is>
          <t>저위험</t>
        </is>
      </c>
      <c r="X159" s="24" t="inlineStr">
        <is>
          <t>LOW_RISK</t>
        </is>
      </c>
      <c r="Y159" s="24" t="inlineStr">
        <is>
          <t>0.865361141095959</t>
        </is>
      </c>
      <c r="Z159" s="24" t="inlineStr">
        <is>
          <t>HIGH</t>
        </is>
      </c>
      <c r="AA159" s="24" t="inlineStr">
        <is>
          <t>HIGH</t>
        </is>
      </c>
      <c r="AB159" s="24" t="inlineStr">
        <is>
          <t>0.12835380231692475</t>
        </is>
      </c>
      <c r="AC159" s="24" t="inlineStr">
        <is>
          <t>False</t>
        </is>
      </c>
      <c r="AD159" s="24" t="inlineStr">
        <is>
          <t>False</t>
        </is>
      </c>
      <c r="AE159" s="24" t="inlineStr">
        <is>
          <t>valuation_credit_ml_overlay_candidate.csv</t>
        </is>
      </c>
      <c r="AF159" s="24" t="inlineStr">
        <is>
          <t>208개 반도체 reference universe. Valuation Agent가 자체 intake 폴더로 복제해 Peer/ML/대시보드 비교에 사용.</t>
        </is>
      </c>
    </row>
    <row r="160" ht="24" customHeight="1">
      <c r="A160" s="29" t="inlineStr">
        <is>
          <t>95</t>
        </is>
      </c>
      <c r="B160" s="29" t="inlineStr">
        <is>
          <t>해당 없음</t>
        </is>
      </c>
      <c r="C160" s="29" t="inlineStr">
        <is>
          <t>아이씨디</t>
        </is>
      </c>
      <c r="D160" s="29" t="inlineStr">
        <is>
          <t>040910</t>
        </is>
      </c>
      <c r="E160" s="29" t="inlineStr">
        <is>
          <t>KOSDAQ</t>
        </is>
      </c>
      <c r="F160" s="29" t="inlineStr">
        <is>
          <t>장비</t>
        </is>
      </c>
      <c r="G160" s="29" t="inlineStr">
        <is>
          <t>장비</t>
        </is>
      </c>
      <c r="H160" s="29" t="inlineStr">
        <is>
          <t>False</t>
        </is>
      </c>
      <c r="I160" s="29" t="inlineStr">
        <is>
          <t>True</t>
        </is>
      </c>
      <c r="J160" s="29" t="inlineStr">
        <is>
          <t>OK</t>
        </is>
      </c>
      <c r="K160" s="29" t="inlineStr">
        <is>
          <t>데이터 사용 가능</t>
        </is>
      </c>
      <c r="L160" s="29" t="inlineStr">
        <is>
          <t>LOW</t>
        </is>
      </c>
      <c r="M160" s="29" t="inlineStr">
        <is>
          <t>LOW</t>
        </is>
      </c>
      <c r="N160" s="29" t="inlineStr">
        <is>
          <t>0.6158666666666667</t>
        </is>
      </c>
      <c r="O160" s="29" t="inlineStr">
        <is>
          <t>FAIR</t>
        </is>
      </c>
      <c r="P160" s="29" t="inlineStr">
        <is>
          <t>FAIR</t>
        </is>
      </c>
      <c r="Q160" s="29" t="inlineStr">
        <is>
          <t>FAIR</t>
        </is>
      </c>
      <c r="R160" s="29" t="inlineStr">
        <is>
          <t>0.692546582663732</t>
        </is>
      </c>
      <c r="S160" s="29" t="inlineStr">
        <is>
          <t>MEDIUM</t>
        </is>
      </c>
      <c r="T160" s="29" t="inlineStr">
        <is>
          <t>MEDIUM</t>
        </is>
      </c>
      <c r="U160" s="29" t="inlineStr">
        <is>
          <t>0.0714285714285714</t>
        </is>
      </c>
      <c r="V160" s="29" t="inlineStr">
        <is>
          <t>LOW_RISK</t>
        </is>
      </c>
      <c r="W160" s="29" t="inlineStr">
        <is>
          <t>저위험</t>
        </is>
      </c>
      <c r="X160" s="29" t="inlineStr">
        <is>
          <t>LOW_RISK</t>
        </is>
      </c>
      <c r="Y160" s="29" t="inlineStr">
        <is>
          <t>0.44849044524296083</t>
        </is>
      </c>
      <c r="Z160" s="29" t="inlineStr">
        <is>
          <t>LOW</t>
        </is>
      </c>
      <c r="AA160" s="29" t="inlineStr">
        <is>
          <t>LOW</t>
        </is>
      </c>
      <c r="AB160" s="29" t="inlineStr">
        <is>
          <t>0.036739402266510075</t>
        </is>
      </c>
      <c r="AC160" s="29" t="inlineStr">
        <is>
          <t>False</t>
        </is>
      </c>
      <c r="AD160" s="29" t="inlineStr">
        <is>
          <t>True</t>
        </is>
      </c>
      <c r="AE160" s="29" t="inlineStr">
        <is>
          <t>valuation_credit_ml_overlay_candidate.csv</t>
        </is>
      </c>
      <c r="AF160" s="29" t="inlineStr">
        <is>
          <t>208개 반도체 reference universe. Valuation Agent가 자체 intake 폴더로 복제해 Peer/ML/대시보드 비교에 사용.</t>
        </is>
      </c>
    </row>
    <row r="161" ht="24" customHeight="1">
      <c r="A161" s="24" t="inlineStr">
        <is>
          <t>96</t>
        </is>
      </c>
      <c r="B161" s="24" t="inlineStr">
        <is>
          <t>해당 없음</t>
        </is>
      </c>
      <c r="C161" s="24" t="inlineStr">
        <is>
          <t>에스에프에이</t>
        </is>
      </c>
      <c r="D161" s="24" t="inlineStr">
        <is>
          <t>056190</t>
        </is>
      </c>
      <c r="E161" s="24" t="inlineStr">
        <is>
          <t>KOSDAQ GLOBAL</t>
        </is>
      </c>
      <c r="F161" s="24" t="inlineStr">
        <is>
          <t>장비</t>
        </is>
      </c>
      <c r="G161" s="24" t="inlineStr">
        <is>
          <t>장비</t>
        </is>
      </c>
      <c r="H161" s="24" t="inlineStr">
        <is>
          <t>False</t>
        </is>
      </c>
      <c r="I161" s="24" t="inlineStr">
        <is>
          <t>True</t>
        </is>
      </c>
      <c r="J161" s="24" t="inlineStr">
        <is>
          <t>OK</t>
        </is>
      </c>
      <c r="K161" s="24" t="inlineStr">
        <is>
          <t>데이터 사용 가능</t>
        </is>
      </c>
      <c r="L161" s="24" t="inlineStr">
        <is>
          <t>LOW</t>
        </is>
      </c>
      <c r="M161" s="24" t="inlineStr">
        <is>
          <t>LOW</t>
        </is>
      </c>
      <c r="N161" s="24" t="inlineStr">
        <is>
          <t>0.6098666666666667</t>
        </is>
      </c>
      <c r="O161" s="24" t="inlineStr">
        <is>
          <t>ATTRACTIVE</t>
        </is>
      </c>
      <c r="P161" s="24" t="inlineStr">
        <is>
          <t>가치 매력</t>
        </is>
      </c>
      <c r="Q161" s="24" t="inlineStr">
        <is>
          <t>ATTRACTIVE</t>
        </is>
      </c>
      <c r="R161" s="24" t="inlineStr">
        <is>
          <t>0.8690882589557657</t>
        </is>
      </c>
      <c r="S161" s="24" t="inlineStr">
        <is>
          <t>HIGH</t>
        </is>
      </c>
      <c r="T161" s="24" t="inlineStr">
        <is>
          <t>HIGH</t>
        </is>
      </c>
      <c r="U161" s="24" t="inlineStr">
        <is>
          <t>0.0</t>
        </is>
      </c>
      <c r="V161" s="24" t="inlineStr">
        <is>
          <t>LOW_RISK</t>
        </is>
      </c>
      <c r="W161" s="24" t="inlineStr">
        <is>
          <t>저위험</t>
        </is>
      </c>
      <c r="X161" s="24" t="inlineStr">
        <is>
          <t>LOW_RISK</t>
        </is>
      </c>
      <c r="Y161" s="24" t="inlineStr">
        <is>
          <t>0.9436125736629892</t>
        </is>
      </c>
      <c r="Z161" s="24" t="inlineStr">
        <is>
          <t>HIGH</t>
        </is>
      </c>
      <c r="AA161" s="24" t="inlineStr">
        <is>
          <t>HIGH</t>
        </is>
      </c>
      <c r="AB161" s="24" t="inlineStr">
        <is>
          <t>0.014784178233183152</t>
        </is>
      </c>
      <c r="AC161" s="24" t="inlineStr">
        <is>
          <t>False</t>
        </is>
      </c>
      <c r="AD161" s="24" t="inlineStr">
        <is>
          <t>False</t>
        </is>
      </c>
      <c r="AE161" s="24" t="inlineStr">
        <is>
          <t>valuation_credit_ml_overlay_candidate.csv</t>
        </is>
      </c>
      <c r="AF161" s="24" t="inlineStr">
        <is>
          <t>208개 반도체 reference universe. Valuation Agent가 자체 intake 폴더로 복제해 Peer/ML/대시보드 비교에 사용.</t>
        </is>
      </c>
    </row>
    <row r="162" ht="24" customHeight="1">
      <c r="A162" s="29" t="inlineStr">
        <is>
          <t>89</t>
        </is>
      </c>
      <c r="B162" s="29" t="inlineStr">
        <is>
          <t>해당 없음</t>
        </is>
      </c>
      <c r="C162" s="29" t="inlineStr">
        <is>
          <t>삼양엔씨켐</t>
        </is>
      </c>
      <c r="D162" s="29" t="inlineStr">
        <is>
          <t>482630</t>
        </is>
      </c>
      <c r="E162" s="29" t="inlineStr">
        <is>
          <t>KOSDAQ</t>
        </is>
      </c>
      <c r="F162" s="29" t="inlineStr">
        <is>
          <t>장비</t>
        </is>
      </c>
      <c r="G162" s="29" t="inlineStr">
        <is>
          <t>장비</t>
        </is>
      </c>
      <c r="H162" s="29" t="inlineStr">
        <is>
          <t>False</t>
        </is>
      </c>
      <c r="I162" s="29" t="inlineStr">
        <is>
          <t>True</t>
        </is>
      </c>
      <c r="J162" s="29" t="inlineStr">
        <is>
          <t>OK_LIMITED_HISTORY_OR_GROWTH_NA</t>
        </is>
      </c>
      <c r="K162" s="29" t="inlineStr">
        <is>
          <t>데이터 사용 가능</t>
        </is>
      </c>
      <c r="L162" s="29" t="inlineStr">
        <is>
          <t>LOW</t>
        </is>
      </c>
      <c r="M162" s="29" t="inlineStr">
        <is>
          <t>LOW</t>
        </is>
      </c>
      <c r="N162" s="29" t="inlineStr">
        <is>
          <t>0.5993333333333333</t>
        </is>
      </c>
      <c r="O162" s="29" t="inlineStr">
        <is>
          <t>ATTRACTIVE</t>
        </is>
      </c>
      <c r="P162" s="29" t="inlineStr">
        <is>
          <t>가치 매력</t>
        </is>
      </c>
      <c r="Q162" s="29" t="inlineStr">
        <is>
          <t>ATTRACTIVE</t>
        </is>
      </c>
      <c r="R162" s="29" t="inlineStr">
        <is>
          <t>0.6408467710997098</t>
        </is>
      </c>
      <c r="S162" s="29" t="inlineStr">
        <is>
          <t>MEDIUM</t>
        </is>
      </c>
      <c r="T162" s="29" t="inlineStr">
        <is>
          <t>MEDIUM</t>
        </is>
      </c>
      <c r="U162" s="29" t="inlineStr">
        <is>
          <t>0.0714285714285714</t>
        </is>
      </c>
      <c r="V162" s="29" t="inlineStr">
        <is>
          <t>LOW_RISK</t>
        </is>
      </c>
      <c r="W162" s="29" t="inlineStr">
        <is>
          <t>저위험</t>
        </is>
      </c>
      <c r="X162" s="29" t="inlineStr">
        <is>
          <t>LOW_RISK</t>
        </is>
      </c>
      <c r="Y162" s="29" t="inlineStr">
        <is>
          <t>0.9401160844253347</t>
        </is>
      </c>
      <c r="Z162" s="29" t="inlineStr">
        <is>
          <t>HIGH</t>
        </is>
      </c>
      <c r="AA162" s="29" t="inlineStr">
        <is>
          <t>HIGH</t>
        </is>
      </c>
      <c r="AB162" s="29" t="inlineStr">
        <is>
          <t>0.028901776832829695</t>
        </is>
      </c>
      <c r="AC162" s="29" t="inlineStr">
        <is>
          <t>False</t>
        </is>
      </c>
      <c r="AD162" s="29" t="inlineStr">
        <is>
          <t>True</t>
        </is>
      </c>
      <c r="AE162" s="29" t="inlineStr">
        <is>
          <t>valuation_credit_ml_overlay_candidate.csv</t>
        </is>
      </c>
      <c r="AF162" s="29" t="inlineStr">
        <is>
          <t>208개 반도체 reference universe. Valuation Agent가 자체 intake 폴더로 복제해 Peer/ML/대시보드 비교에 사용.</t>
        </is>
      </c>
    </row>
    <row r="163" ht="24" customHeight="1">
      <c r="A163" s="24" t="inlineStr">
        <is>
          <t>92</t>
        </is>
      </c>
      <c r="B163" s="24" t="inlineStr">
        <is>
          <t>해당 없음</t>
        </is>
      </c>
      <c r="C163" s="24" t="inlineStr">
        <is>
          <t>싸이맥스</t>
        </is>
      </c>
      <c r="D163" s="24" t="inlineStr">
        <is>
          <t>160980</t>
        </is>
      </c>
      <c r="E163" s="24" t="inlineStr">
        <is>
          <t>KOSDAQ</t>
        </is>
      </c>
      <c r="F163" s="24" t="inlineStr">
        <is>
          <t>장비</t>
        </is>
      </c>
      <c r="G163" s="24" t="inlineStr">
        <is>
          <t>장비</t>
        </is>
      </c>
      <c r="H163" s="24" t="inlineStr">
        <is>
          <t>False</t>
        </is>
      </c>
      <c r="I163" s="24" t="inlineStr">
        <is>
          <t>True</t>
        </is>
      </c>
      <c r="J163" s="24" t="inlineStr">
        <is>
          <t>OK</t>
        </is>
      </c>
      <c r="K163" s="24" t="inlineStr">
        <is>
          <t>데이터 사용 가능</t>
        </is>
      </c>
      <c r="L163" s="24" t="inlineStr">
        <is>
          <t>LOW</t>
        </is>
      </c>
      <c r="M163" s="24" t="inlineStr">
        <is>
          <t>LOW</t>
        </is>
      </c>
      <c r="N163" s="24" t="inlineStr">
        <is>
          <t>0.5961333333333334</t>
        </is>
      </c>
      <c r="O163" s="24" t="inlineStr">
        <is>
          <t>ATTRACTIVE</t>
        </is>
      </c>
      <c r="P163" s="24" t="inlineStr">
        <is>
          <t>가치 매력</t>
        </is>
      </c>
      <c r="Q163" s="24" t="inlineStr">
        <is>
          <t>ATTRACTIVE</t>
        </is>
      </c>
      <c r="R163" s="24" t="inlineStr">
        <is>
          <t>0.8128181122496774</t>
        </is>
      </c>
      <c r="S163" s="24" t="inlineStr">
        <is>
          <t>HIGH</t>
        </is>
      </c>
      <c r="T163" s="24" t="inlineStr">
        <is>
          <t>HIGH</t>
        </is>
      </c>
      <c r="U163" s="24" t="inlineStr">
        <is>
          <t>0.0</t>
        </is>
      </c>
      <c r="V163" s="24" t="inlineStr">
        <is>
          <t>LOW_RISK</t>
        </is>
      </c>
      <c r="W163" s="24" t="inlineStr">
        <is>
          <t>저위험</t>
        </is>
      </c>
      <c r="X163" s="24" t="inlineStr">
        <is>
          <t>LOW_RISK</t>
        </is>
      </c>
      <c r="Y163" s="24" t="inlineStr">
        <is>
          <t>0.9687749577011366</t>
        </is>
      </c>
      <c r="Z163" s="24" t="inlineStr">
        <is>
          <t>HIGH</t>
        </is>
      </c>
      <c r="AA163" s="24" t="inlineStr">
        <is>
          <t>HIGH</t>
        </is>
      </c>
      <c r="AB163" s="24" t="inlineStr">
        <is>
          <t>0.14360930410301745</t>
        </is>
      </c>
      <c r="AC163" s="24" t="inlineStr">
        <is>
          <t>False</t>
        </is>
      </c>
      <c r="AD163" s="24" t="inlineStr">
        <is>
          <t>False</t>
        </is>
      </c>
      <c r="AE163" s="24" t="inlineStr">
        <is>
          <t>valuation_credit_ml_overlay_candidate.csv</t>
        </is>
      </c>
      <c r="AF163" s="24" t="inlineStr">
        <is>
          <t>208개 반도체 reference universe. Valuation Agent가 자체 intake 폴더로 복제해 Peer/ML/대시보드 비교에 사용.</t>
        </is>
      </c>
    </row>
    <row r="164" ht="24" customHeight="1">
      <c r="A164" s="29" t="inlineStr">
        <is>
          <t>80</t>
        </is>
      </c>
      <c r="B164" s="29" t="inlineStr">
        <is>
          <t>해당 없음</t>
        </is>
      </c>
      <c r="C164" s="29" t="inlineStr">
        <is>
          <t>뉴파워프라즈마</t>
        </is>
      </c>
      <c r="D164" s="29" t="inlineStr">
        <is>
          <t>144960</t>
        </is>
      </c>
      <c r="E164" s="29" t="inlineStr">
        <is>
          <t>KOSDAQ</t>
        </is>
      </c>
      <c r="F164" s="29" t="inlineStr">
        <is>
          <t>장비</t>
        </is>
      </c>
      <c r="G164" s="29" t="inlineStr">
        <is>
          <t>장비</t>
        </is>
      </c>
      <c r="H164" s="29" t="inlineStr">
        <is>
          <t>False</t>
        </is>
      </c>
      <c r="I164" s="29" t="inlineStr">
        <is>
          <t>True</t>
        </is>
      </c>
      <c r="J164" s="29" t="inlineStr">
        <is>
          <t>OK</t>
        </is>
      </c>
      <c r="K164" s="29" t="inlineStr">
        <is>
          <t>데이터 사용 가능</t>
        </is>
      </c>
      <c r="L164" s="29" t="inlineStr">
        <is>
          <t>LOW</t>
        </is>
      </c>
      <c r="M164" s="29" t="inlineStr">
        <is>
          <t>LOW</t>
        </is>
      </c>
      <c r="N164" s="29" t="inlineStr">
        <is>
          <t>0.5749333333333334</t>
        </is>
      </c>
      <c r="O164" s="29" t="inlineStr">
        <is>
          <t>FAIR</t>
        </is>
      </c>
      <c r="P164" s="29" t="inlineStr">
        <is>
          <t>FAIR</t>
        </is>
      </c>
      <c r="Q164" s="29" t="inlineStr">
        <is>
          <t>FAIR</t>
        </is>
      </c>
      <c r="R164" s="29" t="inlineStr">
        <is>
          <t>0.868464354966477</t>
        </is>
      </c>
      <c r="S164" s="29" t="inlineStr">
        <is>
          <t>HIGH</t>
        </is>
      </c>
      <c r="T164" s="29" t="inlineStr">
        <is>
          <t>HIGH</t>
        </is>
      </c>
      <c r="U164" s="29" t="inlineStr">
        <is>
          <t>0.2142857142857142</t>
        </is>
      </c>
      <c r="V164" s="29" t="inlineStr">
        <is>
          <t>MEDIUM_RISK</t>
        </is>
      </c>
      <c r="W164" s="29" t="inlineStr">
        <is>
          <t>중위험</t>
        </is>
      </c>
      <c r="X164" s="29" t="inlineStr">
        <is>
          <t>MEDIUM_RISK</t>
        </is>
      </c>
      <c r="Y164" s="29" t="inlineStr">
        <is>
          <t>0.7046290499893975</t>
        </is>
      </c>
      <c r="Z164" s="29" t="inlineStr">
        <is>
          <t>HIGH</t>
        </is>
      </c>
      <c r="AA164" s="29" t="inlineStr">
        <is>
          <t>HIGH</t>
        </is>
      </c>
      <c r="AB164" s="29" t="inlineStr">
        <is>
          <t>0.04196333332906741</t>
        </is>
      </c>
      <c r="AC164" s="29" t="inlineStr">
        <is>
          <t>False</t>
        </is>
      </c>
      <c r="AD164" s="29" t="inlineStr">
        <is>
          <t>False</t>
        </is>
      </c>
      <c r="AE164" s="29" t="inlineStr">
        <is>
          <t>valuation_credit_ml_overlay_candidate.csv</t>
        </is>
      </c>
      <c r="AF164" s="29" t="inlineStr">
        <is>
          <t>208개 반도체 reference universe. Valuation Agent가 자체 intake 폴더로 복제해 Peer/ML/대시보드 비교에 사용.</t>
        </is>
      </c>
    </row>
    <row r="165" ht="24" customHeight="1">
      <c r="A165" s="24" t="inlineStr">
        <is>
          <t>107</t>
        </is>
      </c>
      <c r="B165" s="24" t="inlineStr">
        <is>
          <t>해당 없음</t>
        </is>
      </c>
      <c r="C165" s="24" t="inlineStr">
        <is>
          <t>이엘씨</t>
        </is>
      </c>
      <c r="D165" s="24" t="inlineStr">
        <is>
          <t>041520</t>
        </is>
      </c>
      <c r="E165" s="24" t="inlineStr">
        <is>
          <t>KOSDAQ</t>
        </is>
      </c>
      <c r="F165" s="24" t="inlineStr">
        <is>
          <t>장비</t>
        </is>
      </c>
      <c r="G165" s="24" t="inlineStr">
        <is>
          <t>장비</t>
        </is>
      </c>
      <c r="H165" s="24" t="inlineStr">
        <is>
          <t>False</t>
        </is>
      </c>
      <c r="I165" s="24" t="inlineStr">
        <is>
          <t>True</t>
        </is>
      </c>
      <c r="J165" s="24" t="inlineStr">
        <is>
          <t>OK</t>
        </is>
      </c>
      <c r="K165" s="24" t="inlineStr">
        <is>
          <t>데이터 사용 가능</t>
        </is>
      </c>
      <c r="L165" s="24" t="inlineStr">
        <is>
          <t>LOW</t>
        </is>
      </c>
      <c r="M165" s="24" t="inlineStr">
        <is>
          <t>LOW</t>
        </is>
      </c>
      <c r="N165" s="24" t="inlineStr">
        <is>
          <t>0.5722</t>
        </is>
      </c>
      <c r="O165" s="24" t="inlineStr">
        <is>
          <t>FAIR</t>
        </is>
      </c>
      <c r="P165" s="24" t="inlineStr">
        <is>
          <t>FAIR</t>
        </is>
      </c>
      <c r="Q165" s="24" t="inlineStr">
        <is>
          <t>FAIR</t>
        </is>
      </c>
      <c r="R165" s="24" t="inlineStr">
        <is>
          <t>0.7059172837936919</t>
        </is>
      </c>
      <c r="S165" s="24" t="inlineStr">
        <is>
          <t>HIGH</t>
        </is>
      </c>
      <c r="T165" s="24" t="inlineStr">
        <is>
          <t>HIGH</t>
        </is>
      </c>
      <c r="U165" s="24" t="inlineStr">
        <is>
          <t>0.3571428571428571</t>
        </is>
      </c>
      <c r="V165" s="24" t="inlineStr">
        <is>
          <t>MEDIUM_RISK</t>
        </is>
      </c>
      <c r="W165" s="24" t="inlineStr">
        <is>
          <t>중위험</t>
        </is>
      </c>
      <c r="X165" s="24" t="inlineStr">
        <is>
          <t>MEDIUM_RISK</t>
        </is>
      </c>
      <c r="Y165" s="24" t="inlineStr">
        <is>
          <t>0.6140431256310129</t>
        </is>
      </c>
      <c r="Z165" s="24" t="inlineStr">
        <is>
          <t>MEDIUM</t>
        </is>
      </c>
      <c r="AA165" s="24" t="inlineStr">
        <is>
          <t>MEDIUM</t>
        </is>
      </c>
      <c r="AB165" s="24" t="inlineStr">
        <is>
          <t>0.48123065048868763</t>
        </is>
      </c>
      <c r="AC165" s="24" t="inlineStr">
        <is>
          <t>True</t>
        </is>
      </c>
      <c r="AD165" s="24" t="inlineStr">
        <is>
          <t>True</t>
        </is>
      </c>
      <c r="AE165" s="24" t="inlineStr">
        <is>
          <t>valuation_credit_ml_overlay_candidate.csv</t>
        </is>
      </c>
      <c r="AF165" s="24" t="inlineStr">
        <is>
          <t>208개 반도체 reference universe. Valuation Agent가 자체 intake 폴더로 복제해 Peer/ML/대시보드 비교에 사용.</t>
        </is>
      </c>
    </row>
    <row r="166" ht="24" customHeight="1">
      <c r="A166" s="29" t="inlineStr">
        <is>
          <t>119</t>
        </is>
      </c>
      <c r="B166" s="29" t="inlineStr">
        <is>
          <t>해당 없음</t>
        </is>
      </c>
      <c r="C166" s="29" t="inlineStr">
        <is>
          <t>포인트엔지니어링</t>
        </is>
      </c>
      <c r="D166" s="29" t="inlineStr">
        <is>
          <t>256630</t>
        </is>
      </c>
      <c r="E166" s="29" t="inlineStr">
        <is>
          <t>KOSDAQ</t>
        </is>
      </c>
      <c r="F166" s="29" t="inlineStr">
        <is>
          <t>장비</t>
        </is>
      </c>
      <c r="G166" s="29" t="inlineStr">
        <is>
          <t>장비</t>
        </is>
      </c>
      <c r="H166" s="29" t="inlineStr">
        <is>
          <t>False</t>
        </is>
      </c>
      <c r="I166" s="29" t="inlineStr">
        <is>
          <t>True</t>
        </is>
      </c>
      <c r="J166" s="29" t="inlineStr">
        <is>
          <t>OK</t>
        </is>
      </c>
      <c r="K166" s="29" t="inlineStr">
        <is>
          <t>데이터 사용 가능</t>
        </is>
      </c>
      <c r="L166" s="29" t="inlineStr">
        <is>
          <t>LOW</t>
        </is>
      </c>
      <c r="M166" s="29" t="inlineStr">
        <is>
          <t>LOW</t>
        </is>
      </c>
      <c r="N166" s="29" t="inlineStr">
        <is>
          <t>0.5648666666666666</t>
        </is>
      </c>
      <c r="O166" s="29" t="inlineStr">
        <is>
          <t>FAIR</t>
        </is>
      </c>
      <c r="P166" s="29" t="inlineStr">
        <is>
          <t>FAIR</t>
        </is>
      </c>
      <c r="Q166" s="29" t="inlineStr">
        <is>
          <t>FAIR</t>
        </is>
      </c>
      <c r="R166" s="29" t="inlineStr">
        <is>
          <t>0.735270480034121</t>
        </is>
      </c>
      <c r="S166" s="29" t="inlineStr">
        <is>
          <t>HIGH</t>
        </is>
      </c>
      <c r="T166" s="29" t="inlineStr">
        <is>
          <t>HIGH</t>
        </is>
      </c>
      <c r="U166" s="29" t="inlineStr">
        <is>
          <t>0.1428571428571428</t>
        </is>
      </c>
      <c r="V166" s="29" t="inlineStr">
        <is>
          <t>LOW_RISK</t>
        </is>
      </c>
      <c r="W166" s="29" t="inlineStr">
        <is>
          <t>저위험</t>
        </is>
      </c>
      <c r="X166" s="29" t="inlineStr">
        <is>
          <t>LOW_RISK</t>
        </is>
      </c>
      <c r="Y166" s="29" t="inlineStr">
        <is>
          <t>0.46973098100913</t>
        </is>
      </c>
      <c r="Z166" s="29" t="inlineStr">
        <is>
          <t>LOW</t>
        </is>
      </c>
      <c r="AA166" s="29" t="inlineStr">
        <is>
          <t>LOW</t>
        </is>
      </c>
      <c r="AB166" s="29" t="inlineStr">
        <is>
          <t>0.13639895278143657</t>
        </is>
      </c>
      <c r="AC166" s="29" t="inlineStr">
        <is>
          <t>False</t>
        </is>
      </c>
      <c r="AD166" s="29" t="inlineStr">
        <is>
          <t>True</t>
        </is>
      </c>
      <c r="AE166" s="29" t="inlineStr">
        <is>
          <t>valuation_credit_ml_overlay_candidate.csv</t>
        </is>
      </c>
      <c r="AF166" s="29" t="inlineStr">
        <is>
          <t>208개 반도체 reference universe. Valuation Agent가 자체 intake 폴더로 복제해 Peer/ML/대시보드 비교에 사용.</t>
        </is>
      </c>
    </row>
    <row r="167" ht="24" customHeight="1">
      <c r="A167" s="24" t="inlineStr">
        <is>
          <t>116</t>
        </is>
      </c>
      <c r="B167" s="24" t="inlineStr">
        <is>
          <t>해당 없음</t>
        </is>
      </c>
      <c r="C167" s="24" t="inlineStr">
        <is>
          <t>테스</t>
        </is>
      </c>
      <c r="D167" s="24" t="inlineStr">
        <is>
          <t>095610</t>
        </is>
      </c>
      <c r="E167" s="24" t="inlineStr">
        <is>
          <t>KOSDAQ</t>
        </is>
      </c>
      <c r="F167" s="24" t="inlineStr">
        <is>
          <t>장비</t>
        </is>
      </c>
      <c r="G167" s="24" t="inlineStr">
        <is>
          <t>장비</t>
        </is>
      </c>
      <c r="H167" s="24" t="inlineStr">
        <is>
          <t>False</t>
        </is>
      </c>
      <c r="I167" s="24" t="inlineStr">
        <is>
          <t>True</t>
        </is>
      </c>
      <c r="J167" s="24" t="inlineStr">
        <is>
          <t>OK</t>
        </is>
      </c>
      <c r="K167" s="24" t="inlineStr">
        <is>
          <t>데이터 사용 가능</t>
        </is>
      </c>
      <c r="L167" s="24" t="inlineStr">
        <is>
          <t>LOW</t>
        </is>
      </c>
      <c r="M167" s="24" t="inlineStr">
        <is>
          <t>LOW</t>
        </is>
      </c>
      <c r="N167" s="24" t="inlineStr">
        <is>
          <t>0.5640000000000001</t>
        </is>
      </c>
      <c r="O167" s="24" t="inlineStr">
        <is>
          <t>FAIR</t>
        </is>
      </c>
      <c r="P167" s="24" t="inlineStr">
        <is>
          <t>FAIR</t>
        </is>
      </c>
      <c r="Q167" s="24" t="inlineStr">
        <is>
          <t>FAIR</t>
        </is>
      </c>
      <c r="R167" s="24" t="inlineStr">
        <is>
          <t>0.5083695341145091</t>
        </is>
      </c>
      <c r="S167" s="24" t="inlineStr">
        <is>
          <t>MEDIUM</t>
        </is>
      </c>
      <c r="T167" s="24" t="inlineStr">
        <is>
          <t>MEDIUM</t>
        </is>
      </c>
      <c r="U167" s="24" t="inlineStr">
        <is>
          <t>0.1428571428571428</t>
        </is>
      </c>
      <c r="V167" s="24" t="inlineStr">
        <is>
          <t>LOW_RISK</t>
        </is>
      </c>
      <c r="W167" s="24" t="inlineStr">
        <is>
          <t>저위험</t>
        </is>
      </c>
      <c r="X167" s="24" t="inlineStr">
        <is>
          <t>LOW_RISK</t>
        </is>
      </c>
      <c r="Y167" s="24" t="inlineStr">
        <is>
          <t>0.8915902677510841</t>
        </is>
      </c>
      <c r="Z167" s="24" t="inlineStr">
        <is>
          <t>HIGH</t>
        </is>
      </c>
      <c r="AA167" s="24" t="inlineStr">
        <is>
          <t>HIGH</t>
        </is>
      </c>
      <c r="AB167" s="24" t="inlineStr">
        <is>
          <t>0.04910195891941634</t>
        </is>
      </c>
      <c r="AC167" s="24" t="inlineStr">
        <is>
          <t>False</t>
        </is>
      </c>
      <c r="AD167" s="24" t="inlineStr">
        <is>
          <t>False</t>
        </is>
      </c>
      <c r="AE167" s="24" t="inlineStr">
        <is>
          <t>valuation_credit_ml_overlay_candidate.csv</t>
        </is>
      </c>
      <c r="AF167" s="24" t="inlineStr">
        <is>
          <t>208개 반도체 reference universe. Valuation Agent가 자체 intake 폴더로 복제해 Peer/ML/대시보드 비교에 사용.</t>
        </is>
      </c>
    </row>
    <row r="168" ht="24" customHeight="1">
      <c r="A168" s="29" t="inlineStr">
        <is>
          <t>104</t>
        </is>
      </c>
      <c r="B168" s="29" t="inlineStr">
        <is>
          <t>해당 없음</t>
        </is>
      </c>
      <c r="C168" s="29" t="inlineStr">
        <is>
          <t>유니셈</t>
        </is>
      </c>
      <c r="D168" s="29" t="inlineStr">
        <is>
          <t>036200</t>
        </is>
      </c>
      <c r="E168" s="29" t="inlineStr">
        <is>
          <t>KOSDAQ</t>
        </is>
      </c>
      <c r="F168" s="29" t="inlineStr">
        <is>
          <t>장비</t>
        </is>
      </c>
      <c r="G168" s="29" t="inlineStr">
        <is>
          <t>장비</t>
        </is>
      </c>
      <c r="H168" s="29" t="inlineStr">
        <is>
          <t>False</t>
        </is>
      </c>
      <c r="I168" s="29" t="inlineStr">
        <is>
          <t>True</t>
        </is>
      </c>
      <c r="J168" s="29" t="inlineStr">
        <is>
          <t>OK</t>
        </is>
      </c>
      <c r="K168" s="29" t="inlineStr">
        <is>
          <t>데이터 사용 가능</t>
        </is>
      </c>
      <c r="L168" s="29" t="inlineStr">
        <is>
          <t>LOW</t>
        </is>
      </c>
      <c r="M168" s="29" t="inlineStr">
        <is>
          <t>LOW</t>
        </is>
      </c>
      <c r="N168" s="29" t="inlineStr">
        <is>
          <t>0.5409333333333334</t>
        </is>
      </c>
      <c r="O168" s="29" t="inlineStr">
        <is>
          <t>FAIR</t>
        </is>
      </c>
      <c r="P168" s="29" t="inlineStr">
        <is>
          <t>FAIR</t>
        </is>
      </c>
      <c r="Q168" s="29" t="inlineStr">
        <is>
          <t>FAIR</t>
        </is>
      </c>
      <c r="R168" s="29" t="inlineStr">
        <is>
          <t>0.751305499027411</t>
        </is>
      </c>
      <c r="S168" s="29" t="inlineStr">
        <is>
          <t>HIGH</t>
        </is>
      </c>
      <c r="T168" s="29" t="inlineStr">
        <is>
          <t>HIGH</t>
        </is>
      </c>
      <c r="U168" s="29" t="inlineStr">
        <is>
          <t>0.2142857142857142</t>
        </is>
      </c>
      <c r="V168" s="29" t="inlineStr">
        <is>
          <t>MEDIUM_RISK</t>
        </is>
      </c>
      <c r="W168" s="29" t="inlineStr">
        <is>
          <t>중위험</t>
        </is>
      </c>
      <c r="X168" s="29" t="inlineStr">
        <is>
          <t>MEDIUM_RISK</t>
        </is>
      </c>
      <c r="Y168" s="29" t="inlineStr">
        <is>
          <t>0.7587275691055257</t>
        </is>
      </c>
      <c r="Z168" s="29" t="inlineStr">
        <is>
          <t>HIGH</t>
        </is>
      </c>
      <c r="AA168" s="29" t="inlineStr">
        <is>
          <t>HIGH</t>
        </is>
      </c>
      <c r="AB168" s="29" t="inlineStr">
        <is>
          <t>0.05351211711100475</t>
        </is>
      </c>
      <c r="AC168" s="29" t="inlineStr">
        <is>
          <t>False</t>
        </is>
      </c>
      <c r="AD168" s="29" t="inlineStr">
        <is>
          <t>False</t>
        </is>
      </c>
      <c r="AE168" s="29" t="inlineStr">
        <is>
          <t>valuation_credit_ml_overlay_candidate.csv</t>
        </is>
      </c>
      <c r="AF168" s="29" t="inlineStr">
        <is>
          <t>208개 반도체 reference universe. Valuation Agent가 자체 intake 폴더로 복제해 Peer/ML/대시보드 비교에 사용.</t>
        </is>
      </c>
    </row>
    <row r="169" ht="24" customHeight="1">
      <c r="A169" s="24" t="inlineStr">
        <is>
          <t>121</t>
        </is>
      </c>
      <c r="B169" s="24" t="inlineStr">
        <is>
          <t>해당 없음</t>
        </is>
      </c>
      <c r="C169" s="24" t="inlineStr">
        <is>
          <t>피에스케이홀딩스</t>
        </is>
      </c>
      <c r="D169" s="24" t="inlineStr">
        <is>
          <t>031980</t>
        </is>
      </c>
      <c r="E169" s="24" t="inlineStr">
        <is>
          <t>KOSDAQ</t>
        </is>
      </c>
      <c r="F169" s="24" t="inlineStr">
        <is>
          <t>장비</t>
        </is>
      </c>
      <c r="G169" s="24" t="inlineStr">
        <is>
          <t>장비</t>
        </is>
      </c>
      <c r="H169" s="24" t="inlineStr">
        <is>
          <t>False</t>
        </is>
      </c>
      <c r="I169" s="24" t="inlineStr">
        <is>
          <t>True</t>
        </is>
      </c>
      <c r="J169" s="24" t="inlineStr">
        <is>
          <t>OK</t>
        </is>
      </c>
      <c r="K169" s="24" t="inlineStr">
        <is>
          <t>데이터 사용 가능</t>
        </is>
      </c>
      <c r="L169" s="24" t="inlineStr">
        <is>
          <t>LOW</t>
        </is>
      </c>
      <c r="M169" s="24" t="inlineStr">
        <is>
          <t>LOW</t>
        </is>
      </c>
      <c r="N169" s="24" t="inlineStr">
        <is>
          <t>0.5385333333333334</t>
        </is>
      </c>
      <c r="O169" s="24" t="inlineStr">
        <is>
          <t>FAIR</t>
        </is>
      </c>
      <c r="P169" s="24" t="inlineStr">
        <is>
          <t>FAIR</t>
        </is>
      </c>
      <c r="Q169" s="24" t="inlineStr">
        <is>
          <t>FAIR</t>
        </is>
      </c>
      <c r="R169" s="24" t="inlineStr">
        <is>
          <t>0.7521125976897308</t>
        </is>
      </c>
      <c r="S169" s="24" t="inlineStr">
        <is>
          <t>HIGH</t>
        </is>
      </c>
      <c r="T169" s="24" t="inlineStr">
        <is>
          <t>HIGH</t>
        </is>
      </c>
      <c r="U169" s="24" t="inlineStr">
        <is>
          <t>0.0</t>
        </is>
      </c>
      <c r="V169" s="24" t="inlineStr">
        <is>
          <t>LOW_RISK</t>
        </is>
      </c>
      <c r="W169" s="24" t="inlineStr">
        <is>
          <t>저위험</t>
        </is>
      </c>
      <c r="X169" s="24" t="inlineStr">
        <is>
          <t>LOW_RISK</t>
        </is>
      </c>
      <c r="Y169" s="24" t="inlineStr">
        <is>
          <t>0.936112522374784</t>
        </is>
      </c>
      <c r="Z169" s="24" t="inlineStr">
        <is>
          <t>HIGH</t>
        </is>
      </c>
      <c r="AA169" s="24" t="inlineStr">
        <is>
          <t>HIGH</t>
        </is>
      </c>
      <c r="AB169" s="24" t="inlineStr">
        <is>
          <t>0.21000654030466528</t>
        </is>
      </c>
      <c r="AC169" s="24" t="inlineStr">
        <is>
          <t>False</t>
        </is>
      </c>
      <c r="AD169" s="24" t="inlineStr">
        <is>
          <t>False</t>
        </is>
      </c>
      <c r="AE169" s="24" t="inlineStr">
        <is>
          <t>valuation_credit_ml_overlay_candidate.csv</t>
        </is>
      </c>
      <c r="AF169" s="24" t="inlineStr">
        <is>
          <t>208개 반도체 reference universe. Valuation Agent가 자체 intake 폴더로 복제해 Peer/ML/대시보드 비교에 사용.</t>
        </is>
      </c>
    </row>
    <row r="170" ht="24" customHeight="1">
      <c r="A170" s="29" t="inlineStr">
        <is>
          <t>102</t>
        </is>
      </c>
      <c r="B170" s="29" t="inlineStr">
        <is>
          <t>해당 없음</t>
        </is>
      </c>
      <c r="C170" s="29" t="inlineStr">
        <is>
          <t>워트</t>
        </is>
      </c>
      <c r="D170" s="29" t="inlineStr">
        <is>
          <t>396470</t>
        </is>
      </c>
      <c r="E170" s="29" t="inlineStr">
        <is>
          <t>KOSDAQ</t>
        </is>
      </c>
      <c r="F170" s="29" t="inlineStr">
        <is>
          <t>장비</t>
        </is>
      </c>
      <c r="G170" s="29" t="inlineStr">
        <is>
          <t>장비</t>
        </is>
      </c>
      <c r="H170" s="29" t="inlineStr">
        <is>
          <t>False</t>
        </is>
      </c>
      <c r="I170" s="29" t="inlineStr">
        <is>
          <t>True</t>
        </is>
      </c>
      <c r="J170" s="29" t="inlineStr">
        <is>
          <t>OK_LIMITED_HISTORY_OR_GROWTH_NA</t>
        </is>
      </c>
      <c r="K170" s="29" t="inlineStr">
        <is>
          <t>데이터 사용 가능</t>
        </is>
      </c>
      <c r="L170" s="29" t="inlineStr">
        <is>
          <t>LOW</t>
        </is>
      </c>
      <c r="M170" s="29" t="inlineStr">
        <is>
          <t>LOW</t>
        </is>
      </c>
      <c r="N170" s="29" t="inlineStr">
        <is>
          <t>0.5384000000000001</t>
        </is>
      </c>
      <c r="O170" s="29" t="inlineStr">
        <is>
          <t>FAIR</t>
        </is>
      </c>
      <c r="P170" s="29" t="inlineStr">
        <is>
          <t>FAIR</t>
        </is>
      </c>
      <c r="Q170" s="29" t="inlineStr">
        <is>
          <t>FAIR</t>
        </is>
      </c>
      <c r="R170" s="29" t="inlineStr">
        <is>
          <t>0.6073344328439819</t>
        </is>
      </c>
      <c r="S170" s="29" t="inlineStr">
        <is>
          <t>MEDIUM</t>
        </is>
      </c>
      <c r="T170" s="29" t="inlineStr">
        <is>
          <t>MEDIUM</t>
        </is>
      </c>
      <c r="U170" s="29" t="inlineStr">
        <is>
          <t>0.0714285714285714</t>
        </is>
      </c>
      <c r="V170" s="29" t="inlineStr">
        <is>
          <t>LOW_RISK</t>
        </is>
      </c>
      <c r="W170" s="29" t="inlineStr">
        <is>
          <t>저위험</t>
        </is>
      </c>
      <c r="X170" s="29" t="inlineStr">
        <is>
          <t>LOW_RISK</t>
        </is>
      </c>
      <c r="Y170" s="29" t="inlineStr">
        <is>
          <t>0.8767524187887936</t>
        </is>
      </c>
      <c r="Z170" s="29" t="inlineStr">
        <is>
          <t>HIGH</t>
        </is>
      </c>
      <c r="AA170" s="29" t="inlineStr">
        <is>
          <t>HIGH</t>
        </is>
      </c>
      <c r="AB170" s="29" t="inlineStr">
        <is>
          <t>0.4537372664198796</t>
        </is>
      </c>
      <c r="AC170" s="29" t="inlineStr">
        <is>
          <t>True</t>
        </is>
      </c>
      <c r="AD170" s="29" t="inlineStr">
        <is>
          <t>True</t>
        </is>
      </c>
      <c r="AE170" s="29" t="inlineStr">
        <is>
          <t>valuation_credit_ml_overlay_candidate.csv</t>
        </is>
      </c>
      <c r="AF170" s="29" t="inlineStr">
        <is>
          <t>208개 반도체 reference universe. Valuation Agent가 자체 intake 폴더로 복제해 Peer/ML/대시보드 비교에 사용.</t>
        </is>
      </c>
    </row>
    <row r="171" ht="24" customHeight="1">
      <c r="A171" s="24" t="inlineStr">
        <is>
          <t>120</t>
        </is>
      </c>
      <c r="B171" s="24" t="inlineStr">
        <is>
          <t>해당 없음</t>
        </is>
      </c>
      <c r="C171" s="24" t="inlineStr">
        <is>
          <t>피에스케이</t>
        </is>
      </c>
      <c r="D171" s="24" t="inlineStr">
        <is>
          <t>319660</t>
        </is>
      </c>
      <c r="E171" s="24" t="inlineStr">
        <is>
          <t>KOSDAQ GLOBAL</t>
        </is>
      </c>
      <c r="F171" s="24" t="inlineStr">
        <is>
          <t>장비</t>
        </is>
      </c>
      <c r="G171" s="24" t="inlineStr">
        <is>
          <t>장비</t>
        </is>
      </c>
      <c r="H171" s="24" t="inlineStr">
        <is>
          <t>False</t>
        </is>
      </c>
      <c r="I171" s="24" t="inlineStr">
        <is>
          <t>True</t>
        </is>
      </c>
      <c r="J171" s="24" t="inlineStr">
        <is>
          <t>OK</t>
        </is>
      </c>
      <c r="K171" s="24" t="inlineStr">
        <is>
          <t>데이터 사용 가능</t>
        </is>
      </c>
      <c r="L171" s="24" t="inlineStr">
        <is>
          <t>LOW</t>
        </is>
      </c>
      <c r="M171" s="24" t="inlineStr">
        <is>
          <t>LOW</t>
        </is>
      </c>
      <c r="N171" s="24" t="inlineStr">
        <is>
          <t>0.5357333333333333</t>
        </is>
      </c>
      <c r="O171" s="24" t="inlineStr">
        <is>
          <t>FAIR</t>
        </is>
      </c>
      <c r="P171" s="24" t="inlineStr">
        <is>
          <t>FAIR</t>
        </is>
      </c>
      <c r="Q171" s="24" t="inlineStr">
        <is>
          <t>FAIR</t>
        </is>
      </c>
      <c r="R171" s="24" t="inlineStr">
        <is>
          <t>0.7072072873445469</t>
        </is>
      </c>
      <c r="S171" s="24" t="inlineStr">
        <is>
          <t>HIGH</t>
        </is>
      </c>
      <c r="T171" s="24" t="inlineStr">
        <is>
          <t>HIGH</t>
        </is>
      </c>
      <c r="U171" s="24" t="inlineStr">
        <is>
          <t>0.0</t>
        </is>
      </c>
      <c r="V171" s="24" t="inlineStr">
        <is>
          <t>LOW_RISK</t>
        </is>
      </c>
      <c r="W171" s="24" t="inlineStr">
        <is>
          <t>저위험</t>
        </is>
      </c>
      <c r="X171" s="24" t="inlineStr">
        <is>
          <t>LOW_RISK</t>
        </is>
      </c>
      <c r="Y171" s="24" t="inlineStr">
        <is>
          <t>0.9811059783961981</t>
        </is>
      </c>
      <c r="Z171" s="24" t="inlineStr">
        <is>
          <t>HIGH</t>
        </is>
      </c>
      <c r="AA171" s="24" t="inlineStr">
        <is>
          <t>HIGH</t>
        </is>
      </c>
      <c r="AB171" s="24" t="inlineStr">
        <is>
          <t>0.06486271422414225</t>
        </is>
      </c>
      <c r="AC171" s="24" t="inlineStr">
        <is>
          <t>False</t>
        </is>
      </c>
      <c r="AD171" s="24" t="inlineStr">
        <is>
          <t>False</t>
        </is>
      </c>
      <c r="AE171" s="24" t="inlineStr">
        <is>
          <t>valuation_credit_ml_overlay_candidate.csv</t>
        </is>
      </c>
      <c r="AF171" s="24" t="inlineStr">
        <is>
          <t>208개 반도체 reference universe. Valuation Agent가 자체 intake 폴더로 복제해 Peer/ML/대시보드 비교에 사용.</t>
        </is>
      </c>
    </row>
    <row r="172" ht="24" customHeight="1">
      <c r="A172" s="29" t="inlineStr">
        <is>
          <t>87</t>
        </is>
      </c>
      <c r="B172" s="29" t="inlineStr">
        <is>
          <t>해당 없음</t>
        </is>
      </c>
      <c r="C172" s="29" t="inlineStr">
        <is>
          <t>브이엠</t>
        </is>
      </c>
      <c r="D172" s="29" t="inlineStr">
        <is>
          <t>089970</t>
        </is>
      </c>
      <c r="E172" s="29" t="inlineStr">
        <is>
          <t>KOSDAQ</t>
        </is>
      </c>
      <c r="F172" s="29" t="inlineStr">
        <is>
          <t>장비</t>
        </is>
      </c>
      <c r="G172" s="29" t="inlineStr">
        <is>
          <t>장비</t>
        </is>
      </c>
      <c r="H172" s="29" t="inlineStr">
        <is>
          <t>False</t>
        </is>
      </c>
      <c r="I172" s="29" t="inlineStr">
        <is>
          <t>True</t>
        </is>
      </c>
      <c r="J172" s="29" t="inlineStr">
        <is>
          <t>OK</t>
        </is>
      </c>
      <c r="K172" s="29" t="inlineStr">
        <is>
          <t>데이터 사용 가능</t>
        </is>
      </c>
      <c r="L172" s="29" t="inlineStr">
        <is>
          <t>LOW</t>
        </is>
      </c>
      <c r="M172" s="29" t="inlineStr">
        <is>
          <t>LOW</t>
        </is>
      </c>
      <c r="N172" s="29" t="inlineStr">
        <is>
          <t>0.5204000000000001</t>
        </is>
      </c>
      <c r="O172" s="29" t="inlineStr">
        <is>
          <t>FAIR</t>
        </is>
      </c>
      <c r="P172" s="29" t="inlineStr">
        <is>
          <t>FAIR</t>
        </is>
      </c>
      <c r="Q172" s="29" t="inlineStr">
        <is>
          <t>FAIR</t>
        </is>
      </c>
      <c r="R172" s="29" t="inlineStr">
        <is>
          <t>0.737579554357605</t>
        </is>
      </c>
      <c r="S172" s="29" t="inlineStr">
        <is>
          <t>HIGH</t>
        </is>
      </c>
      <c r="T172" s="29" t="inlineStr">
        <is>
          <t>HIGH</t>
        </is>
      </c>
      <c r="U172" s="29" t="inlineStr">
        <is>
          <t>0.0</t>
        </is>
      </c>
      <c r="V172" s="29" t="inlineStr">
        <is>
          <t>LOW_RISK</t>
        </is>
      </c>
      <c r="W172" s="29" t="inlineStr">
        <is>
          <t>저위험</t>
        </is>
      </c>
      <c r="X172" s="29" t="inlineStr">
        <is>
          <t>LOW_RISK</t>
        </is>
      </c>
      <c r="Y172" s="29" t="inlineStr">
        <is>
          <t>0.9262131686985617</t>
        </is>
      </c>
      <c r="Z172" s="29" t="inlineStr">
        <is>
          <t>HIGH</t>
        </is>
      </c>
      <c r="AA172" s="29" t="inlineStr">
        <is>
          <t>HIGH</t>
        </is>
      </c>
      <c r="AB172" s="29" t="inlineStr">
        <is>
          <t>0.095895233286532</t>
        </is>
      </c>
      <c r="AC172" s="29" t="inlineStr">
        <is>
          <t>False</t>
        </is>
      </c>
      <c r="AD172" s="29" t="inlineStr">
        <is>
          <t>False</t>
        </is>
      </c>
      <c r="AE172" s="29" t="inlineStr">
        <is>
          <t>valuation_credit_ml_overlay_candidate.csv</t>
        </is>
      </c>
      <c r="AF172" s="29" t="inlineStr">
        <is>
          <t>208개 반도체 reference universe. Valuation Agent가 자체 intake 폴더로 복제해 Peer/ML/대시보드 비교에 사용.</t>
        </is>
      </c>
    </row>
    <row r="173" ht="24" customHeight="1">
      <c r="A173" s="24" t="inlineStr">
        <is>
          <t>114</t>
        </is>
      </c>
      <c r="B173" s="24" t="inlineStr">
        <is>
          <t>해당 없음</t>
        </is>
      </c>
      <c r="C173" s="24" t="inlineStr">
        <is>
          <t>코세스</t>
        </is>
      </c>
      <c r="D173" s="24" t="inlineStr">
        <is>
          <t>089890</t>
        </is>
      </c>
      <c r="E173" s="24" t="inlineStr">
        <is>
          <t>KOSDAQ</t>
        </is>
      </c>
      <c r="F173" s="24" t="inlineStr">
        <is>
          <t>장비</t>
        </is>
      </c>
      <c r="G173" s="24" t="inlineStr">
        <is>
          <t>장비</t>
        </is>
      </c>
      <c r="H173" s="24" t="inlineStr">
        <is>
          <t>False</t>
        </is>
      </c>
      <c r="I173" s="24" t="inlineStr">
        <is>
          <t>True</t>
        </is>
      </c>
      <c r="J173" s="24" t="inlineStr">
        <is>
          <t>OK</t>
        </is>
      </c>
      <c r="K173" s="24" t="inlineStr">
        <is>
          <t>데이터 사용 가능</t>
        </is>
      </c>
      <c r="L173" s="24" t="inlineStr">
        <is>
          <t>LOW</t>
        </is>
      </c>
      <c r="M173" s="24" t="inlineStr">
        <is>
          <t>LOW</t>
        </is>
      </c>
      <c r="N173" s="24" t="inlineStr">
        <is>
          <t>0.4978666666666667</t>
        </is>
      </c>
      <c r="O173" s="24" t="inlineStr">
        <is>
          <t>FAIR</t>
        </is>
      </c>
      <c r="P173" s="24" t="inlineStr">
        <is>
          <t>FAIR</t>
        </is>
      </c>
      <c r="Q173" s="24" t="inlineStr">
        <is>
          <t>FAIR</t>
        </is>
      </c>
      <c r="R173" s="24" t="inlineStr">
        <is>
          <t>0.7228094449358575</t>
        </is>
      </c>
      <c r="S173" s="24" t="inlineStr">
        <is>
          <t>HIGH</t>
        </is>
      </c>
      <c r="T173" s="24" t="inlineStr">
        <is>
          <t>HIGH</t>
        </is>
      </c>
      <c r="U173" s="24" t="inlineStr">
        <is>
          <t>0.0714285714285714</t>
        </is>
      </c>
      <c r="V173" s="24" t="inlineStr">
        <is>
          <t>LOW_RISK</t>
        </is>
      </c>
      <c r="W173" s="24" t="inlineStr">
        <is>
          <t>저위험</t>
        </is>
      </c>
      <c r="X173" s="24" t="inlineStr">
        <is>
          <t>LOW_RISK</t>
        </is>
      </c>
      <c r="Y173" s="24" t="inlineStr">
        <is>
          <t>0.7776657060311913</t>
        </is>
      </c>
      <c r="Z173" s="24" t="inlineStr">
        <is>
          <t>HIGH</t>
        </is>
      </c>
      <c r="AA173" s="24" t="inlineStr">
        <is>
          <t>HIGH</t>
        </is>
      </c>
      <c r="AB173" s="24" t="inlineStr">
        <is>
          <t>0.08712413247882898</t>
        </is>
      </c>
      <c r="AC173" s="24" t="inlineStr">
        <is>
          <t>False</t>
        </is>
      </c>
      <c r="AD173" s="24" t="inlineStr">
        <is>
          <t>False</t>
        </is>
      </c>
      <c r="AE173" s="24" t="inlineStr">
        <is>
          <t>valuation_credit_ml_overlay_candidate.csv</t>
        </is>
      </c>
      <c r="AF173" s="24" t="inlineStr">
        <is>
          <t>208개 반도체 reference universe. Valuation Agent가 자체 intake 폴더로 복제해 Peer/ML/대시보드 비교에 사용.</t>
        </is>
      </c>
    </row>
    <row r="174" ht="24" customHeight="1">
      <c r="A174" s="29" t="inlineStr">
        <is>
          <t>115</t>
        </is>
      </c>
      <c r="B174" s="29" t="inlineStr">
        <is>
          <t>해당 없음</t>
        </is>
      </c>
      <c r="C174" s="29" t="inlineStr">
        <is>
          <t>코스텍시스템</t>
        </is>
      </c>
      <c r="D174" s="29" t="inlineStr">
        <is>
          <t>169670</t>
        </is>
      </c>
      <c r="E174" s="29" t="inlineStr">
        <is>
          <t>KONEX</t>
        </is>
      </c>
      <c r="F174" s="29" t="inlineStr">
        <is>
          <t>장비</t>
        </is>
      </c>
      <c r="G174" s="29" t="inlineStr">
        <is>
          <t>장비</t>
        </is>
      </c>
      <c r="H174" s="29" t="inlineStr">
        <is>
          <t>False</t>
        </is>
      </c>
      <c r="I174" s="29" t="inlineStr">
        <is>
          <t>True</t>
        </is>
      </c>
      <c r="J174" s="29" t="inlineStr">
        <is>
          <t>NO_DART_FINANCIAL_DATA</t>
        </is>
      </c>
      <c r="K174" s="29" t="inlineStr">
        <is>
          <t>데이터 사용 가능</t>
        </is>
      </c>
      <c r="L174" s="29" t="inlineStr">
        <is>
          <t>HIGH</t>
        </is>
      </c>
      <c r="M174" s="29" t="inlineStr">
        <is>
          <t>HIGH</t>
        </is>
      </c>
      <c r="N174" s="29" t="inlineStr">
        <is>
          <t>0.4959999999999999</t>
        </is>
      </c>
      <c r="O174" s="29" t="inlineStr">
        <is>
          <t>FAIR</t>
        </is>
      </c>
      <c r="P174" s="29" t="inlineStr">
        <is>
          <t>FAIR</t>
        </is>
      </c>
      <c r="Q174" s="29" t="inlineStr">
        <is>
          <t>FAIR</t>
        </is>
      </c>
      <c r="R174" s="29" t="inlineStr">
        <is>
          <t>0.9640840061970892</t>
        </is>
      </c>
      <c r="S174" s="29" t="inlineStr">
        <is>
          <t>HIGH</t>
        </is>
      </c>
      <c r="T174" s="29" t="inlineStr">
        <is>
          <t>HIGH</t>
        </is>
      </c>
      <c r="U174" s="29" t="inlineStr">
        <is>
          <t>0.2142857142857142</t>
        </is>
      </c>
      <c r="V174" s="29" t="inlineStr">
        <is>
          <t>MEDIUM_RISK</t>
        </is>
      </c>
      <c r="W174" s="29" t="inlineStr">
        <is>
          <t>중위험</t>
        </is>
      </c>
      <c r="X174" s="29" t="inlineStr">
        <is>
          <t>MEDIUM_RISK</t>
        </is>
      </c>
      <c r="Y174" s="29" t="inlineStr">
        <is>
          <t>0.7627943410657042</t>
        </is>
      </c>
      <c r="Z174" s="29" t="inlineStr">
        <is>
          <t>HIGH</t>
        </is>
      </c>
      <c r="AA174" s="29" t="inlineStr">
        <is>
          <t>HIGH</t>
        </is>
      </c>
      <c r="AB174" s="29" t="inlineStr">
        <is>
          <t>0.1642174593956627</t>
        </is>
      </c>
      <c r="AC174" s="29" t="inlineStr">
        <is>
          <t>False</t>
        </is>
      </c>
      <c r="AD174" s="29" t="inlineStr">
        <is>
          <t>True</t>
        </is>
      </c>
      <c r="AE174" s="29" t="inlineStr">
        <is>
          <t>valuation_credit_ml_overlay_candidate.csv</t>
        </is>
      </c>
      <c r="AF174" s="29" t="inlineStr">
        <is>
          <t>208개 반도체 reference universe. Valuation Agent가 자체 intake 폴더로 복제해 Peer/ML/대시보드 비교에 사용.</t>
        </is>
      </c>
    </row>
    <row r="175" ht="24" customHeight="1">
      <c r="A175" s="24" t="inlineStr">
        <is>
          <t>75</t>
        </is>
      </c>
      <c r="B175" s="24" t="inlineStr">
        <is>
          <t>해당 없음</t>
        </is>
      </c>
      <c r="C175" s="24" t="inlineStr">
        <is>
          <t>HPSP</t>
        </is>
      </c>
      <c r="D175" s="24" t="inlineStr">
        <is>
          <t>403870</t>
        </is>
      </c>
      <c r="E175" s="24" t="inlineStr">
        <is>
          <t>KOSDAQ GLOBAL</t>
        </is>
      </c>
      <c r="F175" s="24" t="inlineStr">
        <is>
          <t>장비</t>
        </is>
      </c>
      <c r="G175" s="24" t="inlineStr">
        <is>
          <t>장비</t>
        </is>
      </c>
      <c r="H175" s="24" t="inlineStr">
        <is>
          <t>False</t>
        </is>
      </c>
      <c r="I175" s="24" t="inlineStr">
        <is>
          <t>True</t>
        </is>
      </c>
      <c r="J175" s="24" t="inlineStr">
        <is>
          <t>OK</t>
        </is>
      </c>
      <c r="K175" s="24" t="inlineStr">
        <is>
          <t>데이터 사용 가능</t>
        </is>
      </c>
      <c r="L175" s="24" t="inlineStr">
        <is>
          <t>LOW</t>
        </is>
      </c>
      <c r="M175" s="24" t="inlineStr">
        <is>
          <t>LOW</t>
        </is>
      </c>
      <c r="N175" s="24" t="inlineStr">
        <is>
          <t>0.4751999999999999</t>
        </is>
      </c>
      <c r="O175" s="24" t="inlineStr">
        <is>
          <t>FAIR</t>
        </is>
      </c>
      <c r="P175" s="24" t="inlineStr">
        <is>
          <t>FAIR</t>
        </is>
      </c>
      <c r="Q175" s="24" t="inlineStr">
        <is>
          <t>FAIR</t>
        </is>
      </c>
      <c r="R175" s="24" t="inlineStr">
        <is>
          <t>0.7108284021978194</t>
        </is>
      </c>
      <c r="S175" s="24" t="inlineStr">
        <is>
          <t>HIGH</t>
        </is>
      </c>
      <c r="T175" s="24" t="inlineStr">
        <is>
          <t>HIGH</t>
        </is>
      </c>
      <c r="U175" s="24" t="inlineStr">
        <is>
          <t>0.0</t>
        </is>
      </c>
      <c r="V175" s="24" t="inlineStr">
        <is>
          <t>LOW_RISK</t>
        </is>
      </c>
      <c r="W175" s="24" t="inlineStr">
        <is>
          <t>저위험</t>
        </is>
      </c>
      <c r="X175" s="24" t="inlineStr">
        <is>
          <t>LOW_RISK</t>
        </is>
      </c>
      <c r="Y175" s="24" t="inlineStr">
        <is>
          <t>0.9192147630692069</t>
        </is>
      </c>
      <c r="Z175" s="24" t="inlineStr">
        <is>
          <t>HIGH</t>
        </is>
      </c>
      <c r="AA175" s="24" t="inlineStr">
        <is>
          <t>HIGH</t>
        </is>
      </c>
      <c r="AB175" s="24" t="inlineStr">
        <is>
          <t>0.3306557234104388</t>
        </is>
      </c>
      <c r="AC175" s="24" t="inlineStr">
        <is>
          <t>True</t>
        </is>
      </c>
      <c r="AD175" s="24" t="inlineStr">
        <is>
          <t>True</t>
        </is>
      </c>
      <c r="AE175" s="24" t="inlineStr">
        <is>
          <t>valuation_credit_ml_overlay_candidate.csv</t>
        </is>
      </c>
      <c r="AF175" s="24" t="inlineStr">
        <is>
          <t>208개 반도체 reference universe. Valuation Agent가 자체 intake 폴더로 복제해 Peer/ML/대시보드 비교에 사용.</t>
        </is>
      </c>
    </row>
    <row r="176" ht="24" customHeight="1">
      <c r="A176" s="29" t="inlineStr">
        <is>
          <t>103</t>
        </is>
      </c>
      <c r="B176" s="29" t="inlineStr">
        <is>
          <t>해당 없음</t>
        </is>
      </c>
      <c r="C176" s="29" t="inlineStr">
        <is>
          <t>원익IPS</t>
        </is>
      </c>
      <c r="D176" s="29" t="inlineStr">
        <is>
          <t>240810</t>
        </is>
      </c>
      <c r="E176" s="29" t="inlineStr">
        <is>
          <t>KOSDAQ GLOBAL</t>
        </is>
      </c>
      <c r="F176" s="29" t="inlineStr">
        <is>
          <t>장비</t>
        </is>
      </c>
      <c r="G176" s="29" t="inlineStr">
        <is>
          <t>장비</t>
        </is>
      </c>
      <c r="H176" s="29" t="inlineStr">
        <is>
          <t>False</t>
        </is>
      </c>
      <c r="I176" s="29" t="inlineStr">
        <is>
          <t>True</t>
        </is>
      </c>
      <c r="J176" s="29" t="inlineStr">
        <is>
          <t>OK</t>
        </is>
      </c>
      <c r="K176" s="29" t="inlineStr">
        <is>
          <t>데이터 사용 가능</t>
        </is>
      </c>
      <c r="L176" s="29" t="inlineStr">
        <is>
          <t>LOW</t>
        </is>
      </c>
      <c r="M176" s="29" t="inlineStr">
        <is>
          <t>LOW</t>
        </is>
      </c>
      <c r="N176" s="29" t="inlineStr">
        <is>
          <t>0.4634666666666667</t>
        </is>
      </c>
      <c r="O176" s="29" t="inlineStr">
        <is>
          <t>FAIR</t>
        </is>
      </c>
      <c r="P176" s="29" t="inlineStr">
        <is>
          <t>FAIR</t>
        </is>
      </c>
      <c r="Q176" s="29" t="inlineStr">
        <is>
          <t>FAIR</t>
        </is>
      </c>
      <c r="R176" s="29" t="inlineStr">
        <is>
          <t>0.5727476694226805</t>
        </is>
      </c>
      <c r="S176" s="29" t="inlineStr">
        <is>
          <t>MEDIUM</t>
        </is>
      </c>
      <c r="T176" s="29" t="inlineStr">
        <is>
          <t>MEDIUM</t>
        </is>
      </c>
      <c r="U176" s="29" t="inlineStr">
        <is>
          <t>0.0714285714285714</t>
        </is>
      </c>
      <c r="V176" s="29" t="inlineStr">
        <is>
          <t>LOW_RISK</t>
        </is>
      </c>
      <c r="W176" s="29" t="inlineStr">
        <is>
          <t>저위험</t>
        </is>
      </c>
      <c r="X176" s="29" t="inlineStr">
        <is>
          <t>LOW_RISK</t>
        </is>
      </c>
      <c r="Y176" s="29" t="inlineStr">
        <is>
          <t>0.9598478437041975</t>
        </is>
      </c>
      <c r="Z176" s="29" t="inlineStr">
        <is>
          <t>HIGH</t>
        </is>
      </c>
      <c r="AA176" s="29" t="inlineStr">
        <is>
          <t>HIGH</t>
        </is>
      </c>
      <c r="AB176" s="29" t="inlineStr">
        <is>
          <t>0.08568837626660758</t>
        </is>
      </c>
      <c r="AC176" s="29" t="inlineStr">
        <is>
          <t>False</t>
        </is>
      </c>
      <c r="AD176" s="29" t="inlineStr">
        <is>
          <t>False</t>
        </is>
      </c>
      <c r="AE176" s="29" t="inlineStr">
        <is>
          <t>valuation_credit_ml_overlay_candidate.csv</t>
        </is>
      </c>
      <c r="AF176" s="29" t="inlineStr">
        <is>
          <t>208개 반도체 reference universe. Valuation Agent가 자체 intake 폴더로 복제해 Peer/ML/대시보드 비교에 사용.</t>
        </is>
      </c>
    </row>
    <row r="177" ht="24" customHeight="1">
      <c r="A177" s="24" t="inlineStr">
        <is>
          <t>118</t>
        </is>
      </c>
      <c r="B177" s="24" t="inlineStr">
        <is>
          <t>해당 없음</t>
        </is>
      </c>
      <c r="C177" s="24" t="inlineStr">
        <is>
          <t>파크시스템스</t>
        </is>
      </c>
      <c r="D177" s="24" t="inlineStr">
        <is>
          <t>140860</t>
        </is>
      </c>
      <c r="E177" s="24" t="inlineStr">
        <is>
          <t>KOSDAQ GLOBAL</t>
        </is>
      </c>
      <c r="F177" s="24" t="inlineStr">
        <is>
          <t>장비</t>
        </is>
      </c>
      <c r="G177" s="24" t="inlineStr">
        <is>
          <t>장비</t>
        </is>
      </c>
      <c r="H177" s="24" t="inlineStr">
        <is>
          <t>False</t>
        </is>
      </c>
      <c r="I177" s="24" t="inlineStr">
        <is>
          <t>True</t>
        </is>
      </c>
      <c r="J177" s="24" t="inlineStr">
        <is>
          <t>OK</t>
        </is>
      </c>
      <c r="K177" s="24" t="inlineStr">
        <is>
          <t>데이터 사용 가능</t>
        </is>
      </c>
      <c r="L177" s="24" t="inlineStr">
        <is>
          <t>LOW</t>
        </is>
      </c>
      <c r="M177" s="24" t="inlineStr">
        <is>
          <t>LOW</t>
        </is>
      </c>
      <c r="N177" s="24" t="inlineStr">
        <is>
          <t>0.4611999999999999</t>
        </is>
      </c>
      <c r="O177" s="24" t="inlineStr">
        <is>
          <t>FAIR</t>
        </is>
      </c>
      <c r="P177" s="24" t="inlineStr">
        <is>
          <t>FAIR</t>
        </is>
      </c>
      <c r="Q177" s="24" t="inlineStr">
        <is>
          <t>FAIR</t>
        </is>
      </c>
      <c r="R177" s="24" t="inlineStr">
        <is>
          <t>0.7158734205313764</t>
        </is>
      </c>
      <c r="S177" s="24" t="inlineStr">
        <is>
          <t>HIGH</t>
        </is>
      </c>
      <c r="T177" s="24" t="inlineStr">
        <is>
          <t>HIGH</t>
        </is>
      </c>
      <c r="U177" s="24" t="inlineStr">
        <is>
          <t>0.0714285714285714</t>
        </is>
      </c>
      <c r="V177" s="24" t="inlineStr">
        <is>
          <t>LOW_RISK</t>
        </is>
      </c>
      <c r="W177" s="24" t="inlineStr">
        <is>
          <t>저위험</t>
        </is>
      </c>
      <c r="X177" s="24" t="inlineStr">
        <is>
          <t>LOW_RISK</t>
        </is>
      </c>
      <c r="Y177" s="24" t="inlineStr">
        <is>
          <t>0.8562648725642331</t>
        </is>
      </c>
      <c r="Z177" s="24" t="inlineStr">
        <is>
          <t>HIGH</t>
        </is>
      </c>
      <c r="AA177" s="24" t="inlineStr">
        <is>
          <t>HIGH</t>
        </is>
      </c>
      <c r="AB177" s="24" t="inlineStr">
        <is>
          <t>0.038412769981702295</t>
        </is>
      </c>
      <c r="AC177" s="24" t="inlineStr">
        <is>
          <t>False</t>
        </is>
      </c>
      <c r="AD177" s="24" t="inlineStr">
        <is>
          <t>False</t>
        </is>
      </c>
      <c r="AE177" s="24" t="inlineStr">
        <is>
          <t>valuation_credit_ml_overlay_candidate.csv</t>
        </is>
      </c>
      <c r="AF177" s="24" t="inlineStr">
        <is>
          <t>208개 반도체 reference universe. Valuation Agent가 자체 intake 폴더로 복제해 Peer/ML/대시보드 비교에 사용.</t>
        </is>
      </c>
    </row>
    <row r="178" ht="24" customHeight="1">
      <c r="A178" s="29" t="inlineStr">
        <is>
          <t>90</t>
        </is>
      </c>
      <c r="B178" s="29" t="inlineStr">
        <is>
          <t>해당 없음</t>
        </is>
      </c>
      <c r="C178" s="29" t="inlineStr">
        <is>
          <t>서플러스글로벌</t>
        </is>
      </c>
      <c r="D178" s="29" t="inlineStr">
        <is>
          <t>140070</t>
        </is>
      </c>
      <c r="E178" s="29" t="inlineStr">
        <is>
          <t>KOSDAQ</t>
        </is>
      </c>
      <c r="F178" s="29" t="inlineStr">
        <is>
          <t>장비</t>
        </is>
      </c>
      <c r="G178" s="29" t="inlineStr">
        <is>
          <t>장비</t>
        </is>
      </c>
      <c r="H178" s="29" t="inlineStr">
        <is>
          <t>False</t>
        </is>
      </c>
      <c r="I178" s="29" t="inlineStr">
        <is>
          <t>True</t>
        </is>
      </c>
      <c r="J178" s="29" t="inlineStr">
        <is>
          <t>OK</t>
        </is>
      </c>
      <c r="K178" s="29" t="inlineStr">
        <is>
          <t>데이터 사용 가능</t>
        </is>
      </c>
      <c r="L178" s="29" t="inlineStr">
        <is>
          <t>LOW</t>
        </is>
      </c>
      <c r="M178" s="29" t="inlineStr">
        <is>
          <t>LOW</t>
        </is>
      </c>
      <c r="N178" s="29" t="inlineStr">
        <is>
          <t>0.4594666666666667</t>
        </is>
      </c>
      <c r="O178" s="29" t="inlineStr">
        <is>
          <t>FAIR</t>
        </is>
      </c>
      <c r="P178" s="29" t="inlineStr">
        <is>
          <t>FAIR</t>
        </is>
      </c>
      <c r="Q178" s="29" t="inlineStr">
        <is>
          <t>FAIR</t>
        </is>
      </c>
      <c r="R178" s="29" t="inlineStr">
        <is>
          <t>0.6515364241286621</t>
        </is>
      </c>
      <c r="S178" s="29" t="inlineStr">
        <is>
          <t>MEDIUM</t>
        </is>
      </c>
      <c r="T178" s="29" t="inlineStr">
        <is>
          <t>MEDIUM</t>
        </is>
      </c>
      <c r="U178" s="29" t="inlineStr">
        <is>
          <t>0.7142857142857143</t>
        </is>
      </c>
      <c r="V178" s="29" t="inlineStr">
        <is>
          <t>HIGH_RISK</t>
        </is>
      </c>
      <c r="W178" s="29" t="inlineStr">
        <is>
          <t>고위험</t>
        </is>
      </c>
      <c r="X178" s="29" t="inlineStr">
        <is>
          <t>HIGH_RISK</t>
        </is>
      </c>
      <c r="Y178" s="29" t="inlineStr">
        <is>
          <t>0.9338637410254204</t>
        </is>
      </c>
      <c r="Z178" s="29" t="inlineStr">
        <is>
          <t>HIGH</t>
        </is>
      </c>
      <c r="AA178" s="29" t="inlineStr">
        <is>
          <t>HIGH</t>
        </is>
      </c>
      <c r="AB178" s="29" t="inlineStr">
        <is>
          <t>0.11246105889395507</t>
        </is>
      </c>
      <c r="AC178" s="29" t="inlineStr">
        <is>
          <t>False</t>
        </is>
      </c>
      <c r="AD178" s="29" t="inlineStr">
        <is>
          <t>False</t>
        </is>
      </c>
      <c r="AE178" s="29" t="inlineStr">
        <is>
          <t>valuation_credit_ml_overlay_candidate.csv</t>
        </is>
      </c>
      <c r="AF178" s="29" t="inlineStr">
        <is>
          <t>208개 반도체 reference universe. Valuation Agent가 자체 intake 폴더로 복제해 Peer/ML/대시보드 비교에 사용.</t>
        </is>
      </c>
    </row>
    <row r="179" ht="24" customHeight="1">
      <c r="A179" s="24" t="inlineStr">
        <is>
          <t>97</t>
        </is>
      </c>
      <c r="B179" s="24" t="inlineStr">
        <is>
          <t>해당 없음</t>
        </is>
      </c>
      <c r="C179" s="24" t="inlineStr">
        <is>
          <t>에스티아이</t>
        </is>
      </c>
      <c r="D179" s="24" t="inlineStr">
        <is>
          <t>039440</t>
        </is>
      </c>
      <c r="E179" s="24" t="inlineStr">
        <is>
          <t>KOSDAQ</t>
        </is>
      </c>
      <c r="F179" s="24" t="inlineStr">
        <is>
          <t>장비</t>
        </is>
      </c>
      <c r="G179" s="24" t="inlineStr">
        <is>
          <t>장비</t>
        </is>
      </c>
      <c r="H179" s="24" t="inlineStr">
        <is>
          <t>False</t>
        </is>
      </c>
      <c r="I179" s="24" t="inlineStr">
        <is>
          <t>True</t>
        </is>
      </c>
      <c r="J179" s="24" t="inlineStr">
        <is>
          <t>OK</t>
        </is>
      </c>
      <c r="K179" s="24" t="inlineStr">
        <is>
          <t>데이터 사용 가능</t>
        </is>
      </c>
      <c r="L179" s="24" t="inlineStr">
        <is>
          <t>LOW</t>
        </is>
      </c>
      <c r="M179" s="24" t="inlineStr">
        <is>
          <t>LOW</t>
        </is>
      </c>
      <c r="N179" s="24" t="inlineStr">
        <is>
          <t>0.4549999999999999</t>
        </is>
      </c>
      <c r="O179" s="24" t="inlineStr">
        <is>
          <t>FAIR</t>
        </is>
      </c>
      <c r="P179" s="24" t="inlineStr">
        <is>
          <t>FAIR</t>
        </is>
      </c>
      <c r="Q179" s="24" t="inlineStr">
        <is>
          <t>FAIR</t>
        </is>
      </c>
      <c r="R179" s="24" t="inlineStr">
        <is>
          <t>0.53270990340385</t>
        </is>
      </c>
      <c r="S179" s="24" t="inlineStr">
        <is>
          <t>MEDIUM</t>
        </is>
      </c>
      <c r="T179" s="24" t="inlineStr">
        <is>
          <t>MEDIUM</t>
        </is>
      </c>
      <c r="U179" s="24" t="inlineStr">
        <is>
          <t>0.0</t>
        </is>
      </c>
      <c r="V179" s="24" t="inlineStr">
        <is>
          <t>LOW_RISK</t>
        </is>
      </c>
      <c r="W179" s="24" t="inlineStr">
        <is>
          <t>저위험</t>
        </is>
      </c>
      <c r="X179" s="24" t="inlineStr">
        <is>
          <t>LOW_RISK</t>
        </is>
      </c>
      <c r="Y179" s="24" t="inlineStr">
        <is>
          <t>0.911990788525375</t>
        </is>
      </c>
      <c r="Z179" s="24" t="inlineStr">
        <is>
          <t>HIGH</t>
        </is>
      </c>
      <c r="AA179" s="24" t="inlineStr">
        <is>
          <t>HIGH</t>
        </is>
      </c>
      <c r="AB179" s="24" t="inlineStr">
        <is>
          <t>0.012946139293246964</t>
        </is>
      </c>
      <c r="AC179" s="24" t="inlineStr">
        <is>
          <t>False</t>
        </is>
      </c>
      <c r="AD179" s="24" t="inlineStr">
        <is>
          <t>False</t>
        </is>
      </c>
      <c r="AE179" s="24" t="inlineStr">
        <is>
          <t>valuation_credit_ml_overlay_candidate.csv</t>
        </is>
      </c>
      <c r="AF179" s="24" t="inlineStr">
        <is>
          <t>208개 반도체 reference universe. Valuation Agent가 자체 intake 폴더로 복제해 Peer/ML/대시보드 비교에 사용.</t>
        </is>
      </c>
    </row>
    <row r="180" ht="24" customHeight="1">
      <c r="A180" s="29" t="inlineStr">
        <is>
          <t>106</t>
        </is>
      </c>
      <c r="B180" s="29" t="inlineStr">
        <is>
          <t>해당 없음</t>
        </is>
      </c>
      <c r="C180" s="29" t="inlineStr">
        <is>
          <t>유진테크</t>
        </is>
      </c>
      <c r="D180" s="29" t="inlineStr">
        <is>
          <t>084370</t>
        </is>
      </c>
      <c r="E180" s="29" t="inlineStr">
        <is>
          <t>KOSDAQ</t>
        </is>
      </c>
      <c r="F180" s="29" t="inlineStr">
        <is>
          <t>장비</t>
        </is>
      </c>
      <c r="G180" s="29" t="inlineStr">
        <is>
          <t>장비</t>
        </is>
      </c>
      <c r="H180" s="29" t="inlineStr">
        <is>
          <t>False</t>
        </is>
      </c>
      <c r="I180" s="29" t="inlineStr">
        <is>
          <t>True</t>
        </is>
      </c>
      <c r="J180" s="29" t="inlineStr">
        <is>
          <t>OK</t>
        </is>
      </c>
      <c r="K180" s="29" t="inlineStr">
        <is>
          <t>데이터 사용 가능</t>
        </is>
      </c>
      <c r="L180" s="29" t="inlineStr">
        <is>
          <t>LOW</t>
        </is>
      </c>
      <c r="M180" s="29" t="inlineStr">
        <is>
          <t>LOW</t>
        </is>
      </c>
      <c r="N180" s="29" t="inlineStr">
        <is>
          <t>0.4335999999999999</t>
        </is>
      </c>
      <c r="O180" s="29" t="inlineStr">
        <is>
          <t>FAIR</t>
        </is>
      </c>
      <c r="P180" s="29" t="inlineStr">
        <is>
          <t>FAIR</t>
        </is>
      </c>
      <c r="Q180" s="29" t="inlineStr">
        <is>
          <t>FAIR</t>
        </is>
      </c>
      <c r="R180" s="29" t="inlineStr">
        <is>
          <t>0.7415227894291446</t>
        </is>
      </c>
      <c r="S180" s="29" t="inlineStr">
        <is>
          <t>HIGH</t>
        </is>
      </c>
      <c r="T180" s="29" t="inlineStr">
        <is>
          <t>HIGH</t>
        </is>
      </c>
      <c r="U180" s="29" t="inlineStr">
        <is>
          <t>0.0</t>
        </is>
      </c>
      <c r="V180" s="29" t="inlineStr">
        <is>
          <t>LOW_RISK</t>
        </is>
      </c>
      <c r="W180" s="29" t="inlineStr">
        <is>
          <t>저위험</t>
        </is>
      </c>
      <c r="X180" s="29" t="inlineStr">
        <is>
          <t>LOW_RISK</t>
        </is>
      </c>
      <c r="Y180" s="29" t="inlineStr">
        <is>
          <t>0.972105078189685</t>
        </is>
      </c>
      <c r="Z180" s="29" t="inlineStr">
        <is>
          <t>HIGH</t>
        </is>
      </c>
      <c r="AA180" s="29" t="inlineStr">
        <is>
          <t>HIGH</t>
        </is>
      </c>
      <c r="AB180" s="29" t="inlineStr">
        <is>
          <t>0.06698695126425369</t>
        </is>
      </c>
      <c r="AC180" s="29" t="inlineStr">
        <is>
          <t>False</t>
        </is>
      </c>
      <c r="AD180" s="29" t="inlineStr">
        <is>
          <t>False</t>
        </is>
      </c>
      <c r="AE180" s="29" t="inlineStr">
        <is>
          <t>valuation_credit_ml_overlay_candidate.csv</t>
        </is>
      </c>
      <c r="AF180" s="29" t="inlineStr">
        <is>
          <t>208개 반도체 reference universe. Valuation Agent가 자체 intake 폴더로 복제해 Peer/ML/대시보드 비교에 사용.</t>
        </is>
      </c>
    </row>
    <row r="181" ht="24" customHeight="1">
      <c r="A181" s="24" t="inlineStr">
        <is>
          <t>109</t>
        </is>
      </c>
      <c r="B181" s="24" t="inlineStr">
        <is>
          <t>해당 없음</t>
        </is>
      </c>
      <c r="C181" s="24" t="inlineStr">
        <is>
          <t>제우스</t>
        </is>
      </c>
      <c r="D181" s="24" t="inlineStr">
        <is>
          <t>079370</t>
        </is>
      </c>
      <c r="E181" s="24" t="inlineStr">
        <is>
          <t>KOSDAQ</t>
        </is>
      </c>
      <c r="F181" s="24" t="inlineStr">
        <is>
          <t>장비</t>
        </is>
      </c>
      <c r="G181" s="24" t="inlineStr">
        <is>
          <t>장비</t>
        </is>
      </c>
      <c r="H181" s="24" t="inlineStr">
        <is>
          <t>False</t>
        </is>
      </c>
      <c r="I181" s="24" t="inlineStr">
        <is>
          <t>True</t>
        </is>
      </c>
      <c r="J181" s="24" t="inlineStr">
        <is>
          <t>OK</t>
        </is>
      </c>
      <c r="K181" s="24" t="inlineStr">
        <is>
          <t>데이터 사용 가능</t>
        </is>
      </c>
      <c r="L181" s="24" t="inlineStr">
        <is>
          <t>LOW</t>
        </is>
      </c>
      <c r="M181" s="24" t="inlineStr">
        <is>
          <t>LOW</t>
        </is>
      </c>
      <c r="N181" s="24" t="inlineStr">
        <is>
          <t>0.4258666666666666</t>
        </is>
      </c>
      <c r="O181" s="24" t="inlineStr">
        <is>
          <t>FAIR</t>
        </is>
      </c>
      <c r="P181" s="24" t="inlineStr">
        <is>
          <t>FAIR</t>
        </is>
      </c>
      <c r="Q181" s="24" t="inlineStr">
        <is>
          <t>FAIR</t>
        </is>
      </c>
      <c r="R181" s="24" t="inlineStr">
        <is>
          <t>0.7744454918412472</t>
        </is>
      </c>
      <c r="S181" s="24" t="inlineStr">
        <is>
          <t>HIGH</t>
        </is>
      </c>
      <c r="T181" s="24" t="inlineStr">
        <is>
          <t>HIGH</t>
        </is>
      </c>
      <c r="U181" s="24" t="inlineStr">
        <is>
          <t>0.2142857142857142</t>
        </is>
      </c>
      <c r="V181" s="24" t="inlineStr">
        <is>
          <t>MEDIUM_RISK</t>
        </is>
      </c>
      <c r="W181" s="24" t="inlineStr">
        <is>
          <t>중위험</t>
        </is>
      </c>
      <c r="X181" s="24" t="inlineStr">
        <is>
          <t>MEDIUM_RISK</t>
        </is>
      </c>
      <c r="Y181" s="24" t="inlineStr">
        <is>
          <t>0.7526716293270965</t>
        </is>
      </c>
      <c r="Z181" s="24" t="inlineStr">
        <is>
          <t>HIGH</t>
        </is>
      </c>
      <c r="AA181" s="24" t="inlineStr">
        <is>
          <t>HIGH</t>
        </is>
      </c>
      <c r="AB181" s="24" t="inlineStr">
        <is>
          <t>0.011543006177035572</t>
        </is>
      </c>
      <c r="AC181" s="24" t="inlineStr">
        <is>
          <t>False</t>
        </is>
      </c>
      <c r="AD181" s="24" t="inlineStr">
        <is>
          <t>False</t>
        </is>
      </c>
      <c r="AE181" s="24" t="inlineStr">
        <is>
          <t>valuation_credit_ml_overlay_candidate.csv</t>
        </is>
      </c>
      <c r="AF181" s="24" t="inlineStr">
        <is>
          <t>208개 반도체 reference universe. Valuation Agent가 자체 intake 폴더로 복제해 Peer/ML/대시보드 비교에 사용.</t>
        </is>
      </c>
    </row>
    <row r="182" ht="24" customHeight="1">
      <c r="A182" s="29" t="inlineStr">
        <is>
          <t>83</t>
        </is>
      </c>
      <c r="B182" s="29" t="inlineStr">
        <is>
          <t>해당 없음</t>
        </is>
      </c>
      <c r="C182" s="29" t="inlineStr">
        <is>
          <t>램테크놀러지</t>
        </is>
      </c>
      <c r="D182" s="29" t="inlineStr">
        <is>
          <t>171010</t>
        </is>
      </c>
      <c r="E182" s="29" t="inlineStr">
        <is>
          <t>KOSDAQ</t>
        </is>
      </c>
      <c r="F182" s="29" t="inlineStr">
        <is>
          <t>장비</t>
        </is>
      </c>
      <c r="G182" s="29" t="inlineStr">
        <is>
          <t>장비</t>
        </is>
      </c>
      <c r="H182" s="29" t="inlineStr">
        <is>
          <t>False</t>
        </is>
      </c>
      <c r="I182" s="29" t="inlineStr">
        <is>
          <t>True</t>
        </is>
      </c>
      <c r="J182" s="29" t="inlineStr">
        <is>
          <t>OK</t>
        </is>
      </c>
      <c r="K182" s="29" t="inlineStr">
        <is>
          <t>데이터 사용 가능</t>
        </is>
      </c>
      <c r="L182" s="29" t="inlineStr">
        <is>
          <t>LOW</t>
        </is>
      </c>
      <c r="M182" s="29" t="inlineStr">
        <is>
          <t>LOW</t>
        </is>
      </c>
      <c r="N182" s="29" t="inlineStr">
        <is>
          <t>0.4097333333333334</t>
        </is>
      </c>
      <c r="O182" s="29" t="inlineStr">
        <is>
          <t>EXPENSIVE</t>
        </is>
      </c>
      <c r="P182" s="29" t="inlineStr">
        <is>
          <t>EXPENSIVE</t>
        </is>
      </c>
      <c r="Q182" s="29" t="inlineStr">
        <is>
          <t>FAIR</t>
        </is>
      </c>
      <c r="R182" s="29" t="inlineStr">
        <is>
          <t>0.500591784236833</t>
        </is>
      </c>
      <c r="S182" s="29" t="inlineStr">
        <is>
          <t>MEDIUM</t>
        </is>
      </c>
      <c r="T182" s="29" t="inlineStr">
        <is>
          <t>MEDIUM</t>
        </is>
      </c>
      <c r="U182" s="29" t="inlineStr">
        <is>
          <t>0.6428571428571429</t>
        </is>
      </c>
      <c r="V182" s="29" t="inlineStr">
        <is>
          <t>HIGH_RISK</t>
        </is>
      </c>
      <c r="W182" s="29" t="inlineStr">
        <is>
          <t>고위험</t>
        </is>
      </c>
      <c r="X182" s="29" t="inlineStr">
        <is>
          <t>HIGH_RISK</t>
        </is>
      </c>
      <c r="Y182" s="29" t="inlineStr">
        <is>
          <t>0.7085071659992903</t>
        </is>
      </c>
      <c r="Z182" s="29" t="inlineStr">
        <is>
          <t>HIGH</t>
        </is>
      </c>
      <c r="AA182" s="29" t="inlineStr">
        <is>
          <t>HIGH</t>
        </is>
      </c>
      <c r="AB182" s="29" t="inlineStr">
        <is>
          <t>0.08748635209855961</t>
        </is>
      </c>
      <c r="AC182" s="29" t="inlineStr">
        <is>
          <t>False</t>
        </is>
      </c>
      <c r="AD182" s="29" t="inlineStr">
        <is>
          <t>False</t>
        </is>
      </c>
      <c r="AE182" s="29" t="inlineStr">
        <is>
          <t>valuation_credit_ml_overlay_candidate.csv</t>
        </is>
      </c>
      <c r="AF182" s="29" t="inlineStr">
        <is>
          <t>208개 반도체 reference universe. Valuation Agent가 자체 intake 폴더로 복제해 Peer/ML/대시보드 비교에 사용.</t>
        </is>
      </c>
    </row>
    <row r="183" ht="24" customHeight="1">
      <c r="A183" s="24" t="inlineStr">
        <is>
          <t>108</t>
        </is>
      </c>
      <c r="B183" s="24" t="inlineStr">
        <is>
          <t>해당 없음</t>
        </is>
      </c>
      <c r="C183" s="24" t="inlineStr">
        <is>
          <t>저스템</t>
        </is>
      </c>
      <c r="D183" s="24" t="inlineStr">
        <is>
          <t>417840</t>
        </is>
      </c>
      <c r="E183" s="24" t="inlineStr">
        <is>
          <t>KOSDAQ</t>
        </is>
      </c>
      <c r="F183" s="24" t="inlineStr">
        <is>
          <t>장비</t>
        </is>
      </c>
      <c r="G183" s="24" t="inlineStr">
        <is>
          <t>장비</t>
        </is>
      </c>
      <c r="H183" s="24" t="inlineStr">
        <is>
          <t>False</t>
        </is>
      </c>
      <c r="I183" s="24" t="inlineStr">
        <is>
          <t>True</t>
        </is>
      </c>
      <c r="J183" s="24" t="inlineStr">
        <is>
          <t>OK</t>
        </is>
      </c>
      <c r="K183" s="24" t="inlineStr">
        <is>
          <t>데이터 사용 가능</t>
        </is>
      </c>
      <c r="L183" s="24" t="inlineStr">
        <is>
          <t>LOW</t>
        </is>
      </c>
      <c r="M183" s="24" t="inlineStr">
        <is>
          <t>LOW</t>
        </is>
      </c>
      <c r="N183" s="24" t="inlineStr">
        <is>
          <t>0.4036</t>
        </is>
      </c>
      <c r="O183" s="24" t="inlineStr">
        <is>
          <t>EXPENSIVE</t>
        </is>
      </c>
      <c r="P183" s="24" t="inlineStr">
        <is>
          <t>EXPENSIVE</t>
        </is>
      </c>
      <c r="Q183" s="24" t="inlineStr">
        <is>
          <t>EXPENSIVE</t>
        </is>
      </c>
      <c r="R183" s="24" t="inlineStr">
        <is>
          <t>0.7213257522774291</t>
        </is>
      </c>
      <c r="S183" s="24" t="inlineStr">
        <is>
          <t>HIGH</t>
        </is>
      </c>
      <c r="T183" s="24" t="inlineStr">
        <is>
          <t>HIGH</t>
        </is>
      </c>
      <c r="U183" s="24" t="inlineStr">
        <is>
          <t>0.2857142857142857</t>
        </is>
      </c>
      <c r="V183" s="24" t="inlineStr">
        <is>
          <t>MEDIUM_RISK</t>
        </is>
      </c>
      <c r="W183" s="24" t="inlineStr">
        <is>
          <t>중위험</t>
        </is>
      </c>
      <c r="X183" s="24" t="inlineStr">
        <is>
          <t>MEDIUM_RISK</t>
        </is>
      </c>
      <c r="Y183" s="24" t="inlineStr">
        <is>
          <t>0.6200895030304687</t>
        </is>
      </c>
      <c r="Z183" s="24" t="inlineStr">
        <is>
          <t>MEDIUM</t>
        </is>
      </c>
      <c r="AA183" s="24" t="inlineStr">
        <is>
          <t>MEDIUM</t>
        </is>
      </c>
      <c r="AB183" s="24" t="inlineStr">
        <is>
          <t>0.06530461326030516</t>
        </is>
      </c>
      <c r="AC183" s="24" t="inlineStr">
        <is>
          <t>False</t>
        </is>
      </c>
      <c r="AD183" s="24" t="inlineStr">
        <is>
          <t>False</t>
        </is>
      </c>
      <c r="AE183" s="24" t="inlineStr">
        <is>
          <t>valuation_credit_ml_overlay_candidate.csv</t>
        </is>
      </c>
      <c r="AF183" s="24" t="inlineStr">
        <is>
          <t>208개 반도체 reference universe. Valuation Agent가 자체 intake 폴더로 복제해 Peer/ML/대시보드 비교에 사용.</t>
        </is>
      </c>
    </row>
    <row r="184" ht="24" customHeight="1">
      <c r="A184" s="29" t="inlineStr">
        <is>
          <t>111</t>
        </is>
      </c>
      <c r="B184" s="29" t="inlineStr">
        <is>
          <t>해당 없음</t>
        </is>
      </c>
      <c r="C184" s="29" t="inlineStr">
        <is>
          <t>지아이에스</t>
        </is>
      </c>
      <c r="D184" s="29" t="inlineStr">
        <is>
          <t>306620</t>
        </is>
      </c>
      <c r="E184" s="29" t="inlineStr">
        <is>
          <t>KOSDAQ</t>
        </is>
      </c>
      <c r="F184" s="29" t="inlineStr">
        <is>
          <t>장비</t>
        </is>
      </c>
      <c r="G184" s="29" t="inlineStr">
        <is>
          <t>장비</t>
        </is>
      </c>
      <c r="H184" s="29" t="inlineStr">
        <is>
          <t>False</t>
        </is>
      </c>
      <c r="I184" s="29" t="inlineStr">
        <is>
          <t>True</t>
        </is>
      </c>
      <c r="J184" s="29" t="inlineStr">
        <is>
          <t>OK</t>
        </is>
      </c>
      <c r="K184" s="29" t="inlineStr">
        <is>
          <t>데이터 사용 가능</t>
        </is>
      </c>
      <c r="L184" s="29" t="inlineStr">
        <is>
          <t>LOW</t>
        </is>
      </c>
      <c r="M184" s="29" t="inlineStr">
        <is>
          <t>LOW</t>
        </is>
      </c>
      <c r="N184" s="29" t="inlineStr">
        <is>
          <t>0.4014666666666666</t>
        </is>
      </c>
      <c r="O184" s="29" t="inlineStr">
        <is>
          <t>EXPENSIVE</t>
        </is>
      </c>
      <c r="P184" s="29" t="inlineStr">
        <is>
          <t>EXPENSIVE</t>
        </is>
      </c>
      <c r="Q184" s="29" t="inlineStr">
        <is>
          <t>EXPENSIVE</t>
        </is>
      </c>
      <c r="R184" s="29" t="inlineStr">
        <is>
          <t>0.745903271306321</t>
        </is>
      </c>
      <c r="S184" s="29" t="inlineStr">
        <is>
          <t>HIGH</t>
        </is>
      </c>
      <c r="T184" s="29" t="inlineStr">
        <is>
          <t>HIGH</t>
        </is>
      </c>
      <c r="U184" s="29" t="inlineStr">
        <is>
          <t>0.5714285714285714</t>
        </is>
      </c>
      <c r="V184" s="29" t="inlineStr">
        <is>
          <t>HIGH_RISK</t>
        </is>
      </c>
      <c r="W184" s="29" t="inlineStr">
        <is>
          <t>고위험</t>
        </is>
      </c>
      <c r="X184" s="29" t="inlineStr">
        <is>
          <t>HIGH_RISK</t>
        </is>
      </c>
      <c r="Y184" s="29" t="inlineStr">
        <is>
          <t>0.7985810664806972</t>
        </is>
      </c>
      <c r="Z184" s="29" t="inlineStr">
        <is>
          <t>HIGH</t>
        </is>
      </c>
      <c r="AA184" s="29" t="inlineStr">
        <is>
          <t>HIGH</t>
        </is>
      </c>
      <c r="AB184" s="29" t="inlineStr">
        <is>
          <t>0.10027107402555603</t>
        </is>
      </c>
      <c r="AC184" s="29" t="inlineStr">
        <is>
          <t>False</t>
        </is>
      </c>
      <c r="AD184" s="29" t="inlineStr">
        <is>
          <t>False</t>
        </is>
      </c>
      <c r="AE184" s="29" t="inlineStr">
        <is>
          <t>valuation_credit_ml_overlay_candidate.csv</t>
        </is>
      </c>
      <c r="AF184" s="29" t="inlineStr">
        <is>
          <t>208개 반도체 reference universe. Valuation Agent가 자체 intake 폴더로 복제해 Peer/ML/대시보드 비교에 사용.</t>
        </is>
      </c>
    </row>
    <row r="185" ht="24" customHeight="1">
      <c r="A185" s="24" t="inlineStr">
        <is>
          <t>98</t>
        </is>
      </c>
      <c r="B185" s="24" t="inlineStr">
        <is>
          <t>해당 없음</t>
        </is>
      </c>
      <c r="C185" s="24" t="inlineStr">
        <is>
          <t>에프에스티</t>
        </is>
      </c>
      <c r="D185" s="24" t="inlineStr">
        <is>
          <t>036810</t>
        </is>
      </c>
      <c r="E185" s="24" t="inlineStr">
        <is>
          <t>KOSDAQ</t>
        </is>
      </c>
      <c r="F185" s="24" t="inlineStr">
        <is>
          <t>장비</t>
        </is>
      </c>
      <c r="G185" s="24" t="inlineStr">
        <is>
          <t>장비</t>
        </is>
      </c>
      <c r="H185" s="24" t="inlineStr">
        <is>
          <t>False</t>
        </is>
      </c>
      <c r="I185" s="24" t="inlineStr">
        <is>
          <t>True</t>
        </is>
      </c>
      <c r="J185" s="24" t="inlineStr">
        <is>
          <t>OK</t>
        </is>
      </c>
      <c r="K185" s="24" t="inlineStr">
        <is>
          <t>데이터 사용 가능</t>
        </is>
      </c>
      <c r="L185" s="24" t="inlineStr">
        <is>
          <t>LOW</t>
        </is>
      </c>
      <c r="M185" s="24" t="inlineStr">
        <is>
          <t>LOW</t>
        </is>
      </c>
      <c r="N185" s="24" t="inlineStr">
        <is>
          <t>0.3826666666666666</t>
        </is>
      </c>
      <c r="O185" s="24" t="inlineStr">
        <is>
          <t>EXPENSIVE</t>
        </is>
      </c>
      <c r="P185" s="24" t="inlineStr">
        <is>
          <t>EXPENSIVE</t>
        </is>
      </c>
      <c r="Q185" s="24" t="inlineStr">
        <is>
          <t>EXPENSIVE</t>
        </is>
      </c>
      <c r="R185" s="24" t="inlineStr">
        <is>
          <t>0.8925631629286743</t>
        </is>
      </c>
      <c r="S185" s="24" t="inlineStr">
        <is>
          <t>HIGH</t>
        </is>
      </c>
      <c r="T185" s="24" t="inlineStr">
        <is>
          <t>HIGH</t>
        </is>
      </c>
      <c r="U185" s="24" t="inlineStr">
        <is>
          <t>0.5</t>
        </is>
      </c>
      <c r="V185" s="24" t="inlineStr">
        <is>
          <t>HIGH_RISK</t>
        </is>
      </c>
      <c r="W185" s="24" t="inlineStr">
        <is>
          <t>고위험</t>
        </is>
      </c>
      <c r="X185" s="24" t="inlineStr">
        <is>
          <t>HIGH_RISK</t>
        </is>
      </c>
      <c r="Y185" s="24" t="inlineStr">
        <is>
          <t>0.6842794288306946</t>
        </is>
      </c>
      <c r="Z185" s="24" t="inlineStr">
        <is>
          <t>MEDIUM</t>
        </is>
      </c>
      <c r="AA185" s="24" t="inlineStr">
        <is>
          <t>MEDIUM</t>
        </is>
      </c>
      <c r="AB185" s="24" t="inlineStr">
        <is>
          <t>0.03870825972114044</t>
        </is>
      </c>
      <c r="AC185" s="24" t="inlineStr">
        <is>
          <t>False</t>
        </is>
      </c>
      <c r="AD185" s="24" t="inlineStr">
        <is>
          <t>False</t>
        </is>
      </c>
      <c r="AE185" s="24" t="inlineStr">
        <is>
          <t>valuation_credit_ml_overlay_candidate.csv</t>
        </is>
      </c>
      <c r="AF185" s="24" t="inlineStr">
        <is>
          <t>208개 반도체 reference universe. Valuation Agent가 자체 intake 폴더로 복제해 Peer/ML/대시보드 비교에 사용.</t>
        </is>
      </c>
    </row>
    <row r="186" ht="24" customHeight="1">
      <c r="A186" s="29" t="inlineStr">
        <is>
          <t>78</t>
        </is>
      </c>
      <c r="B186" s="29" t="inlineStr">
        <is>
          <t>해당 없음</t>
        </is>
      </c>
      <c r="C186" s="29" t="inlineStr">
        <is>
          <t>나노신소재</t>
        </is>
      </c>
      <c r="D186" s="29" t="inlineStr">
        <is>
          <t>121600</t>
        </is>
      </c>
      <c r="E186" s="29" t="inlineStr">
        <is>
          <t>KOSDAQ</t>
        </is>
      </c>
      <c r="F186" s="29" t="inlineStr">
        <is>
          <t>장비</t>
        </is>
      </c>
      <c r="G186" s="29" t="inlineStr">
        <is>
          <t>장비</t>
        </is>
      </c>
      <c r="H186" s="29" t="inlineStr">
        <is>
          <t>False</t>
        </is>
      </c>
      <c r="I186" s="29" t="inlineStr">
        <is>
          <t>True</t>
        </is>
      </c>
      <c r="J186" s="29" t="inlineStr">
        <is>
          <t>OK</t>
        </is>
      </c>
      <c r="K186" s="29" t="inlineStr">
        <is>
          <t>데이터 사용 가능</t>
        </is>
      </c>
      <c r="L186" s="29" t="inlineStr">
        <is>
          <t>LOW</t>
        </is>
      </c>
      <c r="M186" s="29" t="inlineStr">
        <is>
          <t>LOW</t>
        </is>
      </c>
      <c r="N186" s="29" t="inlineStr">
        <is>
          <t>0.3822666666666666</t>
        </is>
      </c>
      <c r="O186" s="29" t="inlineStr">
        <is>
          <t>EXPENSIVE</t>
        </is>
      </c>
      <c r="P186" s="29" t="inlineStr">
        <is>
          <t>EXPENSIVE</t>
        </is>
      </c>
      <c r="Q186" s="29" t="inlineStr">
        <is>
          <t>EXPENSIVE</t>
        </is>
      </c>
      <c r="R186" s="29" t="inlineStr">
        <is>
          <t>0.7555342246021253</t>
        </is>
      </c>
      <c r="S186" s="29" t="inlineStr">
        <is>
          <t>HIGH</t>
        </is>
      </c>
      <c r="T186" s="29" t="inlineStr">
        <is>
          <t>HIGH</t>
        </is>
      </c>
      <c r="U186" s="29" t="inlineStr">
        <is>
          <t>0.0</t>
        </is>
      </c>
      <c r="V186" s="29" t="inlineStr">
        <is>
          <t>LOW_RISK</t>
        </is>
      </c>
      <c r="W186" s="29" t="inlineStr">
        <is>
          <t>저위험</t>
        </is>
      </c>
      <c r="X186" s="29" t="inlineStr">
        <is>
          <t>LOW_RISK</t>
        </is>
      </c>
      <c r="Y186" s="29" t="inlineStr">
        <is>
          <t>0.6225133085657061</t>
        </is>
      </c>
      <c r="Z186" s="29" t="inlineStr">
        <is>
          <t>MEDIUM</t>
        </is>
      </c>
      <c r="AA186" s="29" t="inlineStr">
        <is>
          <t>MEDIUM</t>
        </is>
      </c>
      <c r="AB186" s="29" t="inlineStr">
        <is>
          <t>0.006422827813209868</t>
        </is>
      </c>
      <c r="AC186" s="29" t="inlineStr">
        <is>
          <t>False</t>
        </is>
      </c>
      <c r="AD186" s="29" t="inlineStr">
        <is>
          <t>False</t>
        </is>
      </c>
      <c r="AE186" s="29" t="inlineStr">
        <is>
          <t>valuation_credit_ml_overlay_candidate.csv</t>
        </is>
      </c>
      <c r="AF186" s="29" t="inlineStr">
        <is>
          <t>208개 반도체 reference universe. Valuation Agent가 자체 intake 폴더로 복제해 Peer/ML/대시보드 비교에 사용.</t>
        </is>
      </c>
    </row>
    <row r="187" ht="24" customHeight="1">
      <c r="A187" s="24" t="inlineStr">
        <is>
          <t>93</t>
        </is>
      </c>
      <c r="B187" s="24" t="inlineStr">
        <is>
          <t>해당 없음</t>
        </is>
      </c>
      <c r="C187" s="24" t="inlineStr">
        <is>
          <t>씨엠티엑스</t>
        </is>
      </c>
      <c r="D187" s="24" t="inlineStr">
        <is>
          <t>388210</t>
        </is>
      </c>
      <c r="E187" s="24" t="inlineStr">
        <is>
          <t>KOSDAQ</t>
        </is>
      </c>
      <c r="F187" s="24" t="inlineStr">
        <is>
          <t>장비</t>
        </is>
      </c>
      <c r="G187" s="24" t="inlineStr">
        <is>
          <t>장비</t>
        </is>
      </c>
      <c r="H187" s="24" t="inlineStr">
        <is>
          <t>False</t>
        </is>
      </c>
      <c r="I187" s="24" t="inlineStr">
        <is>
          <t>True</t>
        </is>
      </c>
      <c r="J187" s="24" t="inlineStr">
        <is>
          <t>OK_LIMITED_HISTORY_OR_GROWTH_NA</t>
        </is>
      </c>
      <c r="K187" s="24" t="inlineStr">
        <is>
          <t>데이터 사용 가능</t>
        </is>
      </c>
      <c r="L187" s="24" t="inlineStr">
        <is>
          <t>LOW</t>
        </is>
      </c>
      <c r="M187" s="24" t="inlineStr">
        <is>
          <t>LOW</t>
        </is>
      </c>
      <c r="N187" s="24" t="inlineStr">
        <is>
          <t>0.3652666666666667</t>
        </is>
      </c>
      <c r="O187" s="24" t="inlineStr">
        <is>
          <t>EXPENSIVE</t>
        </is>
      </c>
      <c r="P187" s="24" t="inlineStr">
        <is>
          <t>EXPENSIVE</t>
        </is>
      </c>
      <c r="Q187" s="24" t="inlineStr">
        <is>
          <t>EXPENSIVE</t>
        </is>
      </c>
      <c r="R187" s="24" t="inlineStr">
        <is>
          <t>0.7157707609420977</t>
        </is>
      </c>
      <c r="S187" s="24" t="inlineStr">
        <is>
          <t>HIGH</t>
        </is>
      </c>
      <c r="T187" s="24" t="inlineStr">
        <is>
          <t>HIGH</t>
        </is>
      </c>
      <c r="U187" s="24" t="inlineStr">
        <is>
          <t>0.2142857142857142</t>
        </is>
      </c>
      <c r="V187" s="24" t="inlineStr">
        <is>
          <t>MEDIUM_RISK</t>
        </is>
      </c>
      <c r="W187" s="24" t="inlineStr">
        <is>
          <t>중위험</t>
        </is>
      </c>
      <c r="X187" s="24" t="inlineStr">
        <is>
          <t>MEDIUM_RISK</t>
        </is>
      </c>
      <c r="Y187" s="24" t="inlineStr">
        <is>
          <t>0.6836967884951827</t>
        </is>
      </c>
      <c r="Z187" s="24" t="inlineStr">
        <is>
          <t>MEDIUM</t>
        </is>
      </c>
      <c r="AA187" s="24" t="inlineStr">
        <is>
          <t>MEDIUM</t>
        </is>
      </c>
      <c r="AB187" s="24" t="inlineStr">
        <is>
          <t>0.10495929656754996</t>
        </is>
      </c>
      <c r="AC187" s="24" t="inlineStr">
        <is>
          <t>False</t>
        </is>
      </c>
      <c r="AD187" s="24" t="inlineStr">
        <is>
          <t>True</t>
        </is>
      </c>
      <c r="AE187" s="24" t="inlineStr">
        <is>
          <t>valuation_credit_ml_overlay_candidate.csv</t>
        </is>
      </c>
      <c r="AF187" s="24" t="inlineStr">
        <is>
          <t>208개 반도체 reference universe. Valuation Agent가 자체 intake 폴더로 복제해 Peer/ML/대시보드 비교에 사용.</t>
        </is>
      </c>
    </row>
    <row r="188" ht="24" customHeight="1">
      <c r="A188" s="29" t="inlineStr">
        <is>
          <t>94</t>
        </is>
      </c>
      <c r="B188" s="29" t="inlineStr">
        <is>
          <t>해당 없음</t>
        </is>
      </c>
      <c r="C188" s="29" t="inlineStr">
        <is>
          <t>아스플로</t>
        </is>
      </c>
      <c r="D188" s="29" t="inlineStr">
        <is>
          <t>159010</t>
        </is>
      </c>
      <c r="E188" s="29" t="inlineStr">
        <is>
          <t>KOSDAQ</t>
        </is>
      </c>
      <c r="F188" s="29" t="inlineStr">
        <is>
          <t>장비</t>
        </is>
      </c>
      <c r="G188" s="29" t="inlineStr">
        <is>
          <t>장비</t>
        </is>
      </c>
      <c r="H188" s="29" t="inlineStr">
        <is>
          <t>False</t>
        </is>
      </c>
      <c r="I188" s="29" t="inlineStr">
        <is>
          <t>True</t>
        </is>
      </c>
      <c r="J188" s="29" t="inlineStr">
        <is>
          <t>OK</t>
        </is>
      </c>
      <c r="K188" s="29" t="inlineStr">
        <is>
          <t>데이터 사용 가능</t>
        </is>
      </c>
      <c r="L188" s="29" t="inlineStr">
        <is>
          <t>LOW</t>
        </is>
      </c>
      <c r="M188" s="29" t="inlineStr">
        <is>
          <t>LOW</t>
        </is>
      </c>
      <c r="N188" s="29" t="inlineStr">
        <is>
          <t>0.3025333333333333</t>
        </is>
      </c>
      <c r="O188" s="29" t="inlineStr">
        <is>
          <t>EXPENSIVE</t>
        </is>
      </c>
      <c r="P188" s="29" t="inlineStr">
        <is>
          <t>EXPENSIVE</t>
        </is>
      </c>
      <c r="Q188" s="29" t="inlineStr">
        <is>
          <t>EXPENSIVE</t>
        </is>
      </c>
      <c r="R188" s="29" t="inlineStr">
        <is>
          <t>0.8970141905473263</t>
        </is>
      </c>
      <c r="S188" s="29" t="inlineStr">
        <is>
          <t>HIGH</t>
        </is>
      </c>
      <c r="T188" s="29" t="inlineStr">
        <is>
          <t>HIGH</t>
        </is>
      </c>
      <c r="U188" s="29" t="inlineStr">
        <is>
          <t>0.5714285714285714</t>
        </is>
      </c>
      <c r="V188" s="29" t="inlineStr">
        <is>
          <t>HIGH_RISK</t>
        </is>
      </c>
      <c r="W188" s="29" t="inlineStr">
        <is>
          <t>고위험</t>
        </is>
      </c>
      <c r="X188" s="29" t="inlineStr">
        <is>
          <t>HIGH_RISK</t>
        </is>
      </c>
      <c r="Y188" s="29" t="inlineStr">
        <is>
          <t>0.9808254047374049</t>
        </is>
      </c>
      <c r="Z188" s="29" t="inlineStr">
        <is>
          <t>HIGH</t>
        </is>
      </c>
      <c r="AA188" s="29" t="inlineStr">
        <is>
          <t>HIGH</t>
        </is>
      </c>
      <c r="AB188" s="29" t="inlineStr">
        <is>
          <t>0.04621877213272216</t>
        </is>
      </c>
      <c r="AC188" s="29" t="inlineStr">
        <is>
          <t>False</t>
        </is>
      </c>
      <c r="AD188" s="29" t="inlineStr">
        <is>
          <t>False</t>
        </is>
      </c>
      <c r="AE188" s="29" t="inlineStr">
        <is>
          <t>valuation_credit_ml_overlay_candidate.csv</t>
        </is>
      </c>
      <c r="AF188" s="29" t="inlineStr">
        <is>
          <t>208개 반도체 reference universe. Valuation Agent가 자체 intake 폴더로 복제해 Peer/ML/대시보드 비교에 사용.</t>
        </is>
      </c>
    </row>
    <row r="189" ht="24" customHeight="1">
      <c r="A189" s="24" t="inlineStr">
        <is>
          <t>101</t>
        </is>
      </c>
      <c r="B189" s="24" t="inlineStr">
        <is>
          <t>해당 없음</t>
        </is>
      </c>
      <c r="C189" s="24" t="inlineStr">
        <is>
          <t>오로스테크놀로지</t>
        </is>
      </c>
      <c r="D189" s="24" t="inlineStr">
        <is>
          <t>322310</t>
        </is>
      </c>
      <c r="E189" s="24" t="inlineStr">
        <is>
          <t>KOSDAQ</t>
        </is>
      </c>
      <c r="F189" s="24" t="inlineStr">
        <is>
          <t>장비</t>
        </is>
      </c>
      <c r="G189" s="24" t="inlineStr">
        <is>
          <t>장비</t>
        </is>
      </c>
      <c r="H189" s="24" t="inlineStr">
        <is>
          <t>False</t>
        </is>
      </c>
      <c r="I189" s="24" t="inlineStr">
        <is>
          <t>True</t>
        </is>
      </c>
      <c r="J189" s="24" t="inlineStr">
        <is>
          <t>OK</t>
        </is>
      </c>
      <c r="K189" s="24" t="inlineStr">
        <is>
          <t>데이터 사용 가능</t>
        </is>
      </c>
      <c r="L189" s="24" t="inlineStr">
        <is>
          <t>LOW</t>
        </is>
      </c>
      <c r="M189" s="24" t="inlineStr">
        <is>
          <t>LOW</t>
        </is>
      </c>
      <c r="N189" s="24" t="inlineStr">
        <is>
          <t>0.2969333333333333</t>
        </is>
      </c>
      <c r="O189" s="24" t="inlineStr">
        <is>
          <t>EXPENSIVE</t>
        </is>
      </c>
      <c r="P189" s="24" t="inlineStr">
        <is>
          <t>EXPENSIVE</t>
        </is>
      </c>
      <c r="Q189" s="24" t="inlineStr">
        <is>
          <t>EXPENSIVE</t>
        </is>
      </c>
      <c r="R189" s="24" t="inlineStr">
        <is>
          <t>0.9263479879516093</t>
        </is>
      </c>
      <c r="S189" s="24" t="inlineStr">
        <is>
          <t>HIGH</t>
        </is>
      </c>
      <c r="T189" s="24" t="inlineStr">
        <is>
          <t>HIGH</t>
        </is>
      </c>
      <c r="U189" s="24" t="inlineStr">
        <is>
          <t>0.2857142857142857</t>
        </is>
      </c>
      <c r="V189" s="24" t="inlineStr">
        <is>
          <t>MEDIUM_RISK</t>
        </is>
      </c>
      <c r="W189" s="24" t="inlineStr">
        <is>
          <t>중위험</t>
        </is>
      </c>
      <c r="X189" s="24" t="inlineStr">
        <is>
          <t>HIGH_RISK</t>
        </is>
      </c>
      <c r="Y189" s="24" t="inlineStr">
        <is>
          <t>0.5823799649469713</t>
        </is>
      </c>
      <c r="Z189" s="24" t="inlineStr">
        <is>
          <t>MEDIUM</t>
        </is>
      </c>
      <c r="AA189" s="24" t="inlineStr">
        <is>
          <t>MEDIUM</t>
        </is>
      </c>
      <c r="AB189" s="24" t="inlineStr">
        <is>
          <t>0.025687830037607388</t>
        </is>
      </c>
      <c r="AC189" s="24" t="inlineStr">
        <is>
          <t>False</t>
        </is>
      </c>
      <c r="AD189" s="24" t="inlineStr">
        <is>
          <t>False</t>
        </is>
      </c>
      <c r="AE189" s="24" t="inlineStr">
        <is>
          <t>valuation_credit_ml_overlay_candidate.csv</t>
        </is>
      </c>
      <c r="AF189" s="24" t="inlineStr">
        <is>
          <t>208개 반도체 reference universe. Valuation Agent가 자체 intake 폴더로 복제해 Peer/ML/대시보드 비교에 사용.</t>
        </is>
      </c>
    </row>
    <row r="190" ht="24" customHeight="1">
      <c r="A190" s="29" t="inlineStr">
        <is>
          <t>84</t>
        </is>
      </c>
      <c r="B190" s="29" t="inlineStr">
        <is>
          <t>해당 없음</t>
        </is>
      </c>
      <c r="C190" s="29" t="inlineStr">
        <is>
          <t>러셀</t>
        </is>
      </c>
      <c r="D190" s="29" t="inlineStr">
        <is>
          <t>217500</t>
        </is>
      </c>
      <c r="E190" s="29" t="inlineStr">
        <is>
          <t>KOSDAQ</t>
        </is>
      </c>
      <c r="F190" s="29" t="inlineStr">
        <is>
          <t>장비</t>
        </is>
      </c>
      <c r="G190" s="29" t="inlineStr">
        <is>
          <t>장비</t>
        </is>
      </c>
      <c r="H190" s="29" t="inlineStr">
        <is>
          <t>False</t>
        </is>
      </c>
      <c r="I190" s="29" t="inlineStr">
        <is>
          <t>True</t>
        </is>
      </c>
      <c r="J190" s="29" t="inlineStr">
        <is>
          <t>OK</t>
        </is>
      </c>
      <c r="K190" s="29" t="inlineStr">
        <is>
          <t>데이터 사용 가능</t>
        </is>
      </c>
      <c r="L190" s="29" t="inlineStr">
        <is>
          <t>LOW</t>
        </is>
      </c>
      <c r="M190" s="29" t="inlineStr">
        <is>
          <t>LOW</t>
        </is>
      </c>
      <c r="N190" s="29" t="inlineStr">
        <is>
          <t>0.2889333333333334</t>
        </is>
      </c>
      <c r="O190" s="29" t="inlineStr">
        <is>
          <t>EXPENSIVE</t>
        </is>
      </c>
      <c r="P190" s="29" t="inlineStr">
        <is>
          <t>EXPENSIVE</t>
        </is>
      </c>
      <c r="Q190" s="29" t="inlineStr">
        <is>
          <t>EXPENSIVE</t>
        </is>
      </c>
      <c r="R190" s="29" t="inlineStr">
        <is>
          <t>0.873177337125051</t>
        </is>
      </c>
      <c r="S190" s="29" t="inlineStr">
        <is>
          <t>HIGH</t>
        </is>
      </c>
      <c r="T190" s="29" t="inlineStr">
        <is>
          <t>HIGH</t>
        </is>
      </c>
      <c r="U190" s="29" t="inlineStr">
        <is>
          <t>0.5714285714285714</t>
        </is>
      </c>
      <c r="V190" s="29" t="inlineStr">
        <is>
          <t>HIGH_RISK</t>
        </is>
      </c>
      <c r="W190" s="29" t="inlineStr">
        <is>
          <t>고위험</t>
        </is>
      </c>
      <c r="X190" s="29" t="inlineStr">
        <is>
          <t>HIGH_RISK</t>
        </is>
      </c>
      <c r="Y190" s="29" t="inlineStr">
        <is>
          <t>0.9431199578760465</t>
        </is>
      </c>
      <c r="Z190" s="29" t="inlineStr">
        <is>
          <t>HIGH</t>
        </is>
      </c>
      <c r="AA190" s="29" t="inlineStr">
        <is>
          <t>HIGH</t>
        </is>
      </c>
      <c r="AB190" s="29" t="inlineStr">
        <is>
          <t>0.17682420550247213</t>
        </is>
      </c>
      <c r="AC190" s="29" t="inlineStr">
        <is>
          <t>False</t>
        </is>
      </c>
      <c r="AD190" s="29" t="inlineStr">
        <is>
          <t>False</t>
        </is>
      </c>
      <c r="AE190" s="29" t="inlineStr">
        <is>
          <t>valuation_credit_ml_overlay_candidate.csv</t>
        </is>
      </c>
      <c r="AF190" s="29" t="inlineStr">
        <is>
          <t>208개 반도체 reference universe. Valuation Agent가 자체 intake 폴더로 복제해 Peer/ML/대시보드 비교에 사용.</t>
        </is>
      </c>
    </row>
    <row r="191" ht="24" customHeight="1">
      <c r="A191" s="24" t="inlineStr">
        <is>
          <t>86</t>
        </is>
      </c>
      <c r="B191" s="24" t="inlineStr">
        <is>
          <t>해당 없음</t>
        </is>
      </c>
      <c r="C191" s="24" t="inlineStr">
        <is>
          <t>미래컴퍼니</t>
        </is>
      </c>
      <c r="D191" s="24" t="inlineStr">
        <is>
          <t>049950</t>
        </is>
      </c>
      <c r="E191" s="24" t="inlineStr">
        <is>
          <t>KOSDAQ</t>
        </is>
      </c>
      <c r="F191" s="24" t="inlineStr">
        <is>
          <t>장비</t>
        </is>
      </c>
      <c r="G191" s="24" t="inlineStr">
        <is>
          <t>장비</t>
        </is>
      </c>
      <c r="H191" s="24" t="inlineStr">
        <is>
          <t>False</t>
        </is>
      </c>
      <c r="I191" s="24" t="inlineStr">
        <is>
          <t>True</t>
        </is>
      </c>
      <c r="J191" s="24" t="inlineStr">
        <is>
          <t>OK</t>
        </is>
      </c>
      <c r="K191" s="24" t="inlineStr">
        <is>
          <t>데이터 사용 가능</t>
        </is>
      </c>
      <c r="L191" s="24" t="inlineStr">
        <is>
          <t>LOW</t>
        </is>
      </c>
      <c r="M191" s="24" t="inlineStr">
        <is>
          <t>LOW</t>
        </is>
      </c>
      <c r="N191" s="24" t="inlineStr">
        <is>
          <t>0.2874666666666666</t>
        </is>
      </c>
      <c r="O191" s="24" t="inlineStr">
        <is>
          <t>EXPENSIVE</t>
        </is>
      </c>
      <c r="P191" s="24" t="inlineStr">
        <is>
          <t>EXPENSIVE</t>
        </is>
      </c>
      <c r="Q191" s="24" t="inlineStr">
        <is>
          <t>EXPENSIVE</t>
        </is>
      </c>
      <c r="R191" s="24" t="inlineStr">
        <is>
          <t>0.8354805452058427</t>
        </is>
      </c>
      <c r="S191" s="24" t="inlineStr">
        <is>
          <t>HIGH</t>
        </is>
      </c>
      <c r="T191" s="24" t="inlineStr">
        <is>
          <t>HIGH</t>
        </is>
      </c>
      <c r="U191" s="24" t="inlineStr">
        <is>
          <t>0.4285714285714285</t>
        </is>
      </c>
      <c r="V191" s="24" t="inlineStr">
        <is>
          <t>HIGH_RISK</t>
        </is>
      </c>
      <c r="W191" s="24" t="inlineStr">
        <is>
          <t>고위험</t>
        </is>
      </c>
      <c r="X191" s="24" t="inlineStr">
        <is>
          <t>HIGH_RISK</t>
        </is>
      </c>
      <c r="Y191" s="24" t="inlineStr">
        <is>
          <t>0.8989374267322742</t>
        </is>
      </c>
      <c r="Z191" s="24" t="inlineStr">
        <is>
          <t>HIGH</t>
        </is>
      </c>
      <c r="AA191" s="24" t="inlineStr">
        <is>
          <t>HIGH</t>
        </is>
      </c>
      <c r="AB191" s="24" t="inlineStr">
        <is>
          <t>0.23454395430777328</t>
        </is>
      </c>
      <c r="AC191" s="24" t="inlineStr">
        <is>
          <t>True</t>
        </is>
      </c>
      <c r="AD191" s="24" t="inlineStr">
        <is>
          <t>True</t>
        </is>
      </c>
      <c r="AE191" s="24" t="inlineStr">
        <is>
          <t>valuation_credit_ml_overlay_candidate.csv</t>
        </is>
      </c>
      <c r="AF191" s="24" t="inlineStr">
        <is>
          <t>208개 반도체 reference universe. Valuation Agent가 자체 intake 폴더로 복제해 Peer/ML/대시보드 비교에 사용.</t>
        </is>
      </c>
    </row>
    <row r="192" ht="24" customHeight="1">
      <c r="A192" s="29" t="inlineStr">
        <is>
          <t>100</t>
        </is>
      </c>
      <c r="B192" s="29" t="inlineStr">
        <is>
          <t>해당 없음</t>
        </is>
      </c>
      <c r="C192" s="29" t="inlineStr">
        <is>
          <t>예스티</t>
        </is>
      </c>
      <c r="D192" s="29" t="inlineStr">
        <is>
          <t>122640</t>
        </is>
      </c>
      <c r="E192" s="29" t="inlineStr">
        <is>
          <t>KOSDAQ</t>
        </is>
      </c>
      <c r="F192" s="29" t="inlineStr">
        <is>
          <t>장비</t>
        </is>
      </c>
      <c r="G192" s="29" t="inlineStr">
        <is>
          <t>장비</t>
        </is>
      </c>
      <c r="H192" s="29" t="inlineStr">
        <is>
          <t>False</t>
        </is>
      </c>
      <c r="I192" s="29" t="inlineStr">
        <is>
          <t>True</t>
        </is>
      </c>
      <c r="J192" s="29" t="inlineStr">
        <is>
          <t>OK</t>
        </is>
      </c>
      <c r="K192" s="29" t="inlineStr">
        <is>
          <t>데이터 사용 가능</t>
        </is>
      </c>
      <c r="L192" s="29" t="inlineStr">
        <is>
          <t>LOW</t>
        </is>
      </c>
      <c r="M192" s="29" t="inlineStr">
        <is>
          <t>LOW</t>
        </is>
      </c>
      <c r="N192" s="29" t="inlineStr">
        <is>
          <t>0.2778666666666666</t>
        </is>
      </c>
      <c r="O192" s="29" t="inlineStr">
        <is>
          <t>EXPENSIVE</t>
        </is>
      </c>
      <c r="P192" s="29" t="inlineStr">
        <is>
          <t>EXPENSIVE</t>
        </is>
      </c>
      <c r="Q192" s="29" t="inlineStr">
        <is>
          <t>EXPENSIVE</t>
        </is>
      </c>
      <c r="R192" s="29" t="inlineStr">
        <is>
          <t>0.8070752756860592</t>
        </is>
      </c>
      <c r="S192" s="29" t="inlineStr">
        <is>
          <t>HIGH</t>
        </is>
      </c>
      <c r="T192" s="29" t="inlineStr">
        <is>
          <t>HIGH</t>
        </is>
      </c>
      <c r="U192" s="29" t="inlineStr">
        <is>
          <t>0.2142857142857142</t>
        </is>
      </c>
      <c r="V192" s="29" t="inlineStr">
        <is>
          <t>MEDIUM_RISK</t>
        </is>
      </c>
      <c r="W192" s="29" t="inlineStr">
        <is>
          <t>중위험</t>
        </is>
      </c>
      <c r="X192" s="29" t="inlineStr">
        <is>
          <t>MEDIUM_RISK</t>
        </is>
      </c>
      <c r="Y192" s="29" t="inlineStr">
        <is>
          <t>0.6435379731563315</t>
        </is>
      </c>
      <c r="Z192" s="29" t="inlineStr">
        <is>
          <t>MEDIUM</t>
        </is>
      </c>
      <c r="AA192" s="29" t="inlineStr">
        <is>
          <t>MEDIUM</t>
        </is>
      </c>
      <c r="AB192" s="29" t="inlineStr">
        <is>
          <t>0.013991683799831916</t>
        </is>
      </c>
      <c r="AC192" s="29" t="inlineStr">
        <is>
          <t>False</t>
        </is>
      </c>
      <c r="AD192" s="29" t="inlineStr">
        <is>
          <t>False</t>
        </is>
      </c>
      <c r="AE192" s="29" t="inlineStr">
        <is>
          <t>valuation_credit_ml_overlay_candidate.csv</t>
        </is>
      </c>
      <c r="AF192" s="29" t="inlineStr">
        <is>
          <t>208개 반도체 reference universe. Valuation Agent가 자체 intake 폴더로 복제해 Peer/ML/대시보드 비교에 사용.</t>
        </is>
      </c>
    </row>
    <row r="193" ht="24" customHeight="1">
      <c r="A193" s="24" t="inlineStr">
        <is>
          <t>77</t>
        </is>
      </c>
      <c r="B193" s="24" t="inlineStr">
        <is>
          <t>해당 없음</t>
        </is>
      </c>
      <c r="C193" s="24" t="inlineStr">
        <is>
          <t>기가레인</t>
        </is>
      </c>
      <c r="D193" s="24" t="inlineStr">
        <is>
          <t>049080</t>
        </is>
      </c>
      <c r="E193" s="24" t="inlineStr">
        <is>
          <t>KOSDAQ</t>
        </is>
      </c>
      <c r="F193" s="24" t="inlineStr">
        <is>
          <t>장비</t>
        </is>
      </c>
      <c r="G193" s="24" t="inlineStr">
        <is>
          <t>장비</t>
        </is>
      </c>
      <c r="H193" s="24" t="inlineStr">
        <is>
          <t>False</t>
        </is>
      </c>
      <c r="I193" s="24" t="inlineStr">
        <is>
          <t>True</t>
        </is>
      </c>
      <c r="J193" s="24" t="inlineStr">
        <is>
          <t>OK</t>
        </is>
      </c>
      <c r="K193" s="24" t="inlineStr">
        <is>
          <t>데이터 사용 가능</t>
        </is>
      </c>
      <c r="L193" s="24" t="inlineStr">
        <is>
          <t>LOW</t>
        </is>
      </c>
      <c r="M193" s="24" t="inlineStr">
        <is>
          <t>LOW</t>
        </is>
      </c>
      <c r="N193" s="24" t="inlineStr">
        <is>
          <t>0.2353333333333333</t>
        </is>
      </c>
      <c r="O193" s="24" t="inlineStr">
        <is>
          <t>EXPENSIVE</t>
        </is>
      </c>
      <c r="P193" s="24" t="inlineStr">
        <is>
          <t>EXPENSIVE</t>
        </is>
      </c>
      <c r="Q193" s="24" t="inlineStr">
        <is>
          <t>EXPENSIVE</t>
        </is>
      </c>
      <c r="R193" s="24" t="inlineStr">
        <is>
          <t>0.9628494209555842</t>
        </is>
      </c>
      <c r="S193" s="24" t="inlineStr">
        <is>
          <t>HIGH</t>
        </is>
      </c>
      <c r="T193" s="24" t="inlineStr">
        <is>
          <t>HIGH</t>
        </is>
      </c>
      <c r="U193" s="24" t="inlineStr">
        <is>
          <t>0.5</t>
        </is>
      </c>
      <c r="V193" s="24" t="inlineStr">
        <is>
          <t>HIGH_RISK</t>
        </is>
      </c>
      <c r="W193" s="24" t="inlineStr">
        <is>
          <t>고위험</t>
        </is>
      </c>
      <c r="X193" s="24" t="inlineStr">
        <is>
          <t>HIGH_RISK</t>
        </is>
      </c>
      <c r="Y193" s="24" t="inlineStr">
        <is>
          <t>0.9675100472985046</t>
        </is>
      </c>
      <c r="Z193" s="24" t="inlineStr">
        <is>
          <t>HIGH</t>
        </is>
      </c>
      <c r="AA193" s="24" t="inlineStr">
        <is>
          <t>HIGH</t>
        </is>
      </c>
      <c r="AB193" s="24" t="inlineStr">
        <is>
          <t>0.24264303605410006</t>
        </is>
      </c>
      <c r="AC193" s="24" t="inlineStr">
        <is>
          <t>True</t>
        </is>
      </c>
      <c r="AD193" s="24" t="inlineStr">
        <is>
          <t>True</t>
        </is>
      </c>
      <c r="AE193" s="24" t="inlineStr">
        <is>
          <t>valuation_credit_ml_overlay_candidate.csv</t>
        </is>
      </c>
      <c r="AF193" s="24" t="inlineStr">
        <is>
          <t>208개 반도체 reference universe. Valuation Agent가 자체 intake 폴더로 복제해 Peer/ML/대시보드 비교에 사용.</t>
        </is>
      </c>
    </row>
    <row r="194" ht="24" customHeight="1">
      <c r="A194" s="29" t="inlineStr">
        <is>
          <t>79</t>
        </is>
      </c>
      <c r="B194" s="29" t="inlineStr">
        <is>
          <t>해당 없음</t>
        </is>
      </c>
      <c r="C194" s="29" t="inlineStr">
        <is>
          <t>넥스틴</t>
        </is>
      </c>
      <c r="D194" s="29" t="inlineStr">
        <is>
          <t>348210</t>
        </is>
      </c>
      <c r="E194" s="29" t="inlineStr">
        <is>
          <t>KOSDAQ GLOBAL</t>
        </is>
      </c>
      <c r="F194" s="29" t="inlineStr">
        <is>
          <t>장비</t>
        </is>
      </c>
      <c r="G194" s="29" t="inlineStr">
        <is>
          <t>장비</t>
        </is>
      </c>
      <c r="H194" s="29" t="inlineStr">
        <is>
          <t>False</t>
        </is>
      </c>
      <c r="I194" s="29" t="inlineStr">
        <is>
          <t>True</t>
        </is>
      </c>
      <c r="J194" s="29" t="inlineStr">
        <is>
          <t>OK</t>
        </is>
      </c>
      <c r="K194" s="29" t="inlineStr">
        <is>
          <t>데이터 사용 가능</t>
        </is>
      </c>
      <c r="L194" s="29" t="inlineStr">
        <is>
          <t>LOW</t>
        </is>
      </c>
      <c r="M194" s="29" t="inlineStr">
        <is>
          <t>LOW</t>
        </is>
      </c>
      <c r="N194" s="29" t="inlineStr">
        <is>
          <t>0.2353333333333333</t>
        </is>
      </c>
      <c r="O194" s="29" t="inlineStr">
        <is>
          <t>EXPENSIVE</t>
        </is>
      </c>
      <c r="P194" s="29" t="inlineStr">
        <is>
          <t>EXPENSIVE</t>
        </is>
      </c>
      <c r="Q194" s="29" t="inlineStr">
        <is>
          <t>EXPENSIVE</t>
        </is>
      </c>
      <c r="R194" s="29" t="inlineStr">
        <is>
          <t>0.7906546201121369</t>
        </is>
      </c>
      <c r="S194" s="29" t="inlineStr">
        <is>
          <t>HIGH</t>
        </is>
      </c>
      <c r="T194" s="29" t="inlineStr">
        <is>
          <t>HIGH</t>
        </is>
      </c>
      <c r="U194" s="29" t="inlineStr">
        <is>
          <t>0.4285714285714285</t>
        </is>
      </c>
      <c r="V194" s="29" t="inlineStr">
        <is>
          <t>HIGH_RISK</t>
        </is>
      </c>
      <c r="W194" s="29" t="inlineStr">
        <is>
          <t>고위험</t>
        </is>
      </c>
      <c r="X194" s="29" t="inlineStr">
        <is>
          <t>HIGH_RISK</t>
        </is>
      </c>
      <c r="Y194" s="29" t="inlineStr">
        <is>
          <t>0.8216799677089676</t>
        </is>
      </c>
      <c r="Z194" s="29" t="inlineStr">
        <is>
          <t>HIGH</t>
        </is>
      </c>
      <c r="AA194" s="29" t="inlineStr">
        <is>
          <t>HIGH</t>
        </is>
      </c>
      <c r="AB194" s="29" t="inlineStr">
        <is>
          <t>0.0826003513380603</t>
        </is>
      </c>
      <c r="AC194" s="29" t="inlineStr">
        <is>
          <t>False</t>
        </is>
      </c>
      <c r="AD194" s="29" t="inlineStr">
        <is>
          <t>False</t>
        </is>
      </c>
      <c r="AE194" s="29" t="inlineStr">
        <is>
          <t>valuation_credit_ml_overlay_candidate.csv</t>
        </is>
      </c>
      <c r="AF194" s="29" t="inlineStr">
        <is>
          <t>208개 반도체 reference universe. Valuation Agent가 자체 intake 폴더로 복제해 Peer/ML/대시보드 비교에 사용.</t>
        </is>
      </c>
    </row>
    <row r="195" ht="24" customHeight="1">
      <c r="A195" s="24" t="inlineStr">
        <is>
          <t>110</t>
        </is>
      </c>
      <c r="B195" s="24" t="inlineStr">
        <is>
          <t>해당 없음</t>
        </is>
      </c>
      <c r="C195" s="24" t="inlineStr">
        <is>
          <t>주성엔지니어링</t>
        </is>
      </c>
      <c r="D195" s="24" t="inlineStr">
        <is>
          <t>036930</t>
        </is>
      </c>
      <c r="E195" s="24" t="inlineStr">
        <is>
          <t>KOSDAQ GLOBAL</t>
        </is>
      </c>
      <c r="F195" s="24" t="inlineStr">
        <is>
          <t>장비</t>
        </is>
      </c>
      <c r="G195" s="24" t="inlineStr">
        <is>
          <t>장비</t>
        </is>
      </c>
      <c r="H195" s="24" t="inlineStr">
        <is>
          <t>False</t>
        </is>
      </c>
      <c r="I195" s="24" t="inlineStr">
        <is>
          <t>True</t>
        </is>
      </c>
      <c r="J195" s="24" t="inlineStr">
        <is>
          <t>OK</t>
        </is>
      </c>
      <c r="K195" s="24" t="inlineStr">
        <is>
          <t>데이터 사용 가능</t>
        </is>
      </c>
      <c r="L195" s="24" t="inlineStr">
        <is>
          <t>LOW</t>
        </is>
      </c>
      <c r="M195" s="24" t="inlineStr">
        <is>
          <t>LOW</t>
        </is>
      </c>
      <c r="N195" s="24" t="inlineStr">
        <is>
          <t>0.2335999999999999</t>
        </is>
      </c>
      <c r="O195" s="24" t="inlineStr">
        <is>
          <t>EXPENSIVE</t>
        </is>
      </c>
      <c r="P195" s="24" t="inlineStr">
        <is>
          <t>EXPENSIVE</t>
        </is>
      </c>
      <c r="Q195" s="24" t="inlineStr">
        <is>
          <t>EXPENSIVE</t>
        </is>
      </c>
      <c r="R195" s="24" t="inlineStr">
        <is>
          <t>0.7918979957613304</t>
        </is>
      </c>
      <c r="S195" s="24" t="inlineStr">
        <is>
          <t>HIGH</t>
        </is>
      </c>
      <c r="T195" s="24" t="inlineStr">
        <is>
          <t>HIGH</t>
        </is>
      </c>
      <c r="U195" s="24" t="inlineStr">
        <is>
          <t>0.2857142857142857</t>
        </is>
      </c>
      <c r="V195" s="24" t="inlineStr">
        <is>
          <t>MEDIUM_RISK</t>
        </is>
      </c>
      <c r="W195" s="24" t="inlineStr">
        <is>
          <t>중위험</t>
        </is>
      </c>
      <c r="X195" s="24" t="inlineStr">
        <is>
          <t>MEDIUM_RISK</t>
        </is>
      </c>
      <c r="Y195" s="24" t="inlineStr">
        <is>
          <t>0.4347911224964779</t>
        </is>
      </c>
      <c r="Z195" s="24" t="inlineStr">
        <is>
          <t>LOW</t>
        </is>
      </c>
      <c r="AA195" s="24" t="inlineStr">
        <is>
          <t>LOW</t>
        </is>
      </c>
      <c r="AB195" s="24" t="inlineStr">
        <is>
          <t>0.0617535897003664</t>
        </is>
      </c>
      <c r="AC195" s="24" t="inlineStr">
        <is>
          <t>False</t>
        </is>
      </c>
      <c r="AD195" s="24" t="inlineStr">
        <is>
          <t>True</t>
        </is>
      </c>
      <c r="AE195" s="24" t="inlineStr">
        <is>
          <t>valuation_credit_ml_overlay_candidate.csv</t>
        </is>
      </c>
      <c r="AF195" s="24" t="inlineStr">
        <is>
          <t>208개 반도체 reference universe. Valuation Agent가 자체 intake 폴더로 복제해 Peer/ML/대시보드 비교에 사용.</t>
        </is>
      </c>
    </row>
    <row r="196" ht="24" customHeight="1">
      <c r="A196" s="29" t="inlineStr">
        <is>
          <t>122</t>
        </is>
      </c>
      <c r="B196" s="29" t="inlineStr">
        <is>
          <t>해당 없음</t>
        </is>
      </c>
      <c r="C196" s="29" t="inlineStr">
        <is>
          <t>필옵틱스</t>
        </is>
      </c>
      <c r="D196" s="29" t="inlineStr">
        <is>
          <t>161580</t>
        </is>
      </c>
      <c r="E196" s="29" t="inlineStr">
        <is>
          <t>KOSDAQ</t>
        </is>
      </c>
      <c r="F196" s="29" t="inlineStr">
        <is>
          <t>장비</t>
        </is>
      </c>
      <c r="G196" s="29" t="inlineStr">
        <is>
          <t>장비</t>
        </is>
      </c>
      <c r="H196" s="29" t="inlineStr">
        <is>
          <t>False</t>
        </is>
      </c>
      <c r="I196" s="29" t="inlineStr">
        <is>
          <t>True</t>
        </is>
      </c>
      <c r="J196" s="29" t="inlineStr">
        <is>
          <t>OK</t>
        </is>
      </c>
      <c r="K196" s="29" t="inlineStr">
        <is>
          <t>데이터 사용 가능</t>
        </is>
      </c>
      <c r="L196" s="29" t="inlineStr">
        <is>
          <t>LOW</t>
        </is>
      </c>
      <c r="M196" s="29" t="inlineStr">
        <is>
          <t>LOW</t>
        </is>
      </c>
      <c r="N196" s="29" t="inlineStr">
        <is>
          <t>0.1741333333333333</t>
        </is>
      </c>
      <c r="O196" s="29" t="inlineStr">
        <is>
          <t>EXPENSIVE</t>
        </is>
      </c>
      <c r="P196" s="29" t="inlineStr">
        <is>
          <t>EXPENSIVE</t>
        </is>
      </c>
      <c r="Q196" s="29" t="inlineStr">
        <is>
          <t>EXPENSIVE</t>
        </is>
      </c>
      <c r="R196" s="29" t="inlineStr">
        <is>
          <t>0.9632435860929522</t>
        </is>
      </c>
      <c r="S196" s="29" t="inlineStr">
        <is>
          <t>HIGH</t>
        </is>
      </c>
      <c r="T196" s="29" t="inlineStr">
        <is>
          <t>HIGH</t>
        </is>
      </c>
      <c r="U196" s="29" t="inlineStr">
        <is>
          <t>0.2857142857142857</t>
        </is>
      </c>
      <c r="V196" s="29" t="inlineStr">
        <is>
          <t>MEDIUM_RISK</t>
        </is>
      </c>
      <c r="W196" s="29" t="inlineStr">
        <is>
          <t>중위험</t>
        </is>
      </c>
      <c r="X196" s="29" t="inlineStr">
        <is>
          <t>MEDIUM_RISK</t>
        </is>
      </c>
      <c r="Y196" s="29" t="inlineStr">
        <is>
          <t>0.6167987381468966</t>
        </is>
      </c>
      <c r="Z196" s="29" t="inlineStr">
        <is>
          <t>MEDIUM</t>
        </is>
      </c>
      <c r="AA196" s="29" t="inlineStr">
        <is>
          <t>MEDIUM</t>
        </is>
      </c>
      <c r="AB196" s="29" t="inlineStr">
        <is>
          <t>0.06203854489426491</t>
        </is>
      </c>
      <c r="AC196" s="29" t="inlineStr">
        <is>
          <t>False</t>
        </is>
      </c>
      <c r="AD196" s="29" t="inlineStr">
        <is>
          <t>False</t>
        </is>
      </c>
      <c r="AE196" s="29" t="inlineStr">
        <is>
          <t>valuation_credit_ml_overlay_candidate.csv</t>
        </is>
      </c>
      <c r="AF196" s="29" t="inlineStr">
        <is>
          <t>208개 반도체 reference universe. Valuation Agent가 자체 intake 폴더로 복제해 Peer/ML/대시보드 비교에 사용.</t>
        </is>
      </c>
    </row>
    <row r="197" ht="24" customHeight="1">
      <c r="A197" s="24" t="inlineStr">
        <is>
          <t>62</t>
        </is>
      </c>
      <c r="B197" s="24" t="inlineStr">
        <is>
          <t>해당 없음</t>
        </is>
      </c>
      <c r="C197" s="24" t="inlineStr">
        <is>
          <t>에스에이엠티</t>
        </is>
      </c>
      <c r="D197" s="24" t="inlineStr">
        <is>
          <t>031330</t>
        </is>
      </c>
      <c r="E197" s="24" t="inlineStr">
        <is>
          <t>KOSDAQ</t>
        </is>
      </c>
      <c r="F197" s="24" t="inlineStr">
        <is>
          <t>팹리스/설계</t>
        </is>
      </c>
      <c r="G197" s="24" t="inlineStr">
        <is>
          <t>팹리스/설계</t>
        </is>
      </c>
      <c r="H197" s="24" t="inlineStr">
        <is>
          <t>False</t>
        </is>
      </c>
      <c r="I197" s="24" t="inlineStr">
        <is>
          <t>True</t>
        </is>
      </c>
      <c r="J197" s="24" t="inlineStr">
        <is>
          <t>OK</t>
        </is>
      </c>
      <c r="K197" s="24" t="inlineStr">
        <is>
          <t>데이터 사용 가능</t>
        </is>
      </c>
      <c r="L197" s="24" t="inlineStr">
        <is>
          <t>LOW</t>
        </is>
      </c>
      <c r="M197" s="24" t="inlineStr">
        <is>
          <t>LOW</t>
        </is>
      </c>
      <c r="N197" s="24" t="inlineStr">
        <is>
          <t>0.7838383838383839</t>
        </is>
      </c>
      <c r="O197" s="24" t="inlineStr">
        <is>
          <t>FAIR</t>
        </is>
      </c>
      <c r="P197" s="24" t="inlineStr">
        <is>
          <t>FAIR</t>
        </is>
      </c>
      <c r="Q197" s="24" t="inlineStr">
        <is>
          <t>FAIR</t>
        </is>
      </c>
      <c r="R197" s="24" t="inlineStr">
        <is>
          <t>0.8575928985222669</t>
        </is>
      </c>
      <c r="S197" s="24" t="inlineStr">
        <is>
          <t>HIGH</t>
        </is>
      </c>
      <c r="T197" s="24" t="inlineStr">
        <is>
          <t>HIGH</t>
        </is>
      </c>
      <c r="U197" s="24" t="inlineStr">
        <is>
          <t>0.5</t>
        </is>
      </c>
      <c r="V197" s="24" t="inlineStr">
        <is>
          <t>HIGH_RISK</t>
        </is>
      </c>
      <c r="W197" s="24" t="inlineStr">
        <is>
          <t>고위험</t>
        </is>
      </c>
      <c r="X197" s="24" t="inlineStr">
        <is>
          <t>HIGH_RISK</t>
        </is>
      </c>
      <c r="Y197" s="24" t="inlineStr">
        <is>
          <t>0.5021487096911619</t>
        </is>
      </c>
      <c r="Z197" s="24" t="inlineStr">
        <is>
          <t>MEDIUM</t>
        </is>
      </c>
      <c r="AA197" s="24" t="inlineStr">
        <is>
          <t>MEDIUM</t>
        </is>
      </c>
      <c r="AB197" s="24" t="inlineStr">
        <is>
          <t>0.11372149345925425</t>
        </is>
      </c>
      <c r="AC197" s="24" t="inlineStr">
        <is>
          <t>False</t>
        </is>
      </c>
      <c r="AD197" s="24" t="inlineStr">
        <is>
          <t>False</t>
        </is>
      </c>
      <c r="AE197" s="24" t="inlineStr">
        <is>
          <t>valuation_credit_ml_overlay_candidate.csv</t>
        </is>
      </c>
      <c r="AF197" s="24" t="inlineStr">
        <is>
          <t>208개 반도체 reference universe. Valuation Agent가 자체 intake 폴더로 복제해 Peer/ML/대시보드 비교에 사용.</t>
        </is>
      </c>
    </row>
    <row r="198" ht="24" customHeight="1">
      <c r="A198" s="29" t="inlineStr">
        <is>
          <t>65</t>
        </is>
      </c>
      <c r="B198" s="29" t="inlineStr">
        <is>
          <t>해당 없음</t>
        </is>
      </c>
      <c r="C198" s="29" t="inlineStr">
        <is>
          <t>유니트론텍</t>
        </is>
      </c>
      <c r="D198" s="29" t="inlineStr">
        <is>
          <t>142210</t>
        </is>
      </c>
      <c r="E198" s="29" t="inlineStr">
        <is>
          <t>KOSDAQ</t>
        </is>
      </c>
      <c r="F198" s="29" t="inlineStr">
        <is>
          <t>팹리스/설계</t>
        </is>
      </c>
      <c r="G198" s="29" t="inlineStr">
        <is>
          <t>팹리스/설계</t>
        </is>
      </c>
      <c r="H198" s="29" t="inlineStr">
        <is>
          <t>False</t>
        </is>
      </c>
      <c r="I198" s="29" t="inlineStr">
        <is>
          <t>True</t>
        </is>
      </c>
      <c r="J198" s="29" t="inlineStr">
        <is>
          <t>OK</t>
        </is>
      </c>
      <c r="K198" s="29" t="inlineStr">
        <is>
          <t>데이터 사용 가능</t>
        </is>
      </c>
      <c r="L198" s="29" t="inlineStr">
        <is>
          <t>LOW</t>
        </is>
      </c>
      <c r="M198" s="29" t="inlineStr">
        <is>
          <t>LOW</t>
        </is>
      </c>
      <c r="N198" s="29" t="inlineStr">
        <is>
          <t>0.7478787878787879</t>
        </is>
      </c>
      <c r="O198" s="29" t="inlineStr">
        <is>
          <t>FAIR</t>
        </is>
      </c>
      <c r="P198" s="29" t="inlineStr">
        <is>
          <t>FAIR</t>
        </is>
      </c>
      <c r="Q198" s="29" t="inlineStr">
        <is>
          <t>FAIR</t>
        </is>
      </c>
      <c r="R198" s="29" t="inlineStr">
        <is>
          <t>0.8593164302034415</t>
        </is>
      </c>
      <c r="S198" s="29" t="inlineStr">
        <is>
          <t>HIGH</t>
        </is>
      </c>
      <c r="T198" s="29" t="inlineStr">
        <is>
          <t>HIGH</t>
        </is>
      </c>
      <c r="U198" s="29" t="inlineStr">
        <is>
          <t>0.3571428571428571</t>
        </is>
      </c>
      <c r="V198" s="29" t="inlineStr">
        <is>
          <t>MEDIUM_RISK</t>
        </is>
      </c>
      <c r="W198" s="29" t="inlineStr">
        <is>
          <t>중위험</t>
        </is>
      </c>
      <c r="X198" s="29" t="inlineStr">
        <is>
          <t>MEDIUM_RISK</t>
        </is>
      </c>
      <c r="Y198" s="29" t="inlineStr">
        <is>
          <t>0.6687746551665015</t>
        </is>
      </c>
      <c r="Z198" s="29" t="inlineStr">
        <is>
          <t>MEDIUM</t>
        </is>
      </c>
      <c r="AA198" s="29" t="inlineStr">
        <is>
          <t>MEDIUM</t>
        </is>
      </c>
      <c r="AB198" s="29" t="inlineStr">
        <is>
          <t>0.05354194050015521</t>
        </is>
      </c>
      <c r="AC198" s="29" t="inlineStr">
        <is>
          <t>False</t>
        </is>
      </c>
      <c r="AD198" s="29" t="inlineStr">
        <is>
          <t>False</t>
        </is>
      </c>
      <c r="AE198" s="29" t="inlineStr">
        <is>
          <t>valuation_credit_ml_overlay_candidate.csv</t>
        </is>
      </c>
      <c r="AF198" s="29" t="inlineStr">
        <is>
          <t>208개 반도체 reference universe. Valuation Agent가 자체 intake 폴더로 복제해 Peer/ML/대시보드 비교에 사용.</t>
        </is>
      </c>
    </row>
    <row r="199" ht="24" customHeight="1">
      <c r="A199" s="24" t="inlineStr">
        <is>
          <t>60</t>
        </is>
      </c>
      <c r="B199" s="24" t="inlineStr">
        <is>
          <t>해당 없음</t>
        </is>
      </c>
      <c r="C199" s="24" t="inlineStr">
        <is>
          <t>앤씨앤</t>
        </is>
      </c>
      <c r="D199" s="24" t="inlineStr">
        <is>
          <t>092600</t>
        </is>
      </c>
      <c r="E199" s="24" t="inlineStr">
        <is>
          <t>KOSDAQ</t>
        </is>
      </c>
      <c r="F199" s="24" t="inlineStr">
        <is>
          <t>팹리스/설계</t>
        </is>
      </c>
      <c r="G199" s="24" t="inlineStr">
        <is>
          <t>팹리스/설계</t>
        </is>
      </c>
      <c r="H199" s="24" t="inlineStr">
        <is>
          <t>False</t>
        </is>
      </c>
      <c r="I199" s="24" t="inlineStr">
        <is>
          <t>True</t>
        </is>
      </c>
      <c r="J199" s="24" t="inlineStr">
        <is>
          <t>OK</t>
        </is>
      </c>
      <c r="K199" s="24" t="inlineStr">
        <is>
          <t>데이터 사용 가능</t>
        </is>
      </c>
      <c r="L199" s="24" t="inlineStr">
        <is>
          <t>LOW</t>
        </is>
      </c>
      <c r="M199" s="24" t="inlineStr">
        <is>
          <t>LOW</t>
        </is>
      </c>
      <c r="N199" s="24" t="inlineStr">
        <is>
          <t>0.7450505050505051</t>
        </is>
      </c>
      <c r="O199" s="24" t="inlineStr">
        <is>
          <t>FAIR</t>
        </is>
      </c>
      <c r="P199" s="24" t="inlineStr">
        <is>
          <t>FAIR</t>
        </is>
      </c>
      <c r="Q199" s="24" t="inlineStr">
        <is>
          <t>FAIR</t>
        </is>
      </c>
      <c r="R199" s="24" t="inlineStr">
        <is>
          <t>0.8450252323777523</t>
        </is>
      </c>
      <c r="S199" s="24" t="inlineStr">
        <is>
          <t>HIGH</t>
        </is>
      </c>
      <c r="T199" s="24" t="inlineStr">
        <is>
          <t>HIGH</t>
        </is>
      </c>
      <c r="U199" s="24" t="inlineStr">
        <is>
          <t>0.5</t>
        </is>
      </c>
      <c r="V199" s="24" t="inlineStr">
        <is>
          <t>HIGH_RISK</t>
        </is>
      </c>
      <c r="W199" s="24" t="inlineStr">
        <is>
          <t>고위험</t>
        </is>
      </c>
      <c r="X199" s="24" t="inlineStr">
        <is>
          <t>HIGH_RISK</t>
        </is>
      </c>
      <c r="Y199" s="24" t="inlineStr">
        <is>
          <t>0.6852720703017778</t>
        </is>
      </c>
      <c r="Z199" s="24" t="inlineStr">
        <is>
          <t>MEDIUM</t>
        </is>
      </c>
      <c r="AA199" s="24" t="inlineStr">
        <is>
          <t>MEDIUM</t>
        </is>
      </c>
      <c r="AB199" s="24" t="inlineStr">
        <is>
          <t>0.05126917274476802</t>
        </is>
      </c>
      <c r="AC199" s="24" t="inlineStr">
        <is>
          <t>False</t>
        </is>
      </c>
      <c r="AD199" s="24" t="inlineStr">
        <is>
          <t>False</t>
        </is>
      </c>
      <c r="AE199" s="24" t="inlineStr">
        <is>
          <t>valuation_credit_ml_overlay_candidate.csv</t>
        </is>
      </c>
      <c r="AF199" s="24" t="inlineStr">
        <is>
          <t>208개 반도체 reference universe. Valuation Agent가 자체 intake 폴더로 복제해 Peer/ML/대시보드 비교에 사용.</t>
        </is>
      </c>
    </row>
    <row r="200" ht="24" customHeight="1">
      <c r="A200" s="29" t="inlineStr">
        <is>
          <t>47</t>
        </is>
      </c>
      <c r="B200" s="29" t="inlineStr">
        <is>
          <t>해당 없음</t>
        </is>
      </c>
      <c r="C200" s="29" t="inlineStr">
        <is>
          <t>마이크로컨텍솔</t>
        </is>
      </c>
      <c r="D200" s="29" t="inlineStr">
        <is>
          <t>098120</t>
        </is>
      </c>
      <c r="E200" s="29" t="inlineStr">
        <is>
          <t>KOSDAQ</t>
        </is>
      </c>
      <c r="F200" s="29" t="inlineStr">
        <is>
          <t>팹리스/설계</t>
        </is>
      </c>
      <c r="G200" s="29" t="inlineStr">
        <is>
          <t>팹리스/설계</t>
        </is>
      </c>
      <c r="H200" s="29" t="inlineStr">
        <is>
          <t>False</t>
        </is>
      </c>
      <c r="I200" s="29" t="inlineStr">
        <is>
          <t>True</t>
        </is>
      </c>
      <c r="J200" s="29" t="inlineStr">
        <is>
          <t>OK</t>
        </is>
      </c>
      <c r="K200" s="29" t="inlineStr">
        <is>
          <t>데이터 사용 가능</t>
        </is>
      </c>
      <c r="L200" s="29" t="inlineStr">
        <is>
          <t>LOW</t>
        </is>
      </c>
      <c r="M200" s="29" t="inlineStr">
        <is>
          <t>LOW</t>
        </is>
      </c>
      <c r="N200" s="29" t="inlineStr">
        <is>
          <t>0.7383838383838384</t>
        </is>
      </c>
      <c r="O200" s="29" t="inlineStr">
        <is>
          <t>ATTRACTIVE</t>
        </is>
      </c>
      <c r="P200" s="29" t="inlineStr">
        <is>
          <t>가치 매력</t>
        </is>
      </c>
      <c r="Q200" s="29" t="inlineStr">
        <is>
          <t>ATTRACTIVE</t>
        </is>
      </c>
      <c r="R200" s="29" t="inlineStr">
        <is>
          <t>0.8262966149459129</t>
        </is>
      </c>
      <c r="S200" s="29" t="inlineStr">
        <is>
          <t>HIGH</t>
        </is>
      </c>
      <c r="T200" s="29" t="inlineStr">
        <is>
          <t>HIGH</t>
        </is>
      </c>
      <c r="U200" s="29" t="inlineStr">
        <is>
          <t>0.1428571428571428</t>
        </is>
      </c>
      <c r="V200" s="29" t="inlineStr">
        <is>
          <t>LOW_RISK</t>
        </is>
      </c>
      <c r="W200" s="29" t="inlineStr">
        <is>
          <t>저위험</t>
        </is>
      </c>
      <c r="X200" s="29" t="inlineStr">
        <is>
          <t>LOW_RISK</t>
        </is>
      </c>
      <c r="Y200" s="29" t="inlineStr">
        <is>
          <t>0.7491981695245683</t>
        </is>
      </c>
      <c r="Z200" s="29" t="inlineStr">
        <is>
          <t>HIGH</t>
        </is>
      </c>
      <c r="AA200" s="29" t="inlineStr">
        <is>
          <t>HIGH</t>
        </is>
      </c>
      <c r="AB200" s="29" t="inlineStr">
        <is>
          <t>0.08427857084894262</t>
        </is>
      </c>
      <c r="AC200" s="29" t="inlineStr">
        <is>
          <t>False</t>
        </is>
      </c>
      <c r="AD200" s="29" t="inlineStr">
        <is>
          <t>False</t>
        </is>
      </c>
      <c r="AE200" s="29" t="inlineStr">
        <is>
          <t>valuation_credit_ml_overlay_candidate.csv</t>
        </is>
      </c>
      <c r="AF200" s="29" t="inlineStr">
        <is>
          <t>208개 반도체 reference universe. Valuation Agent가 자체 intake 폴더로 복제해 Peer/ML/대시보드 비교에 사용.</t>
        </is>
      </c>
    </row>
    <row r="201" ht="24" customHeight="1">
      <c r="A201" s="24" t="inlineStr">
        <is>
          <t>55</t>
        </is>
      </c>
      <c r="B201" s="24" t="inlineStr">
        <is>
          <t>해당 없음</t>
        </is>
      </c>
      <c r="C201" s="24" t="inlineStr">
        <is>
          <t>아이앤씨</t>
        </is>
      </c>
      <c r="D201" s="24" t="inlineStr">
        <is>
          <t>052860</t>
        </is>
      </c>
      <c r="E201" s="24" t="inlineStr">
        <is>
          <t>KOSDAQ</t>
        </is>
      </c>
      <c r="F201" s="24" t="inlineStr">
        <is>
          <t>팹리스/설계</t>
        </is>
      </c>
      <c r="G201" s="24" t="inlineStr">
        <is>
          <t>팹리스/설계</t>
        </is>
      </c>
      <c r="H201" s="24" t="inlineStr">
        <is>
          <t>False</t>
        </is>
      </c>
      <c r="I201" s="24" t="inlineStr">
        <is>
          <t>True</t>
        </is>
      </c>
      <c r="J201" s="24" t="inlineStr">
        <is>
          <t>OK</t>
        </is>
      </c>
      <c r="K201" s="24" t="inlineStr">
        <is>
          <t>데이터 사용 가능</t>
        </is>
      </c>
      <c r="L201" s="24" t="inlineStr">
        <is>
          <t>LOW</t>
        </is>
      </c>
      <c r="M201" s="24" t="inlineStr">
        <is>
          <t>LOW</t>
        </is>
      </c>
      <c r="N201" s="24" t="inlineStr">
        <is>
          <t>0.7325252525252526</t>
        </is>
      </c>
      <c r="O201" s="24" t="inlineStr">
        <is>
          <t>ATTRACTIVE</t>
        </is>
      </c>
      <c r="P201" s="24" t="inlineStr">
        <is>
          <t>가치 매력</t>
        </is>
      </c>
      <c r="Q201" s="24" t="inlineStr">
        <is>
          <t>ATTRACTIVE</t>
        </is>
      </c>
      <c r="R201" s="24" t="inlineStr">
        <is>
          <t>0.9267130449922303</t>
        </is>
      </c>
      <c r="S201" s="24" t="inlineStr">
        <is>
          <t>HIGH</t>
        </is>
      </c>
      <c r="T201" s="24" t="inlineStr">
        <is>
          <t>HIGH</t>
        </is>
      </c>
      <c r="U201" s="24" t="inlineStr">
        <is>
          <t>0.0</t>
        </is>
      </c>
      <c r="V201" s="24" t="inlineStr">
        <is>
          <t>LOW_RISK</t>
        </is>
      </c>
      <c r="W201" s="24" t="inlineStr">
        <is>
          <t>저위험</t>
        </is>
      </c>
      <c r="X201" s="24" t="inlineStr">
        <is>
          <t>LOW_RISK</t>
        </is>
      </c>
      <c r="Y201" s="24" t="inlineStr">
        <is>
          <t>0.8920304728976969</t>
        </is>
      </c>
      <c r="Z201" s="24" t="inlineStr">
        <is>
          <t>HIGH</t>
        </is>
      </c>
      <c r="AA201" s="24" t="inlineStr">
        <is>
          <t>HIGH</t>
        </is>
      </c>
      <c r="AB201" s="24" t="inlineStr">
        <is>
          <t>0.022475117759514655</t>
        </is>
      </c>
      <c r="AC201" s="24" t="inlineStr">
        <is>
          <t>False</t>
        </is>
      </c>
      <c r="AD201" s="24" t="inlineStr">
        <is>
          <t>False</t>
        </is>
      </c>
      <c r="AE201" s="24" t="inlineStr">
        <is>
          <t>valuation_credit_ml_overlay_candidate.csv</t>
        </is>
      </c>
      <c r="AF201" s="24" t="inlineStr">
        <is>
          <t>208개 반도체 reference universe. Valuation Agent가 자체 intake 폴더로 복제해 Peer/ML/대시보드 비교에 사용.</t>
        </is>
      </c>
    </row>
    <row r="202" ht="24" customHeight="1">
      <c r="A202" s="29" t="inlineStr">
        <is>
          <t>48</t>
        </is>
      </c>
      <c r="B202" s="29" t="inlineStr">
        <is>
          <t>해당 없음</t>
        </is>
      </c>
      <c r="C202" s="29" t="inlineStr">
        <is>
          <t>매커스</t>
        </is>
      </c>
      <c r="D202" s="29" t="inlineStr">
        <is>
          <t>093520</t>
        </is>
      </c>
      <c r="E202" s="29" t="inlineStr">
        <is>
          <t>KOSDAQ</t>
        </is>
      </c>
      <c r="F202" s="29" t="inlineStr">
        <is>
          <t>팹리스/설계</t>
        </is>
      </c>
      <c r="G202" s="29" t="inlineStr">
        <is>
          <t>팹리스/설계</t>
        </is>
      </c>
      <c r="H202" s="29" t="inlineStr">
        <is>
          <t>False</t>
        </is>
      </c>
      <c r="I202" s="29" t="inlineStr">
        <is>
          <t>True</t>
        </is>
      </c>
      <c r="J202" s="29" t="inlineStr">
        <is>
          <t>OK</t>
        </is>
      </c>
      <c r="K202" s="29" t="inlineStr">
        <is>
          <t>데이터 사용 가능</t>
        </is>
      </c>
      <c r="L202" s="29" t="inlineStr">
        <is>
          <t>LOW</t>
        </is>
      </c>
      <c r="M202" s="29" t="inlineStr">
        <is>
          <t>LOW</t>
        </is>
      </c>
      <c r="N202" s="29" t="inlineStr">
        <is>
          <t>0.7056565656565656</t>
        </is>
      </c>
      <c r="O202" s="29" t="inlineStr">
        <is>
          <t>ATTRACTIVE</t>
        </is>
      </c>
      <c r="P202" s="29" t="inlineStr">
        <is>
          <t>가치 매력</t>
        </is>
      </c>
      <c r="Q202" s="29" t="inlineStr">
        <is>
          <t>ATTRACTIVE</t>
        </is>
      </c>
      <c r="R202" s="29" t="inlineStr">
        <is>
          <t>0.9375173489226767</t>
        </is>
      </c>
      <c r="S202" s="29" t="inlineStr">
        <is>
          <t>HIGH</t>
        </is>
      </c>
      <c r="T202" s="29" t="inlineStr">
        <is>
          <t>HIGH</t>
        </is>
      </c>
      <c r="U202" s="29" t="inlineStr">
        <is>
          <t>0.0</t>
        </is>
      </c>
      <c r="V202" s="29" t="inlineStr">
        <is>
          <t>LOW_RISK</t>
        </is>
      </c>
      <c r="W202" s="29" t="inlineStr">
        <is>
          <t>저위험</t>
        </is>
      </c>
      <c r="X202" s="29" t="inlineStr">
        <is>
          <t>LOW_RISK</t>
        </is>
      </c>
      <c r="Y202" s="29" t="inlineStr">
        <is>
          <t>0.8297390345025338</t>
        </is>
      </c>
      <c r="Z202" s="29" t="inlineStr">
        <is>
          <t>HIGH</t>
        </is>
      </c>
      <c r="AA202" s="29" t="inlineStr">
        <is>
          <t>HIGH</t>
        </is>
      </c>
      <c r="AB202" s="29" t="inlineStr">
        <is>
          <t>0.08420442573717486</t>
        </is>
      </c>
      <c r="AC202" s="29" t="inlineStr">
        <is>
          <t>False</t>
        </is>
      </c>
      <c r="AD202" s="29" t="inlineStr">
        <is>
          <t>False</t>
        </is>
      </c>
      <c r="AE202" s="29" t="inlineStr">
        <is>
          <t>valuation_credit_ml_overlay_candidate.csv</t>
        </is>
      </c>
      <c r="AF202" s="29" t="inlineStr">
        <is>
          <t>208개 반도체 reference universe. Valuation Agent가 자체 intake 폴더로 복제해 Peer/ML/대시보드 비교에 사용.</t>
        </is>
      </c>
    </row>
    <row r="203" ht="24" customHeight="1">
      <c r="A203" s="24" t="inlineStr">
        <is>
          <t>41</t>
        </is>
      </c>
      <c r="B203" s="24" t="inlineStr">
        <is>
          <t>해당 없음</t>
        </is>
      </c>
      <c r="C203" s="24" t="inlineStr">
        <is>
          <t>LX세미콘</t>
        </is>
      </c>
      <c r="D203" s="24" t="inlineStr">
        <is>
          <t>108320</t>
        </is>
      </c>
      <c r="E203" s="24" t="inlineStr">
        <is>
          <t>KOSPI</t>
        </is>
      </c>
      <c r="F203" s="24" t="inlineStr">
        <is>
          <t>팹리스/설계</t>
        </is>
      </c>
      <c r="G203" s="24" t="inlineStr">
        <is>
          <t>팹리스/설계</t>
        </is>
      </c>
      <c r="H203" s="24" t="inlineStr">
        <is>
          <t>False</t>
        </is>
      </c>
      <c r="I203" s="24" t="inlineStr">
        <is>
          <t>True</t>
        </is>
      </c>
      <c r="J203" s="24" t="inlineStr">
        <is>
          <t>OK</t>
        </is>
      </c>
      <c r="K203" s="24" t="inlineStr">
        <is>
          <t>데이터 사용 가능</t>
        </is>
      </c>
      <c r="L203" s="24" t="inlineStr">
        <is>
          <t>LOW</t>
        </is>
      </c>
      <c r="M203" s="24" t="inlineStr">
        <is>
          <t>LOW</t>
        </is>
      </c>
      <c r="N203" s="24" t="inlineStr">
        <is>
          <t>0.6953535353535354</t>
        </is>
      </c>
      <c r="O203" s="24" t="inlineStr">
        <is>
          <t>ATTRACTIVE</t>
        </is>
      </c>
      <c r="P203" s="24" t="inlineStr">
        <is>
          <t>가치 매력</t>
        </is>
      </c>
      <c r="Q203" s="24" t="inlineStr">
        <is>
          <t>ATTRACTIVE</t>
        </is>
      </c>
      <c r="R203" s="24" t="inlineStr">
        <is>
          <t>0.951012131492064</t>
        </is>
      </c>
      <c r="S203" s="24" t="inlineStr">
        <is>
          <t>HIGH</t>
        </is>
      </c>
      <c r="T203" s="24" t="inlineStr">
        <is>
          <t>HIGH</t>
        </is>
      </c>
      <c r="U203" s="24" t="inlineStr">
        <is>
          <t>0.0</t>
        </is>
      </c>
      <c r="V203" s="24" t="inlineStr">
        <is>
          <t>LOW_RISK</t>
        </is>
      </c>
      <c r="W203" s="24" t="inlineStr">
        <is>
          <t>저위험</t>
        </is>
      </c>
      <c r="X203" s="24" t="inlineStr">
        <is>
          <t>LOW_RISK</t>
        </is>
      </c>
      <c r="Y203" s="24" t="inlineStr">
        <is>
          <t>0.9675260077633142</t>
        </is>
      </c>
      <c r="Z203" s="24" t="inlineStr">
        <is>
          <t>HIGH</t>
        </is>
      </c>
      <c r="AA203" s="24" t="inlineStr">
        <is>
          <t>HIGH</t>
        </is>
      </c>
      <c r="AB203" s="24" t="inlineStr">
        <is>
          <t>0.0526549169074082</t>
        </is>
      </c>
      <c r="AC203" s="24" t="inlineStr">
        <is>
          <t>False</t>
        </is>
      </c>
      <c r="AD203" s="24" t="inlineStr">
        <is>
          <t>False</t>
        </is>
      </c>
      <c r="AE203" s="24" t="inlineStr">
        <is>
          <t>valuation_credit_ml_overlay_candidate.csv</t>
        </is>
      </c>
      <c r="AF203" s="24" t="inlineStr">
        <is>
          <t>208개 반도체 reference universe. Valuation Agent가 자체 intake 폴더로 복제해 Peer/ML/대시보드 비교에 사용.</t>
        </is>
      </c>
    </row>
    <row r="204" ht="24" customHeight="1">
      <c r="A204" s="29" t="inlineStr">
        <is>
          <t>61</t>
        </is>
      </c>
      <c r="B204" s="29" t="inlineStr">
        <is>
          <t>해당 없음</t>
        </is>
      </c>
      <c r="C204" s="29" t="inlineStr">
        <is>
          <t>어보브반도체</t>
        </is>
      </c>
      <c r="D204" s="29" t="inlineStr">
        <is>
          <t>102120</t>
        </is>
      </c>
      <c r="E204" s="29" t="inlineStr">
        <is>
          <t>KOSDAQ</t>
        </is>
      </c>
      <c r="F204" s="29" t="inlineStr">
        <is>
          <t>팹리스/설계</t>
        </is>
      </c>
      <c r="G204" s="29" t="inlineStr">
        <is>
          <t>팹리스/설계</t>
        </is>
      </c>
      <c r="H204" s="29" t="inlineStr">
        <is>
          <t>False</t>
        </is>
      </c>
      <c r="I204" s="29" t="inlineStr">
        <is>
          <t>True</t>
        </is>
      </c>
      <c r="J204" s="29" t="inlineStr">
        <is>
          <t>OK</t>
        </is>
      </c>
      <c r="K204" s="29" t="inlineStr">
        <is>
          <t>데이터 사용 가능</t>
        </is>
      </c>
      <c r="L204" s="29" t="inlineStr">
        <is>
          <t>LOW</t>
        </is>
      </c>
      <c r="M204" s="29" t="inlineStr">
        <is>
          <t>LOW</t>
        </is>
      </c>
      <c r="N204" s="29" t="inlineStr">
        <is>
          <t>0.6933333333333332</t>
        </is>
      </c>
      <c r="O204" s="29" t="inlineStr">
        <is>
          <t>FAIR</t>
        </is>
      </c>
      <c r="P204" s="29" t="inlineStr">
        <is>
          <t>FAIR</t>
        </is>
      </c>
      <c r="Q204" s="29" t="inlineStr">
        <is>
          <t>FAIR</t>
        </is>
      </c>
      <c r="R204" s="29" t="inlineStr">
        <is>
          <t>0.9028406871788379</t>
        </is>
      </c>
      <c r="S204" s="29" t="inlineStr">
        <is>
          <t>HIGH</t>
        </is>
      </c>
      <c r="T204" s="29" t="inlineStr">
        <is>
          <t>HIGH</t>
        </is>
      </c>
      <c r="U204" s="29" t="inlineStr">
        <is>
          <t>0.0714285714285714</t>
        </is>
      </c>
      <c r="V204" s="29" t="inlineStr">
        <is>
          <t>LOW_RISK</t>
        </is>
      </c>
      <c r="W204" s="29" t="inlineStr">
        <is>
          <t>저위험</t>
        </is>
      </c>
      <c r="X204" s="29" t="inlineStr">
        <is>
          <t>LOW_RISK</t>
        </is>
      </c>
      <c r="Y204" s="29" t="inlineStr">
        <is>
          <t>0.7134163381020407</t>
        </is>
      </c>
      <c r="Z204" s="29" t="inlineStr">
        <is>
          <t>HIGH</t>
        </is>
      </c>
      <c r="AA204" s="29" t="inlineStr">
        <is>
          <t>HIGH</t>
        </is>
      </c>
      <c r="AB204" s="29" t="inlineStr">
        <is>
          <t>0.020764615542161708</t>
        </is>
      </c>
      <c r="AC204" s="29" t="inlineStr">
        <is>
          <t>False</t>
        </is>
      </c>
      <c r="AD204" s="29" t="inlineStr">
        <is>
          <t>False</t>
        </is>
      </c>
      <c r="AE204" s="29" t="inlineStr">
        <is>
          <t>valuation_credit_ml_overlay_candidate.csv</t>
        </is>
      </c>
      <c r="AF204" s="29" t="inlineStr">
        <is>
          <t>208개 반도체 reference universe. Valuation Agent가 자체 intake 폴더로 복제해 Peer/ML/대시보드 비교에 사용.</t>
        </is>
      </c>
    </row>
    <row r="205" ht="24" customHeight="1">
      <c r="A205" s="24" t="inlineStr">
        <is>
          <t>58</t>
        </is>
      </c>
      <c r="B205" s="24" t="inlineStr">
        <is>
          <t>해당 없음</t>
        </is>
      </c>
      <c r="C205" s="24" t="inlineStr">
        <is>
          <t>알에프세미</t>
        </is>
      </c>
      <c r="D205" s="24" t="inlineStr">
        <is>
          <t>096610</t>
        </is>
      </c>
      <c r="E205" s="24" t="inlineStr">
        <is>
          <t>KOSDAQ</t>
        </is>
      </c>
      <c r="F205" s="24" t="inlineStr">
        <is>
          <t>팹리스/설계</t>
        </is>
      </c>
      <c r="G205" s="24" t="inlineStr">
        <is>
          <t>팹리스/설계</t>
        </is>
      </c>
      <c r="H205" s="24" t="inlineStr">
        <is>
          <t>False</t>
        </is>
      </c>
      <c r="I205" s="24" t="inlineStr">
        <is>
          <t>True</t>
        </is>
      </c>
      <c r="J205" s="24" t="inlineStr">
        <is>
          <t>OK</t>
        </is>
      </c>
      <c r="K205" s="24" t="inlineStr">
        <is>
          <t>데이터 사용 가능</t>
        </is>
      </c>
      <c r="L205" s="24" t="inlineStr">
        <is>
          <t>LOW</t>
        </is>
      </c>
      <c r="M205" s="24" t="inlineStr">
        <is>
          <t>LOW</t>
        </is>
      </c>
      <c r="N205" s="24" t="inlineStr">
        <is>
          <t>0.603030303030303</t>
        </is>
      </c>
      <c r="O205" s="24" t="inlineStr">
        <is>
          <t>ATTRACTIVE</t>
        </is>
      </c>
      <c r="P205" s="24" t="inlineStr">
        <is>
          <t>가치 매력</t>
        </is>
      </c>
      <c r="Q205" s="24" t="inlineStr">
        <is>
          <t>ATTRACTIVE</t>
        </is>
      </c>
      <c r="R205" s="24" t="inlineStr">
        <is>
          <t>0.8083150256499313</t>
        </is>
      </c>
      <c r="S205" s="24" t="inlineStr">
        <is>
          <t>HIGH</t>
        </is>
      </c>
      <c r="T205" s="24" t="inlineStr">
        <is>
          <t>HIGH</t>
        </is>
      </c>
      <c r="U205" s="24" t="inlineStr">
        <is>
          <t>0.0714285714285714</t>
        </is>
      </c>
      <c r="V205" s="24" t="inlineStr">
        <is>
          <t>LOW_RISK</t>
        </is>
      </c>
      <c r="W205" s="24" t="inlineStr">
        <is>
          <t>저위험</t>
        </is>
      </c>
      <c r="X205" s="24" t="inlineStr">
        <is>
          <t>LOW_RISK</t>
        </is>
      </c>
      <c r="Y205" s="24" t="inlineStr">
        <is>
          <t>0.8655657172147194</t>
        </is>
      </c>
      <c r="Z205" s="24" t="inlineStr">
        <is>
          <t>HIGH</t>
        </is>
      </c>
      <c r="AA205" s="24" t="inlineStr">
        <is>
          <t>HIGH</t>
        </is>
      </c>
      <c r="AB205" s="24" t="inlineStr">
        <is>
          <t>0.30686355706948754</t>
        </is>
      </c>
      <c r="AC205" s="24" t="inlineStr">
        <is>
          <t>True</t>
        </is>
      </c>
      <c r="AD205" s="24" t="inlineStr">
        <is>
          <t>True</t>
        </is>
      </c>
      <c r="AE205" s="24" t="inlineStr">
        <is>
          <t>valuation_credit_ml_overlay_candidate.csv</t>
        </is>
      </c>
      <c r="AF205" s="24" t="inlineStr">
        <is>
          <t>208개 반도체 reference universe. Valuation Agent가 자체 intake 폴더로 복제해 Peer/ML/대시보드 비교에 사용.</t>
        </is>
      </c>
    </row>
    <row r="206" ht="24" customHeight="1">
      <c r="A206" s="29" t="inlineStr">
        <is>
          <t>66</t>
        </is>
      </c>
      <c r="B206" s="29" t="inlineStr">
        <is>
          <t>해당 없음</t>
        </is>
      </c>
      <c r="C206" s="29" t="inlineStr">
        <is>
          <t>제주반도체</t>
        </is>
      </c>
      <c r="D206" s="29" t="inlineStr">
        <is>
          <t>080220</t>
        </is>
      </c>
      <c r="E206" s="29" t="inlineStr">
        <is>
          <t>KOSDAQ</t>
        </is>
      </c>
      <c r="F206" s="29" t="inlineStr">
        <is>
          <t>팹리스/설계</t>
        </is>
      </c>
      <c r="G206" s="29" t="inlineStr">
        <is>
          <t>팹리스/설계</t>
        </is>
      </c>
      <c r="H206" s="29" t="inlineStr">
        <is>
          <t>False</t>
        </is>
      </c>
      <c r="I206" s="29" t="inlineStr">
        <is>
          <t>True</t>
        </is>
      </c>
      <c r="J206" s="29" t="inlineStr">
        <is>
          <t>OK</t>
        </is>
      </c>
      <c r="K206" s="29" t="inlineStr">
        <is>
          <t>데이터 사용 가능</t>
        </is>
      </c>
      <c r="L206" s="29" t="inlineStr">
        <is>
          <t>LOW</t>
        </is>
      </c>
      <c r="M206" s="29" t="inlineStr">
        <is>
          <t>LOW</t>
        </is>
      </c>
      <c r="N206" s="29" t="inlineStr">
        <is>
          <t>0.5917171717171718</t>
        </is>
      </c>
      <c r="O206" s="29" t="inlineStr">
        <is>
          <t>ATTRACTIVE</t>
        </is>
      </c>
      <c r="P206" s="29" t="inlineStr">
        <is>
          <t>가치 매력</t>
        </is>
      </c>
      <c r="Q206" s="29" t="inlineStr">
        <is>
          <t>ATTRACTIVE</t>
        </is>
      </c>
      <c r="R206" s="29" t="inlineStr">
        <is>
          <t>0.6955424557105586</t>
        </is>
      </c>
      <c r="S206" s="29" t="inlineStr">
        <is>
          <t>MEDIUM</t>
        </is>
      </c>
      <c r="T206" s="29" t="inlineStr">
        <is>
          <t>MEDIUM</t>
        </is>
      </c>
      <c r="U206" s="29" t="inlineStr">
        <is>
          <t>0.0</t>
        </is>
      </c>
      <c r="V206" s="29" t="inlineStr">
        <is>
          <t>LOW_RISK</t>
        </is>
      </c>
      <c r="W206" s="29" t="inlineStr">
        <is>
          <t>저위험</t>
        </is>
      </c>
      <c r="X206" s="29" t="inlineStr">
        <is>
          <t>LOW_RISK</t>
        </is>
      </c>
      <c r="Y206" s="29" t="inlineStr">
        <is>
          <t>0.9206625395821784</t>
        </is>
      </c>
      <c r="Z206" s="29" t="inlineStr">
        <is>
          <t>HIGH</t>
        </is>
      </c>
      <c r="AA206" s="29" t="inlineStr">
        <is>
          <t>HIGH</t>
        </is>
      </c>
      <c r="AB206" s="29" t="inlineStr">
        <is>
          <t>0.022944474321634056</t>
        </is>
      </c>
      <c r="AC206" s="29" t="inlineStr">
        <is>
          <t>False</t>
        </is>
      </c>
      <c r="AD206" s="29" t="inlineStr">
        <is>
          <t>False</t>
        </is>
      </c>
      <c r="AE206" s="29" t="inlineStr">
        <is>
          <t>valuation_credit_ml_overlay_candidate.csv</t>
        </is>
      </c>
      <c r="AF206" s="29" t="inlineStr">
        <is>
          <t>208개 반도체 reference universe. Valuation Agent가 자체 intake 폴더로 복제해 Peer/ML/대시보드 비교에 사용.</t>
        </is>
      </c>
    </row>
    <row r="207" ht="24" customHeight="1">
      <c r="A207" s="24" t="inlineStr">
        <is>
          <t>71</t>
        </is>
      </c>
      <c r="B207" s="24" t="inlineStr">
        <is>
          <t>해당 없음</t>
        </is>
      </c>
      <c r="C207" s="24" t="inlineStr">
        <is>
          <t>티에스이</t>
        </is>
      </c>
      <c r="D207" s="24" t="inlineStr">
        <is>
          <t>131290</t>
        </is>
      </c>
      <c r="E207" s="24" t="inlineStr">
        <is>
          <t>KOSDAQ</t>
        </is>
      </c>
      <c r="F207" s="24" t="inlineStr">
        <is>
          <t>팹리스/설계</t>
        </is>
      </c>
      <c r="G207" s="24" t="inlineStr">
        <is>
          <t>팹리스/설계</t>
        </is>
      </c>
      <c r="H207" s="24" t="inlineStr">
        <is>
          <t>False</t>
        </is>
      </c>
      <c r="I207" s="24" t="inlineStr">
        <is>
          <t>True</t>
        </is>
      </c>
      <c r="J207" s="24" t="inlineStr">
        <is>
          <t>OK</t>
        </is>
      </c>
      <c r="K207" s="24" t="inlineStr">
        <is>
          <t>데이터 사용 가능</t>
        </is>
      </c>
      <c r="L207" s="24" t="inlineStr">
        <is>
          <t>LOW</t>
        </is>
      </c>
      <c r="M207" s="24" t="inlineStr">
        <is>
          <t>LOW</t>
        </is>
      </c>
      <c r="N207" s="24" t="inlineStr">
        <is>
          <t>0.5880808080808082</t>
        </is>
      </c>
      <c r="O207" s="24" t="inlineStr">
        <is>
          <t>ATTRACTIVE</t>
        </is>
      </c>
      <c r="P207" s="24" t="inlineStr">
        <is>
          <t>가치 매력</t>
        </is>
      </c>
      <c r="Q207" s="24" t="inlineStr">
        <is>
          <t>ATTRACTIVE</t>
        </is>
      </c>
      <c r="R207" s="24" t="inlineStr">
        <is>
          <t>0.7390287615028212</t>
        </is>
      </c>
      <c r="S207" s="24" t="inlineStr">
        <is>
          <t>HIGH</t>
        </is>
      </c>
      <c r="T207" s="24" t="inlineStr">
        <is>
          <t>HIGH</t>
        </is>
      </c>
      <c r="U207" s="24" t="inlineStr">
        <is>
          <t>0.0</t>
        </is>
      </c>
      <c r="V207" s="24" t="inlineStr">
        <is>
          <t>LOW_RISK</t>
        </is>
      </c>
      <c r="W207" s="24" t="inlineStr">
        <is>
          <t>저위험</t>
        </is>
      </c>
      <c r="X207" s="24" t="inlineStr">
        <is>
          <t>LOW_RISK</t>
        </is>
      </c>
      <c r="Y207" s="24" t="inlineStr">
        <is>
          <t>0.9709748314872512</t>
        </is>
      </c>
      <c r="Z207" s="24" t="inlineStr">
        <is>
          <t>HIGH</t>
        </is>
      </c>
      <c r="AA207" s="24" t="inlineStr">
        <is>
          <t>HIGH</t>
        </is>
      </c>
      <c r="AB207" s="24" t="inlineStr">
        <is>
          <t>0.018067787318761474</t>
        </is>
      </c>
      <c r="AC207" s="24" t="inlineStr">
        <is>
          <t>False</t>
        </is>
      </c>
      <c r="AD207" s="24" t="inlineStr">
        <is>
          <t>False</t>
        </is>
      </c>
      <c r="AE207" s="24" t="inlineStr">
        <is>
          <t>valuation_credit_ml_overlay_candidate.csv</t>
        </is>
      </c>
      <c r="AF207" s="24" t="inlineStr">
        <is>
          <t>208개 반도체 reference universe. Valuation Agent가 자체 intake 폴더로 복제해 Peer/ML/대시보드 비교에 사용.</t>
        </is>
      </c>
    </row>
    <row r="208" ht="24" customHeight="1">
      <c r="A208" s="29" t="inlineStr">
        <is>
          <t>53</t>
        </is>
      </c>
      <c r="B208" s="29" t="inlineStr">
        <is>
          <t>해당 없음</t>
        </is>
      </c>
      <c r="C208" s="29" t="inlineStr">
        <is>
          <t>아나패스</t>
        </is>
      </c>
      <c r="D208" s="29" t="inlineStr">
        <is>
          <t>123860</t>
        </is>
      </c>
      <c r="E208" s="29" t="inlineStr">
        <is>
          <t>KOSDAQ</t>
        </is>
      </c>
      <c r="F208" s="29" t="inlineStr">
        <is>
          <t>팹리스/설계</t>
        </is>
      </c>
      <c r="G208" s="29" t="inlineStr">
        <is>
          <t>팹리스/설계</t>
        </is>
      </c>
      <c r="H208" s="29" t="inlineStr">
        <is>
          <t>False</t>
        </is>
      </c>
      <c r="I208" s="29" t="inlineStr">
        <is>
          <t>True</t>
        </is>
      </c>
      <c r="J208" s="29" t="inlineStr">
        <is>
          <t>OK</t>
        </is>
      </c>
      <c r="K208" s="29" t="inlineStr">
        <is>
          <t>데이터 사용 가능</t>
        </is>
      </c>
      <c r="L208" s="29" t="inlineStr">
        <is>
          <t>LOW</t>
        </is>
      </c>
      <c r="M208" s="29" t="inlineStr">
        <is>
          <t>LOW</t>
        </is>
      </c>
      <c r="N208" s="29" t="inlineStr">
        <is>
          <t>0.5761616161616162</t>
        </is>
      </c>
      <c r="O208" s="29" t="inlineStr">
        <is>
          <t>FAIR</t>
        </is>
      </c>
      <c r="P208" s="29" t="inlineStr">
        <is>
          <t>FAIR</t>
        </is>
      </c>
      <c r="Q208" s="29" t="inlineStr">
        <is>
          <t>ATTRACTIVE</t>
        </is>
      </c>
      <c r="R208" s="29" t="inlineStr">
        <is>
          <t>0.510332377942325</t>
        </is>
      </c>
      <c r="S208" s="29" t="inlineStr">
        <is>
          <t>MEDIUM</t>
        </is>
      </c>
      <c r="T208" s="29" t="inlineStr">
        <is>
          <t>MEDIUM</t>
        </is>
      </c>
      <c r="U208" s="29" t="inlineStr">
        <is>
          <t>0.0</t>
        </is>
      </c>
      <c r="V208" s="29" t="inlineStr">
        <is>
          <t>LOW_RISK</t>
        </is>
      </c>
      <c r="W208" s="29" t="inlineStr">
        <is>
          <t>저위험</t>
        </is>
      </c>
      <c r="X208" s="29" t="inlineStr">
        <is>
          <t>LOW_RISK</t>
        </is>
      </c>
      <c r="Y208" s="29" t="inlineStr">
        <is>
          <t>0.9162612285765747</t>
        </is>
      </c>
      <c r="Z208" s="29" t="inlineStr">
        <is>
          <t>HIGH</t>
        </is>
      </c>
      <c r="AA208" s="29" t="inlineStr">
        <is>
          <t>HIGH</t>
        </is>
      </c>
      <c r="AB208" s="29" t="inlineStr">
        <is>
          <t>0.10416084144507474</t>
        </is>
      </c>
      <c r="AC208" s="29" t="inlineStr">
        <is>
          <t>False</t>
        </is>
      </c>
      <c r="AD208" s="29" t="inlineStr">
        <is>
          <t>False</t>
        </is>
      </c>
      <c r="AE208" s="29" t="inlineStr">
        <is>
          <t>valuation_credit_ml_overlay_candidate.csv</t>
        </is>
      </c>
      <c r="AF208" s="29" t="inlineStr">
        <is>
          <t>208개 반도체 reference universe. Valuation Agent가 자체 intake 폴더로 복제해 Peer/ML/대시보드 비교에 사용.</t>
        </is>
      </c>
    </row>
    <row r="209" ht="24" customHeight="1">
      <c r="A209" s="24" t="inlineStr">
        <is>
          <t>68</t>
        </is>
      </c>
      <c r="B209" s="24" t="inlineStr">
        <is>
          <t>해당 없음</t>
        </is>
      </c>
      <c r="C209" s="24" t="inlineStr">
        <is>
          <t>코아시아</t>
        </is>
      </c>
      <c r="D209" s="24" t="inlineStr">
        <is>
          <t>045970</t>
        </is>
      </c>
      <c r="E209" s="24" t="inlineStr">
        <is>
          <t>KOSDAQ</t>
        </is>
      </c>
      <c r="F209" s="24" t="inlineStr">
        <is>
          <t>팹리스/설계</t>
        </is>
      </c>
      <c r="G209" s="24" t="inlineStr">
        <is>
          <t>팹리스/설계</t>
        </is>
      </c>
      <c r="H209" s="24" t="inlineStr">
        <is>
          <t>False</t>
        </is>
      </c>
      <c r="I209" s="24" t="inlineStr">
        <is>
          <t>True</t>
        </is>
      </c>
      <c r="J209" s="24" t="inlineStr">
        <is>
          <t>OK</t>
        </is>
      </c>
      <c r="K209" s="24" t="inlineStr">
        <is>
          <t>데이터 사용 가능</t>
        </is>
      </c>
      <c r="L209" s="24" t="inlineStr">
        <is>
          <t>LOW</t>
        </is>
      </c>
      <c r="M209" s="24" t="inlineStr">
        <is>
          <t>LOW</t>
        </is>
      </c>
      <c r="N209" s="24" t="inlineStr">
        <is>
          <t>0.5612121212121212</t>
        </is>
      </c>
      <c r="O209" s="24" t="inlineStr">
        <is>
          <t>FAIR</t>
        </is>
      </c>
      <c r="P209" s="24" t="inlineStr">
        <is>
          <t>FAIR</t>
        </is>
      </c>
      <c r="Q209" s="24" t="inlineStr">
        <is>
          <t>FAIR</t>
        </is>
      </c>
      <c r="R209" s="24" t="inlineStr">
        <is>
          <t>0.811266524244761</t>
        </is>
      </c>
      <c r="S209" s="24" t="inlineStr">
        <is>
          <t>HIGH</t>
        </is>
      </c>
      <c r="T209" s="24" t="inlineStr">
        <is>
          <t>HIGH</t>
        </is>
      </c>
      <c r="U209" s="24" t="inlineStr">
        <is>
          <t>0.5</t>
        </is>
      </c>
      <c r="V209" s="24" t="inlineStr">
        <is>
          <t>HIGH_RISK</t>
        </is>
      </c>
      <c r="W209" s="24" t="inlineStr">
        <is>
          <t>고위험</t>
        </is>
      </c>
      <c r="X209" s="24" t="inlineStr">
        <is>
          <t>HIGH_RISK</t>
        </is>
      </c>
      <c r="Y209" s="24" t="inlineStr">
        <is>
          <t>0.7677840717507917</t>
        </is>
      </c>
      <c r="Z209" s="24" t="inlineStr">
        <is>
          <t>HIGH</t>
        </is>
      </c>
      <c r="AA209" s="24" t="inlineStr">
        <is>
          <t>HIGH</t>
        </is>
      </c>
      <c r="AB209" s="24" t="inlineStr">
        <is>
          <t>0.06747219473464933</t>
        </is>
      </c>
      <c r="AC209" s="24" t="inlineStr">
        <is>
          <t>False</t>
        </is>
      </c>
      <c r="AD209" s="24" t="inlineStr">
        <is>
          <t>False</t>
        </is>
      </c>
      <c r="AE209" s="24" t="inlineStr">
        <is>
          <t>valuation_credit_ml_overlay_candidate.csv</t>
        </is>
      </c>
      <c r="AF209" s="24" t="inlineStr">
        <is>
          <t>208개 반도체 reference universe. Valuation Agent가 자체 intake 폴더로 복제해 Peer/ML/대시보드 비교에 사용.</t>
        </is>
      </c>
    </row>
    <row r="210" ht="24" customHeight="1">
      <c r="A210" s="29" t="inlineStr">
        <is>
          <t>73</t>
        </is>
      </c>
      <c r="B210" s="29" t="inlineStr">
        <is>
          <t>해당 없음</t>
        </is>
      </c>
      <c r="C210" s="29" t="inlineStr">
        <is>
          <t>픽셀플러스</t>
        </is>
      </c>
      <c r="D210" s="29" t="inlineStr">
        <is>
          <t>087600</t>
        </is>
      </c>
      <c r="E210" s="29" t="inlineStr">
        <is>
          <t>KOSDAQ</t>
        </is>
      </c>
      <c r="F210" s="29" t="inlineStr">
        <is>
          <t>팹리스/설계</t>
        </is>
      </c>
      <c r="G210" s="29" t="inlineStr">
        <is>
          <t>팹리스/설계</t>
        </is>
      </c>
      <c r="H210" s="29" t="inlineStr">
        <is>
          <t>False</t>
        </is>
      </c>
      <c r="I210" s="29" t="inlineStr">
        <is>
          <t>True</t>
        </is>
      </c>
      <c r="J210" s="29" t="inlineStr">
        <is>
          <t>OK</t>
        </is>
      </c>
      <c r="K210" s="29" t="inlineStr">
        <is>
          <t>데이터 사용 가능</t>
        </is>
      </c>
      <c r="L210" s="29" t="inlineStr">
        <is>
          <t>LOW</t>
        </is>
      </c>
      <c r="M210" s="29" t="inlineStr">
        <is>
          <t>LOW</t>
        </is>
      </c>
      <c r="N210" s="29" t="inlineStr">
        <is>
          <t>0.543030303030303</t>
        </is>
      </c>
      <c r="O210" s="29" t="inlineStr">
        <is>
          <t>FAIR</t>
        </is>
      </c>
      <c r="P210" s="29" t="inlineStr">
        <is>
          <t>FAIR</t>
        </is>
      </c>
      <c r="Q210" s="29" t="inlineStr">
        <is>
          <t>FAIR</t>
        </is>
      </c>
      <c r="R210" s="29" t="inlineStr">
        <is>
          <t>0.8353732583827468</t>
        </is>
      </c>
      <c r="S210" s="29" t="inlineStr">
        <is>
          <t>HIGH</t>
        </is>
      </c>
      <c r="T210" s="29" t="inlineStr">
        <is>
          <t>HIGH</t>
        </is>
      </c>
      <c r="U210" s="29" t="inlineStr">
        <is>
          <t>0.2857142857142857</t>
        </is>
      </c>
      <c r="V210" s="29" t="inlineStr">
        <is>
          <t>MEDIUM_RISK</t>
        </is>
      </c>
      <c r="W210" s="29" t="inlineStr">
        <is>
          <t>중위험</t>
        </is>
      </c>
      <c r="X210" s="29" t="inlineStr">
        <is>
          <t>MEDIUM_RISK</t>
        </is>
      </c>
      <c r="Y210" s="29" t="inlineStr">
        <is>
          <t>0.8277119254156154</t>
        </is>
      </c>
      <c r="Z210" s="29" t="inlineStr">
        <is>
          <t>HIGH</t>
        </is>
      </c>
      <c r="AA210" s="29" t="inlineStr">
        <is>
          <t>HIGH</t>
        </is>
      </c>
      <c r="AB210" s="29" t="inlineStr">
        <is>
          <t>0.08861749399056779</t>
        </is>
      </c>
      <c r="AC210" s="29" t="inlineStr">
        <is>
          <t>False</t>
        </is>
      </c>
      <c r="AD210" s="29" t="inlineStr">
        <is>
          <t>False</t>
        </is>
      </c>
      <c r="AE210" s="29" t="inlineStr">
        <is>
          <t>valuation_credit_ml_overlay_candidate.csv</t>
        </is>
      </c>
      <c r="AF210" s="29" t="inlineStr">
        <is>
          <t>208개 반도체 reference universe. Valuation Agent가 자체 intake 폴더로 복제해 Peer/ML/대시보드 비교에 사용.</t>
        </is>
      </c>
    </row>
    <row r="211" ht="24" customHeight="1">
      <c r="A211" s="24" t="inlineStr">
        <is>
          <t>67</t>
        </is>
      </c>
      <c r="B211" s="24" t="inlineStr">
        <is>
          <t>해당 없음</t>
        </is>
      </c>
      <c r="C211" s="24" t="inlineStr">
        <is>
          <t>칩스앤미디어</t>
        </is>
      </c>
      <c r="D211" s="24" t="inlineStr">
        <is>
          <t>094360</t>
        </is>
      </c>
      <c r="E211" s="24" t="inlineStr">
        <is>
          <t>KOSDAQ</t>
        </is>
      </c>
      <c r="F211" s="24" t="inlineStr">
        <is>
          <t>팹리스/설계</t>
        </is>
      </c>
      <c r="G211" s="24" t="inlineStr">
        <is>
          <t>팹리스/설계</t>
        </is>
      </c>
      <c r="H211" s="24" t="inlineStr">
        <is>
          <t>False</t>
        </is>
      </c>
      <c r="I211" s="24" t="inlineStr">
        <is>
          <t>True</t>
        </is>
      </c>
      <c r="J211" s="24" t="inlineStr">
        <is>
          <t>OK</t>
        </is>
      </c>
      <c r="K211" s="24" t="inlineStr">
        <is>
          <t>데이터 사용 가능</t>
        </is>
      </c>
      <c r="L211" s="24" t="inlineStr">
        <is>
          <t>LOW</t>
        </is>
      </c>
      <c r="M211" s="24" t="inlineStr">
        <is>
          <t>LOW</t>
        </is>
      </c>
      <c r="N211" s="24" t="inlineStr">
        <is>
          <t>0.5424242424242424</t>
        </is>
      </c>
      <c r="O211" s="24" t="inlineStr">
        <is>
          <t>FAIR</t>
        </is>
      </c>
      <c r="P211" s="24" t="inlineStr">
        <is>
          <t>FAIR</t>
        </is>
      </c>
      <c r="Q211" s="24" t="inlineStr">
        <is>
          <t>FAIR</t>
        </is>
      </c>
      <c r="R211" s="24" t="inlineStr">
        <is>
          <t>0.44740744488593415</t>
        </is>
      </c>
      <c r="S211" s="24" t="inlineStr">
        <is>
          <t>LOW</t>
        </is>
      </c>
      <c r="T211" s="24" t="inlineStr">
        <is>
          <t>LOW</t>
        </is>
      </c>
      <c r="U211" s="24" t="inlineStr">
        <is>
          <t>0.0</t>
        </is>
      </c>
      <c r="V211" s="24" t="inlineStr">
        <is>
          <t>LOW_RISK</t>
        </is>
      </c>
      <c r="W211" s="24" t="inlineStr">
        <is>
          <t>저위험</t>
        </is>
      </c>
      <c r="X211" s="24" t="inlineStr">
        <is>
          <t>LOW_RISK</t>
        </is>
      </c>
      <c r="Y211" s="24" t="inlineStr">
        <is>
          <t>0.9394752479511282</t>
        </is>
      </c>
      <c r="Z211" s="24" t="inlineStr">
        <is>
          <t>HIGH</t>
        </is>
      </c>
      <c r="AA211" s="24" t="inlineStr">
        <is>
          <t>HIGH</t>
        </is>
      </c>
      <c r="AB211" s="24" t="inlineStr">
        <is>
          <t>0.1165162896524789</t>
        </is>
      </c>
      <c r="AC211" s="24" t="inlineStr">
        <is>
          <t>False</t>
        </is>
      </c>
      <c r="AD211" s="24" t="inlineStr">
        <is>
          <t>True</t>
        </is>
      </c>
      <c r="AE211" s="24" t="inlineStr">
        <is>
          <t>valuation_credit_ml_overlay_candidate.csv</t>
        </is>
      </c>
      <c r="AF211" s="24" t="inlineStr">
        <is>
          <t>208개 반도체 reference universe. Valuation Agent가 자체 intake 폴더로 복제해 Peer/ML/대시보드 비교에 사용.</t>
        </is>
      </c>
    </row>
    <row r="212" ht="24" customHeight="1">
      <c r="A212" s="29" t="inlineStr">
        <is>
          <t>57</t>
        </is>
      </c>
      <c r="B212" s="29" t="inlineStr">
        <is>
          <t>해당 없음</t>
        </is>
      </c>
      <c r="C212" s="29" t="inlineStr">
        <is>
          <t>아이케이세미콘</t>
        </is>
      </c>
      <c r="D212" s="29" t="inlineStr">
        <is>
          <t>149010</t>
        </is>
      </c>
      <c r="E212" s="29" t="inlineStr">
        <is>
          <t>KONEX</t>
        </is>
      </c>
      <c r="F212" s="29" t="inlineStr">
        <is>
          <t>팹리스/설계</t>
        </is>
      </c>
      <c r="G212" s="29" t="inlineStr">
        <is>
          <t>팹리스/설계</t>
        </is>
      </c>
      <c r="H212" s="29" t="inlineStr">
        <is>
          <t>False</t>
        </is>
      </c>
      <c r="I212" s="29" t="inlineStr">
        <is>
          <t>True</t>
        </is>
      </c>
      <c r="J212" s="29" t="inlineStr">
        <is>
          <t>NO_DART_FINANCIAL_DATA</t>
        </is>
      </c>
      <c r="K212" s="29" t="inlineStr">
        <is>
          <t>데이터 사용 가능</t>
        </is>
      </c>
      <c r="L212" s="29" t="inlineStr">
        <is>
          <t>HIGH</t>
        </is>
      </c>
      <c r="M212" s="29" t="inlineStr">
        <is>
          <t>HIGH</t>
        </is>
      </c>
      <c r="N212" s="29" t="inlineStr">
        <is>
          <t>0.497979797979798</t>
        </is>
      </c>
      <c r="O212" s="29" t="inlineStr">
        <is>
          <t>FAIR</t>
        </is>
      </c>
      <c r="P212" s="29" t="inlineStr">
        <is>
          <t>FAIR</t>
        </is>
      </c>
      <c r="Q212" s="29" t="inlineStr">
        <is>
          <t>FAIR</t>
        </is>
      </c>
      <c r="R212" s="29" t="inlineStr">
        <is>
          <t>0.9626560040296214</t>
        </is>
      </c>
      <c r="S212" s="29" t="inlineStr">
        <is>
          <t>HIGH</t>
        </is>
      </c>
      <c r="T212" s="29" t="inlineStr">
        <is>
          <t>HIGH</t>
        </is>
      </c>
      <c r="U212" s="29" t="inlineStr">
        <is>
          <t>0.6428571428571429</t>
        </is>
      </c>
      <c r="V212" s="29" t="inlineStr">
        <is>
          <t>HIGH_RISK</t>
        </is>
      </c>
      <c r="W212" s="29" t="inlineStr">
        <is>
          <t>고위험</t>
        </is>
      </c>
      <c r="X212" s="29" t="inlineStr">
        <is>
          <t>HIGH_RISK</t>
        </is>
      </c>
      <c r="Y212" s="29" t="inlineStr">
        <is>
          <t>0.7070645883552188</t>
        </is>
      </c>
      <c r="Z212" s="29" t="inlineStr">
        <is>
          <t>HIGH</t>
        </is>
      </c>
      <c r="AA212" s="29" t="inlineStr">
        <is>
          <t>HIGH</t>
        </is>
      </c>
      <c r="AB212" s="29" t="inlineStr">
        <is>
          <t>0.07589516599498297</t>
        </is>
      </c>
      <c r="AC212" s="29" t="inlineStr">
        <is>
          <t>False</t>
        </is>
      </c>
      <c r="AD212" s="29" t="inlineStr">
        <is>
          <t>True</t>
        </is>
      </c>
      <c r="AE212" s="29" t="inlineStr">
        <is>
          <t>valuation_credit_ml_overlay_candidate.csv</t>
        </is>
      </c>
      <c r="AF212" s="29" t="inlineStr">
        <is>
          <t>208개 반도체 reference universe. Valuation Agent가 자체 intake 폴더로 복제해 Peer/ML/대시보드 비교에 사용.</t>
        </is>
      </c>
    </row>
    <row r="213" ht="24" customHeight="1">
      <c r="A213" s="24" t="inlineStr">
        <is>
          <t>70</t>
        </is>
      </c>
      <c r="B213" s="24" t="inlineStr">
        <is>
          <t>해당 없음</t>
        </is>
      </c>
      <c r="C213" s="24" t="inlineStr">
        <is>
          <t>텔레칩스</t>
        </is>
      </c>
      <c r="D213" s="24" t="inlineStr">
        <is>
          <t>054450</t>
        </is>
      </c>
      <c r="E213" s="24" t="inlineStr">
        <is>
          <t>KOSDAQ</t>
        </is>
      </c>
      <c r="F213" s="24" t="inlineStr">
        <is>
          <t>팹리스/설계</t>
        </is>
      </c>
      <c r="G213" s="24" t="inlineStr">
        <is>
          <t>팹리스/설계</t>
        </is>
      </c>
      <c r="H213" s="24" t="inlineStr">
        <is>
          <t>False</t>
        </is>
      </c>
      <c r="I213" s="24" t="inlineStr">
        <is>
          <t>True</t>
        </is>
      </c>
      <c r="J213" s="24" t="inlineStr">
        <is>
          <t>OK</t>
        </is>
      </c>
      <c r="K213" s="24" t="inlineStr">
        <is>
          <t>데이터 사용 가능</t>
        </is>
      </c>
      <c r="L213" s="24" t="inlineStr">
        <is>
          <t>LOW</t>
        </is>
      </c>
      <c r="M213" s="24" t="inlineStr">
        <is>
          <t>LOW</t>
        </is>
      </c>
      <c r="N213" s="24" t="inlineStr">
        <is>
          <t>0.4943434343434343</t>
        </is>
      </c>
      <c r="O213" s="24" t="inlineStr">
        <is>
          <t>FAIR</t>
        </is>
      </c>
      <c r="P213" s="24" t="inlineStr">
        <is>
          <t>FAIR</t>
        </is>
      </c>
      <c r="Q213" s="24" t="inlineStr">
        <is>
          <t>EXPENSIVE</t>
        </is>
      </c>
      <c r="R213" s="24" t="inlineStr">
        <is>
          <t>0.5716537225721987</t>
        </is>
      </c>
      <c r="S213" s="24" t="inlineStr">
        <is>
          <t>MEDIUM</t>
        </is>
      </c>
      <c r="T213" s="24" t="inlineStr">
        <is>
          <t>MEDIUM</t>
        </is>
      </c>
      <c r="U213" s="24" t="inlineStr">
        <is>
          <t>0.7142857142857143</t>
        </is>
      </c>
      <c r="V213" s="24" t="inlineStr">
        <is>
          <t>HIGH_RISK</t>
        </is>
      </c>
      <c r="W213" s="24" t="inlineStr">
        <is>
          <t>고위험</t>
        </is>
      </c>
      <c r="X213" s="24" t="inlineStr">
        <is>
          <t>HIGH_RISK</t>
        </is>
      </c>
      <c r="Y213" s="24" t="inlineStr">
        <is>
          <t>0.9759550340612091</t>
        </is>
      </c>
      <c r="Z213" s="24" t="inlineStr">
        <is>
          <t>HIGH</t>
        </is>
      </c>
      <c r="AA213" s="24" t="inlineStr">
        <is>
          <t>HIGH</t>
        </is>
      </c>
      <c r="AB213" s="24" t="inlineStr">
        <is>
          <t>0.07328745198510121</t>
        </is>
      </c>
      <c r="AC213" s="24" t="inlineStr">
        <is>
          <t>False</t>
        </is>
      </c>
      <c r="AD213" s="24" t="inlineStr">
        <is>
          <t>False</t>
        </is>
      </c>
      <c r="AE213" s="24" t="inlineStr">
        <is>
          <t>valuation_credit_ml_overlay_candidate.csv</t>
        </is>
      </c>
      <c r="AF213" s="24" t="inlineStr">
        <is>
          <t>208개 반도체 reference universe. Valuation Agent가 자체 intake 폴더로 복제해 Peer/ML/대시보드 비교에 사용.</t>
        </is>
      </c>
    </row>
    <row r="214" ht="24" customHeight="1">
      <c r="A214" s="29" t="inlineStr">
        <is>
          <t>59</t>
        </is>
      </c>
      <c r="B214" s="29" t="inlineStr">
        <is>
          <t>해당 없음</t>
        </is>
      </c>
      <c r="C214" s="29" t="inlineStr">
        <is>
          <t>알파칩스</t>
        </is>
      </c>
      <c r="D214" s="29" t="inlineStr">
        <is>
          <t>117670</t>
        </is>
      </c>
      <c r="E214" s="29" t="inlineStr">
        <is>
          <t>KOSDAQ</t>
        </is>
      </c>
      <c r="F214" s="29" t="inlineStr">
        <is>
          <t>팹리스/설계</t>
        </is>
      </c>
      <c r="G214" s="29" t="inlineStr">
        <is>
          <t>팹리스/설계</t>
        </is>
      </c>
      <c r="H214" s="29" t="inlineStr">
        <is>
          <t>False</t>
        </is>
      </c>
      <c r="I214" s="29" t="inlineStr">
        <is>
          <t>True</t>
        </is>
      </c>
      <c r="J214" s="29" t="inlineStr">
        <is>
          <t>OK</t>
        </is>
      </c>
      <c r="K214" s="29" t="inlineStr">
        <is>
          <t>데이터 사용 가능</t>
        </is>
      </c>
      <c r="L214" s="29" t="inlineStr">
        <is>
          <t>LOW</t>
        </is>
      </c>
      <c r="M214" s="29" t="inlineStr">
        <is>
          <t>LOW</t>
        </is>
      </c>
      <c r="N214" s="29" t="inlineStr">
        <is>
          <t>0.4826262626262627</t>
        </is>
      </c>
      <c r="O214" s="29" t="inlineStr">
        <is>
          <t>FAIR</t>
        </is>
      </c>
      <c r="P214" s="29" t="inlineStr">
        <is>
          <t>FAIR</t>
        </is>
      </c>
      <c r="Q214" s="29" t="inlineStr">
        <is>
          <t>FAIR</t>
        </is>
      </c>
      <c r="R214" s="29" t="inlineStr">
        <is>
          <t>0.7398835550872951</t>
        </is>
      </c>
      <c r="S214" s="29" t="inlineStr">
        <is>
          <t>HIGH</t>
        </is>
      </c>
      <c r="T214" s="29" t="inlineStr">
        <is>
          <t>HIGH</t>
        </is>
      </c>
      <c r="U214" s="29" t="inlineStr">
        <is>
          <t>0.2857142857142857</t>
        </is>
      </c>
      <c r="V214" s="29" t="inlineStr">
        <is>
          <t>MEDIUM_RISK</t>
        </is>
      </c>
      <c r="W214" s="29" t="inlineStr">
        <is>
          <t>중위험</t>
        </is>
      </c>
      <c r="X214" s="29" t="inlineStr">
        <is>
          <t>MEDIUM_RISK</t>
        </is>
      </c>
      <c r="Y214" s="29" t="inlineStr">
        <is>
          <t>0.8321400367761521</t>
        </is>
      </c>
      <c r="Z214" s="29" t="inlineStr">
        <is>
          <t>HIGH</t>
        </is>
      </c>
      <c r="AA214" s="29" t="inlineStr">
        <is>
          <t>HIGH</t>
        </is>
      </c>
      <c r="AB214" s="29" t="inlineStr">
        <is>
          <t>0.06605777558134833</t>
        </is>
      </c>
      <c r="AC214" s="29" t="inlineStr">
        <is>
          <t>False</t>
        </is>
      </c>
      <c r="AD214" s="29" t="inlineStr">
        <is>
          <t>False</t>
        </is>
      </c>
      <c r="AE214" s="29" t="inlineStr">
        <is>
          <t>valuation_credit_ml_overlay_candidate.csv</t>
        </is>
      </c>
      <c r="AF214" s="29" t="inlineStr">
        <is>
          <t>208개 반도체 reference universe. Valuation Agent가 자체 intake 폴더로 복제해 Peer/ML/대시보드 비교에 사용.</t>
        </is>
      </c>
    </row>
    <row r="215" ht="24" customHeight="1">
      <c r="A215" s="24" t="inlineStr">
        <is>
          <t>46</t>
        </is>
      </c>
      <c r="B215" s="24" t="inlineStr">
        <is>
          <t>해당 없음</t>
        </is>
      </c>
      <c r="C215" s="24" t="inlineStr">
        <is>
          <t>라온로보틱스</t>
        </is>
      </c>
      <c r="D215" s="24" t="inlineStr">
        <is>
          <t>232680</t>
        </is>
      </c>
      <c r="E215" s="24" t="inlineStr">
        <is>
          <t>KOSDAQ</t>
        </is>
      </c>
      <c r="F215" s="24" t="inlineStr">
        <is>
          <t>팹리스/설계</t>
        </is>
      </c>
      <c r="G215" s="24" t="inlineStr">
        <is>
          <t>팹리스/설계</t>
        </is>
      </c>
      <c r="H215" s="24" t="inlineStr">
        <is>
          <t>False</t>
        </is>
      </c>
      <c r="I215" s="24" t="inlineStr">
        <is>
          <t>True</t>
        </is>
      </c>
      <c r="J215" s="24" t="inlineStr">
        <is>
          <t>OK</t>
        </is>
      </c>
      <c r="K215" s="24" t="inlineStr">
        <is>
          <t>데이터 사용 가능</t>
        </is>
      </c>
      <c r="L215" s="24" t="inlineStr">
        <is>
          <t>LOW</t>
        </is>
      </c>
      <c r="M215" s="24" t="inlineStr">
        <is>
          <t>LOW</t>
        </is>
      </c>
      <c r="N215" s="24" t="inlineStr">
        <is>
          <t>0.4745454545454545</t>
        </is>
      </c>
      <c r="O215" s="24" t="inlineStr">
        <is>
          <t>FAIR</t>
        </is>
      </c>
      <c r="P215" s="24" t="inlineStr">
        <is>
          <t>FAIR</t>
        </is>
      </c>
      <c r="Q215" s="24" t="inlineStr">
        <is>
          <t>FAIR</t>
        </is>
      </c>
      <c r="R215" s="24" t="inlineStr">
        <is>
          <t>0.7863374675167921</t>
        </is>
      </c>
      <c r="S215" s="24" t="inlineStr">
        <is>
          <t>HIGH</t>
        </is>
      </c>
      <c r="T215" s="24" t="inlineStr">
        <is>
          <t>HIGH</t>
        </is>
      </c>
      <c r="U215" s="24" t="inlineStr">
        <is>
          <t>0.1428571428571428</t>
        </is>
      </c>
      <c r="V215" s="24" t="inlineStr">
        <is>
          <t>LOW_RISK</t>
        </is>
      </c>
      <c r="W215" s="24" t="inlineStr">
        <is>
          <t>저위험</t>
        </is>
      </c>
      <c r="X215" s="24" t="inlineStr">
        <is>
          <t>LOW_RISK</t>
        </is>
      </c>
      <c r="Y215" s="24" t="inlineStr">
        <is>
          <t>0.6877521386643212</t>
        </is>
      </c>
      <c r="Z215" s="24" t="inlineStr">
        <is>
          <t>MEDIUM</t>
        </is>
      </c>
      <c r="AA215" s="24" t="inlineStr">
        <is>
          <t>MEDIUM</t>
        </is>
      </c>
      <c r="AB215" s="24" t="inlineStr">
        <is>
          <t>0.026169607074936322</t>
        </is>
      </c>
      <c r="AC215" s="24" t="inlineStr">
        <is>
          <t>False</t>
        </is>
      </c>
      <c r="AD215" s="24" t="inlineStr">
        <is>
          <t>False</t>
        </is>
      </c>
      <c r="AE215" s="24" t="inlineStr">
        <is>
          <t>valuation_credit_ml_overlay_candidate.csv</t>
        </is>
      </c>
      <c r="AF215" s="24" t="inlineStr">
        <is>
          <t>208개 반도체 reference universe. Valuation Agent가 자체 intake 폴더로 복제해 Peer/ML/대시보드 비교에 사용.</t>
        </is>
      </c>
    </row>
    <row r="216" ht="24" customHeight="1">
      <c r="A216" s="29" t="inlineStr">
        <is>
          <t>51</t>
        </is>
      </c>
      <c r="B216" s="29" t="inlineStr">
        <is>
          <t>해당 없음</t>
        </is>
      </c>
      <c r="C216" s="29" t="inlineStr">
        <is>
          <t>싸이닉솔루션</t>
        </is>
      </c>
      <c r="D216" s="29" t="inlineStr">
        <is>
          <t>234030</t>
        </is>
      </c>
      <c r="E216" s="29" t="inlineStr">
        <is>
          <t>KOSDAQ</t>
        </is>
      </c>
      <c r="F216" s="29" t="inlineStr">
        <is>
          <t>팹리스/설계</t>
        </is>
      </c>
      <c r="G216" s="29" t="inlineStr">
        <is>
          <t>팹리스/설계</t>
        </is>
      </c>
      <c r="H216" s="29" t="inlineStr">
        <is>
          <t>False</t>
        </is>
      </c>
      <c r="I216" s="29" t="inlineStr">
        <is>
          <t>True</t>
        </is>
      </c>
      <c r="J216" s="29" t="inlineStr">
        <is>
          <t>OK_LIMITED_HISTORY_OR_GROWTH_NA</t>
        </is>
      </c>
      <c r="K216" s="29" t="inlineStr">
        <is>
          <t>데이터 사용 가능</t>
        </is>
      </c>
      <c r="L216" s="29" t="inlineStr">
        <is>
          <t>LOW</t>
        </is>
      </c>
      <c r="M216" s="29" t="inlineStr">
        <is>
          <t>LOW</t>
        </is>
      </c>
      <c r="N216" s="29" t="inlineStr">
        <is>
          <t>0.4670707070707071</t>
        </is>
      </c>
      <c r="O216" s="29" t="inlineStr">
        <is>
          <t>FAIR</t>
        </is>
      </c>
      <c r="P216" s="29" t="inlineStr">
        <is>
          <t>FAIR</t>
        </is>
      </c>
      <c r="Q216" s="29" t="inlineStr">
        <is>
          <t>FAIR</t>
        </is>
      </c>
      <c r="R216" s="29" t="inlineStr">
        <is>
          <t>0.7962034217650586</t>
        </is>
      </c>
      <c r="S216" s="29" t="inlineStr">
        <is>
          <t>HIGH</t>
        </is>
      </c>
      <c r="T216" s="29" t="inlineStr">
        <is>
          <t>HIGH</t>
        </is>
      </c>
      <c r="U216" s="29" t="inlineStr">
        <is>
          <t>0.3571428571428571</t>
        </is>
      </c>
      <c r="V216" s="29" t="inlineStr">
        <is>
          <t>MEDIUM_RISK</t>
        </is>
      </c>
      <c r="W216" s="29" t="inlineStr">
        <is>
          <t>중위험</t>
        </is>
      </c>
      <c r="X216" s="29" t="inlineStr">
        <is>
          <t>MEDIUM_RISK</t>
        </is>
      </c>
      <c r="Y216" s="29" t="inlineStr">
        <is>
          <t>0.7381251250014311</t>
        </is>
      </c>
      <c r="Z216" s="29" t="inlineStr">
        <is>
          <t>HIGH</t>
        </is>
      </c>
      <c r="AA216" s="29" t="inlineStr">
        <is>
          <t>HIGH</t>
        </is>
      </c>
      <c r="AB216" s="29" t="inlineStr">
        <is>
          <t>0.06902922032160619</t>
        </is>
      </c>
      <c r="AC216" s="29" t="inlineStr">
        <is>
          <t>False</t>
        </is>
      </c>
      <c r="AD216" s="29" t="inlineStr">
        <is>
          <t>True</t>
        </is>
      </c>
      <c r="AE216" s="29" t="inlineStr">
        <is>
          <t>valuation_credit_ml_overlay_candidate.csv</t>
        </is>
      </c>
      <c r="AF216" s="29" t="inlineStr">
        <is>
          <t>208개 반도체 reference universe. Valuation Agent가 자체 intake 폴더로 복제해 Peer/ML/대시보드 비교에 사용.</t>
        </is>
      </c>
    </row>
    <row r="217" ht="24" customHeight="1">
      <c r="A217" s="24" t="inlineStr">
        <is>
          <t>56</t>
        </is>
      </c>
      <c r="B217" s="24" t="inlineStr">
        <is>
          <t>해당 없음</t>
        </is>
      </c>
      <c r="C217" s="24" t="inlineStr">
        <is>
          <t>아이언디바이스</t>
        </is>
      </c>
      <c r="D217" s="24" t="inlineStr">
        <is>
          <t>464500</t>
        </is>
      </c>
      <c r="E217" s="24" t="inlineStr">
        <is>
          <t>KOSDAQ</t>
        </is>
      </c>
      <c r="F217" s="24" t="inlineStr">
        <is>
          <t>팹리스/설계</t>
        </is>
      </c>
      <c r="G217" s="24" t="inlineStr">
        <is>
          <t>팹리스/설계</t>
        </is>
      </c>
      <c r="H217" s="24" t="inlineStr">
        <is>
          <t>False</t>
        </is>
      </c>
      <c r="I217" s="24" t="inlineStr">
        <is>
          <t>True</t>
        </is>
      </c>
      <c r="J217" s="24" t="inlineStr">
        <is>
          <t>OK_LIMITED_HISTORY_OR_GROWTH_NA</t>
        </is>
      </c>
      <c r="K217" s="24" t="inlineStr">
        <is>
          <t>데이터 사용 가능</t>
        </is>
      </c>
      <c r="L217" s="24" t="inlineStr">
        <is>
          <t>LOW</t>
        </is>
      </c>
      <c r="M217" s="24" t="inlineStr">
        <is>
          <t>LOW</t>
        </is>
      </c>
      <c r="N217" s="24" t="inlineStr">
        <is>
          <t>0.4278787878787879</t>
        </is>
      </c>
      <c r="O217" s="24" t="inlineStr">
        <is>
          <t>FAIR</t>
        </is>
      </c>
      <c r="P217" s="24" t="inlineStr">
        <is>
          <t>FAIR</t>
        </is>
      </c>
      <c r="Q217" s="24" t="inlineStr">
        <is>
          <t>EXPENSIVE</t>
        </is>
      </c>
      <c r="R217" s="24" t="inlineStr">
        <is>
          <t>0.767854918982104</t>
        </is>
      </c>
      <c r="S217" s="24" t="inlineStr">
        <is>
          <t>HIGH</t>
        </is>
      </c>
      <c r="T217" s="24" t="inlineStr">
        <is>
          <t>HIGH</t>
        </is>
      </c>
      <c r="U217" s="24" t="inlineStr">
        <is>
          <t>0.5714285714285714</t>
        </is>
      </c>
      <c r="V217" s="24" t="inlineStr">
        <is>
          <t>HIGH_RISK</t>
        </is>
      </c>
      <c r="W217" s="24" t="inlineStr">
        <is>
          <t>고위험</t>
        </is>
      </c>
      <c r="X217" s="24" t="inlineStr">
        <is>
          <t>HIGH_RISK</t>
        </is>
      </c>
      <c r="Y217" s="24" t="inlineStr">
        <is>
          <t>0.9669454138137473</t>
        </is>
      </c>
      <c r="Z217" s="24" t="inlineStr">
        <is>
          <t>HIGH</t>
        </is>
      </c>
      <c r="AA217" s="24" t="inlineStr">
        <is>
          <t>HIGH</t>
        </is>
      </c>
      <c r="AB217" s="24" t="inlineStr">
        <is>
          <t>0.37904191381671964</t>
        </is>
      </c>
      <c r="AC217" s="24" t="inlineStr">
        <is>
          <t>True</t>
        </is>
      </c>
      <c r="AD217" s="24" t="inlineStr">
        <is>
          <t>True</t>
        </is>
      </c>
      <c r="AE217" s="24" t="inlineStr">
        <is>
          <t>valuation_credit_ml_overlay_candidate.csv</t>
        </is>
      </c>
      <c r="AF217" s="24" t="inlineStr">
        <is>
          <t>208개 반도체 reference universe. Valuation Agent가 자체 intake 폴더로 복제해 Peer/ML/대시보드 비교에 사용.</t>
        </is>
      </c>
    </row>
    <row r="218" ht="24" customHeight="1">
      <c r="A218" s="29" t="inlineStr">
        <is>
          <t>52</t>
        </is>
      </c>
      <c r="B218" s="29" t="inlineStr">
        <is>
          <t>해당 없음</t>
        </is>
      </c>
      <c r="C218" s="29" t="inlineStr">
        <is>
          <t>쓰리에이로직스</t>
        </is>
      </c>
      <c r="D218" s="29" t="inlineStr">
        <is>
          <t>177900</t>
        </is>
      </c>
      <c r="E218" s="29" t="inlineStr">
        <is>
          <t>KOSDAQ</t>
        </is>
      </c>
      <c r="F218" s="29" t="inlineStr">
        <is>
          <t>팹리스/설계</t>
        </is>
      </c>
      <c r="G218" s="29" t="inlineStr">
        <is>
          <t>팹리스/설계</t>
        </is>
      </c>
      <c r="H218" s="29" t="inlineStr">
        <is>
          <t>False</t>
        </is>
      </c>
      <c r="I218" s="29" t="inlineStr">
        <is>
          <t>True</t>
        </is>
      </c>
      <c r="J218" s="29" t="inlineStr">
        <is>
          <t>OK_LIMITED_HISTORY_OR_GROWTH_NA</t>
        </is>
      </c>
      <c r="K218" s="29" t="inlineStr">
        <is>
          <t>데이터 사용 가능</t>
        </is>
      </c>
      <c r="L218" s="29" t="inlineStr">
        <is>
          <t>LOW</t>
        </is>
      </c>
      <c r="M218" s="29" t="inlineStr">
        <is>
          <t>LOW</t>
        </is>
      </c>
      <c r="N218" s="29" t="inlineStr">
        <is>
          <t>0.4266666666666666</t>
        </is>
      </c>
      <c r="O218" s="29" t="inlineStr">
        <is>
          <t>FAIR</t>
        </is>
      </c>
      <c r="P218" s="29" t="inlineStr">
        <is>
          <t>FAIR</t>
        </is>
      </c>
      <c r="Q218" s="29" t="inlineStr">
        <is>
          <t>EXPENSIVE</t>
        </is>
      </c>
      <c r="R218" s="29" t="inlineStr">
        <is>
          <t>0.5793703556022938</t>
        </is>
      </c>
      <c r="S218" s="29" t="inlineStr">
        <is>
          <t>MEDIUM</t>
        </is>
      </c>
      <c r="T218" s="29" t="inlineStr">
        <is>
          <t>MEDIUM</t>
        </is>
      </c>
      <c r="U218" s="29" t="inlineStr">
        <is>
          <t>0.5714285714285714</t>
        </is>
      </c>
      <c r="V218" s="29" t="inlineStr">
        <is>
          <t>HIGH_RISK</t>
        </is>
      </c>
      <c r="W218" s="29" t="inlineStr">
        <is>
          <t>고위험</t>
        </is>
      </c>
      <c r="X218" s="29" t="inlineStr">
        <is>
          <t>HIGH_RISK</t>
        </is>
      </c>
      <c r="Y218" s="29" t="inlineStr">
        <is>
          <t>0.947298040301951</t>
        </is>
      </c>
      <c r="Z218" s="29" t="inlineStr">
        <is>
          <t>HIGH</t>
        </is>
      </c>
      <c r="AA218" s="29" t="inlineStr">
        <is>
          <t>HIGH</t>
        </is>
      </c>
      <c r="AB218" s="29" t="inlineStr">
        <is>
          <t>0.09970421258194967</t>
        </is>
      </c>
      <c r="AC218" s="29" t="inlineStr">
        <is>
          <t>False</t>
        </is>
      </c>
      <c r="AD218" s="29" t="inlineStr">
        <is>
          <t>True</t>
        </is>
      </c>
      <c r="AE218" s="29" t="inlineStr">
        <is>
          <t>valuation_credit_ml_overlay_candidate.csv</t>
        </is>
      </c>
      <c r="AF218" s="29" t="inlineStr">
        <is>
          <t>208개 반도체 reference universe. Valuation Agent가 자체 intake 폴더로 복제해 Peer/ML/대시보드 비교에 사용.</t>
        </is>
      </c>
    </row>
    <row r="219" ht="24" customHeight="1">
      <c r="A219" s="24" t="inlineStr">
        <is>
          <t>43</t>
        </is>
      </c>
      <c r="B219" s="24" t="inlineStr">
        <is>
          <t>해당 없음</t>
        </is>
      </c>
      <c r="C219" s="24" t="inlineStr">
        <is>
          <t>넥스트칩</t>
        </is>
      </c>
      <c r="D219" s="24" t="inlineStr">
        <is>
          <t>396270</t>
        </is>
      </c>
      <c r="E219" s="24" t="inlineStr">
        <is>
          <t>KOSDAQ</t>
        </is>
      </c>
      <c r="F219" s="24" t="inlineStr">
        <is>
          <t>팹리스/설계</t>
        </is>
      </c>
      <c r="G219" s="24" t="inlineStr">
        <is>
          <t>팹리스/설계</t>
        </is>
      </c>
      <c r="H219" s="24" t="inlineStr">
        <is>
          <t>False</t>
        </is>
      </c>
      <c r="I219" s="24" t="inlineStr">
        <is>
          <t>True</t>
        </is>
      </c>
      <c r="J219" s="24" t="inlineStr">
        <is>
          <t>OK</t>
        </is>
      </c>
      <c r="K219" s="24" t="inlineStr">
        <is>
          <t>데이터 사용 가능</t>
        </is>
      </c>
      <c r="L219" s="24" t="inlineStr">
        <is>
          <t>LOW</t>
        </is>
      </c>
      <c r="M219" s="24" t="inlineStr">
        <is>
          <t>LOW</t>
        </is>
      </c>
      <c r="N219" s="24" t="inlineStr">
        <is>
          <t>0.3743434343434344</t>
        </is>
      </c>
      <c r="O219" s="24" t="inlineStr">
        <is>
          <t>EXPENSIVE</t>
        </is>
      </c>
      <c r="P219" s="24" t="inlineStr">
        <is>
          <t>EXPENSIVE</t>
        </is>
      </c>
      <c r="Q219" s="24" t="inlineStr">
        <is>
          <t>EXPENSIVE</t>
        </is>
      </c>
      <c r="R219" s="24" t="inlineStr">
        <is>
          <t>0.9380466040149497</t>
        </is>
      </c>
      <c r="S219" s="24" t="inlineStr">
        <is>
          <t>HIGH</t>
        </is>
      </c>
      <c r="T219" s="24" t="inlineStr">
        <is>
          <t>HIGH</t>
        </is>
      </c>
      <c r="U219" s="24" t="inlineStr">
        <is>
          <t>0.7142857142857143</t>
        </is>
      </c>
      <c r="V219" s="24" t="inlineStr">
        <is>
          <t>HIGH_RISK</t>
        </is>
      </c>
      <c r="W219" s="24" t="inlineStr">
        <is>
          <t>고위험</t>
        </is>
      </c>
      <c r="X219" s="24" t="inlineStr">
        <is>
          <t>HIGH_RISK</t>
        </is>
      </c>
      <c r="Y219" s="24" t="inlineStr">
        <is>
          <t>0.9903921975513593</t>
        </is>
      </c>
      <c r="Z219" s="24" t="inlineStr">
        <is>
          <t>HIGH</t>
        </is>
      </c>
      <c r="AA219" s="24" t="inlineStr">
        <is>
          <t>HIGH</t>
        </is>
      </c>
      <c r="AB219" s="24" t="inlineStr">
        <is>
          <t>0.35370954409664757</t>
        </is>
      </c>
      <c r="AC219" s="24" t="inlineStr">
        <is>
          <t>True</t>
        </is>
      </c>
      <c r="AD219" s="24" t="inlineStr">
        <is>
          <t>True</t>
        </is>
      </c>
      <c r="AE219" s="24" t="inlineStr">
        <is>
          <t>valuation_credit_ml_overlay_candidate.csv</t>
        </is>
      </c>
      <c r="AF219" s="24" t="inlineStr">
        <is>
          <t>208개 반도체 reference universe. Valuation Agent가 자체 intake 폴더로 복제해 Peer/ML/대시보드 비교에 사용.</t>
        </is>
      </c>
    </row>
    <row r="220" ht="24" customHeight="1">
      <c r="A220" s="29" t="inlineStr">
        <is>
          <t>49</t>
        </is>
      </c>
      <c r="B220" s="29" t="inlineStr">
        <is>
          <t>해당 없음</t>
        </is>
      </c>
      <c r="C220" s="29" t="inlineStr">
        <is>
          <t>사피엔반도체</t>
        </is>
      </c>
      <c r="D220" s="29" t="inlineStr">
        <is>
          <t>452430</t>
        </is>
      </c>
      <c r="E220" s="29" t="inlineStr">
        <is>
          <t>KOSDAQ</t>
        </is>
      </c>
      <c r="F220" s="29" t="inlineStr">
        <is>
          <t>팹리스/설계</t>
        </is>
      </c>
      <c r="G220" s="29" t="inlineStr">
        <is>
          <t>팹리스/설계</t>
        </is>
      </c>
      <c r="H220" s="29" t="inlineStr">
        <is>
          <t>False</t>
        </is>
      </c>
      <c r="I220" s="29" t="inlineStr">
        <is>
          <t>True</t>
        </is>
      </c>
      <c r="J220" s="29" t="inlineStr">
        <is>
          <t>OK_LIMITED_HISTORY_OR_GROWTH_NA</t>
        </is>
      </c>
      <c r="K220" s="29" t="inlineStr">
        <is>
          <t>데이터 사용 가능</t>
        </is>
      </c>
      <c r="L220" s="29" t="inlineStr">
        <is>
          <t>LOW</t>
        </is>
      </c>
      <c r="M220" s="29" t="inlineStr">
        <is>
          <t>LOW</t>
        </is>
      </c>
      <c r="N220" s="29" t="inlineStr">
        <is>
          <t>0.3721212121212121</t>
        </is>
      </c>
      <c r="O220" s="29" t="inlineStr">
        <is>
          <t>EXPENSIVE</t>
        </is>
      </c>
      <c r="P220" s="29" t="inlineStr">
        <is>
          <t>EXPENSIVE</t>
        </is>
      </c>
      <c r="Q220" s="29" t="inlineStr">
        <is>
          <t>EXPENSIVE</t>
        </is>
      </c>
      <c r="R220" s="29" t="inlineStr">
        <is>
          <t>0.8482781866315999</t>
        </is>
      </c>
      <c r="S220" s="29" t="inlineStr">
        <is>
          <t>HIGH</t>
        </is>
      </c>
      <c r="T220" s="29" t="inlineStr">
        <is>
          <t>HIGH</t>
        </is>
      </c>
      <c r="U220" s="29" t="inlineStr">
        <is>
          <t>0.5714285714285714</t>
        </is>
      </c>
      <c r="V220" s="29" t="inlineStr">
        <is>
          <t>HIGH_RISK</t>
        </is>
      </c>
      <c r="W220" s="29" t="inlineStr">
        <is>
          <t>고위험</t>
        </is>
      </c>
      <c r="X220" s="29" t="inlineStr">
        <is>
          <t>MEDIUM_RISK</t>
        </is>
      </c>
      <c r="Y220" s="29" t="inlineStr">
        <is>
          <t>0.5745685064585346</t>
        </is>
      </c>
      <c r="Z220" s="29" t="inlineStr">
        <is>
          <t>MEDIUM</t>
        </is>
      </c>
      <c r="AA220" s="29" t="inlineStr">
        <is>
          <t>MEDIUM</t>
        </is>
      </c>
      <c r="AB220" s="29" t="inlineStr">
        <is>
          <t>0.12187984427462309</t>
        </is>
      </c>
      <c r="AC220" s="29" t="inlineStr">
        <is>
          <t>False</t>
        </is>
      </c>
      <c r="AD220" s="29" t="inlineStr">
        <is>
          <t>True</t>
        </is>
      </c>
      <c r="AE220" s="29" t="inlineStr">
        <is>
          <t>valuation_credit_ml_overlay_candidate.csv</t>
        </is>
      </c>
      <c r="AF220" s="29" t="inlineStr">
        <is>
          <t>208개 반도체 reference universe. Valuation Agent가 자체 intake 폴더로 복제해 Peer/ML/대시보드 비교에 사용.</t>
        </is>
      </c>
    </row>
    <row r="221" ht="24" customHeight="1">
      <c r="A221" s="24" t="inlineStr">
        <is>
          <t>44</t>
        </is>
      </c>
      <c r="B221" s="24" t="inlineStr">
        <is>
          <t>해당 없음</t>
        </is>
      </c>
      <c r="C221" s="24" t="inlineStr">
        <is>
          <t>동운아나텍</t>
        </is>
      </c>
      <c r="D221" s="24" t="inlineStr">
        <is>
          <t>094170</t>
        </is>
      </c>
      <c r="E221" s="24" t="inlineStr">
        <is>
          <t>KOSDAQ</t>
        </is>
      </c>
      <c r="F221" s="24" t="inlineStr">
        <is>
          <t>팹리스/설계</t>
        </is>
      </c>
      <c r="G221" s="24" t="inlineStr">
        <is>
          <t>팹리스/설계</t>
        </is>
      </c>
      <c r="H221" s="24" t="inlineStr">
        <is>
          <t>False</t>
        </is>
      </c>
      <c r="I221" s="24" t="inlineStr">
        <is>
          <t>True</t>
        </is>
      </c>
      <c r="J221" s="24" t="inlineStr">
        <is>
          <t>OK</t>
        </is>
      </c>
      <c r="K221" s="24" t="inlineStr">
        <is>
          <t>데이터 사용 가능</t>
        </is>
      </c>
      <c r="L221" s="24" t="inlineStr">
        <is>
          <t>LOW</t>
        </is>
      </c>
      <c r="M221" s="24" t="inlineStr">
        <is>
          <t>LOW</t>
        </is>
      </c>
      <c r="N221" s="24" t="inlineStr">
        <is>
          <t>0.3670707070707071</t>
        </is>
      </c>
      <c r="O221" s="24" t="inlineStr">
        <is>
          <t>EXPENSIVE</t>
        </is>
      </c>
      <c r="P221" s="24" t="inlineStr">
        <is>
          <t>EXPENSIVE</t>
        </is>
      </c>
      <c r="Q221" s="24" t="inlineStr">
        <is>
          <t>EXPENSIVE</t>
        </is>
      </c>
      <c r="R221" s="24" t="inlineStr">
        <is>
          <t>0.4894423516429773</t>
        </is>
      </c>
      <c r="S221" s="24" t="inlineStr">
        <is>
          <t>LOW</t>
        </is>
      </c>
      <c r="T221" s="24" t="inlineStr">
        <is>
          <t>LOW</t>
        </is>
      </c>
      <c r="U221" s="24" t="inlineStr">
        <is>
          <t>0.2142857142857142</t>
        </is>
      </c>
      <c r="V221" s="24" t="inlineStr">
        <is>
          <t>MEDIUM_RISK</t>
        </is>
      </c>
      <c r="W221" s="24" t="inlineStr">
        <is>
          <t>중위험</t>
        </is>
      </c>
      <c r="X221" s="24" t="inlineStr">
        <is>
          <t>MEDIUM_RISK</t>
        </is>
      </c>
      <c r="Y221" s="24" t="inlineStr">
        <is>
          <t>0.5063531969196903</t>
        </is>
      </c>
      <c r="Z221" s="24" t="inlineStr">
        <is>
          <t>MEDIUM</t>
        </is>
      </c>
      <c r="AA221" s="24" t="inlineStr">
        <is>
          <t>MEDIUM</t>
        </is>
      </c>
      <c r="AB221" s="24" t="inlineStr">
        <is>
          <t>0.09811976029987664</t>
        </is>
      </c>
      <c r="AC221" s="24" t="inlineStr">
        <is>
          <t>False</t>
        </is>
      </c>
      <c r="AD221" s="24" t="inlineStr">
        <is>
          <t>True</t>
        </is>
      </c>
      <c r="AE221" s="24" t="inlineStr">
        <is>
          <t>valuation_credit_ml_overlay_candidate.csv</t>
        </is>
      </c>
      <c r="AF221" s="24" t="inlineStr">
        <is>
          <t>208개 반도체 reference universe. Valuation Agent가 자체 intake 폴더로 복제해 Peer/ML/대시보드 비교에 사용.</t>
        </is>
      </c>
    </row>
    <row r="222" ht="24" customHeight="1">
      <c r="A222" s="29" t="inlineStr">
        <is>
          <t>50</t>
        </is>
      </c>
      <c r="B222" s="29" t="inlineStr">
        <is>
          <t>해당 없음</t>
        </is>
      </c>
      <c r="C222" s="29" t="inlineStr">
        <is>
          <t>세미파이브</t>
        </is>
      </c>
      <c r="D222" s="29" t="inlineStr">
        <is>
          <t>490470</t>
        </is>
      </c>
      <c r="E222" s="29" t="inlineStr">
        <is>
          <t>KOSDAQ</t>
        </is>
      </c>
      <c r="F222" s="29" t="inlineStr">
        <is>
          <t>팹리스/설계</t>
        </is>
      </c>
      <c r="G222" s="29" t="inlineStr">
        <is>
          <t>팹리스/설계</t>
        </is>
      </c>
      <c r="H222" s="29" t="inlineStr">
        <is>
          <t>False</t>
        </is>
      </c>
      <c r="I222" s="29" t="inlineStr">
        <is>
          <t>True</t>
        </is>
      </c>
      <c r="J222" s="29" t="inlineStr">
        <is>
          <t>OK_LIMITED_HISTORY_OR_GROWTH_NA</t>
        </is>
      </c>
      <c r="K222" s="29" t="inlineStr">
        <is>
          <t>데이터 사용 가능</t>
        </is>
      </c>
      <c r="L222" s="29" t="inlineStr">
        <is>
          <t>LOW</t>
        </is>
      </c>
      <c r="M222" s="29" t="inlineStr">
        <is>
          <t>LOW</t>
        </is>
      </c>
      <c r="N222" s="29" t="inlineStr">
        <is>
          <t>0.3646464646464646</t>
        </is>
      </c>
      <c r="O222" s="29" t="inlineStr">
        <is>
          <t>EXPENSIVE</t>
        </is>
      </c>
      <c r="P222" s="29" t="inlineStr">
        <is>
          <t>EXPENSIVE</t>
        </is>
      </c>
      <c r="Q222" s="29" t="inlineStr">
        <is>
          <t>EXPENSIVE</t>
        </is>
      </c>
      <c r="R222" s="29" t="inlineStr">
        <is>
          <t>0.9277538303818181</t>
        </is>
      </c>
      <c r="S222" s="29" t="inlineStr">
        <is>
          <t>HIGH</t>
        </is>
      </c>
      <c r="T222" s="29" t="inlineStr">
        <is>
          <t>HIGH</t>
        </is>
      </c>
      <c r="U222" s="29" t="inlineStr">
        <is>
          <t>0.5</t>
        </is>
      </c>
      <c r="V222" s="29" t="inlineStr">
        <is>
          <t>HIGH_RISK</t>
        </is>
      </c>
      <c r="W222" s="29" t="inlineStr">
        <is>
          <t>고위험</t>
        </is>
      </c>
      <c r="X222" s="29" t="inlineStr">
        <is>
          <t>HIGH_RISK</t>
        </is>
      </c>
      <c r="Y222" s="29" t="inlineStr">
        <is>
          <t>0.8726925242668786</t>
        </is>
      </c>
      <c r="Z222" s="29" t="inlineStr">
        <is>
          <t>HIGH</t>
        </is>
      </c>
      <c r="AA222" s="29" t="inlineStr">
        <is>
          <t>HIGH</t>
        </is>
      </c>
      <c r="AB222" s="29" t="inlineStr">
        <is>
          <t>0.10138163372341347</t>
        </is>
      </c>
      <c r="AC222" s="29" t="inlineStr">
        <is>
          <t>False</t>
        </is>
      </c>
      <c r="AD222" s="29" t="inlineStr">
        <is>
          <t>True</t>
        </is>
      </c>
      <c r="AE222" s="29" t="inlineStr">
        <is>
          <t>valuation_credit_ml_overlay_candidate.csv</t>
        </is>
      </c>
      <c r="AF222" s="29" t="inlineStr">
        <is>
          <t>208개 반도체 reference universe. Valuation Agent가 자체 intake 폴더로 복제해 Peer/ML/대시보드 비교에 사용.</t>
        </is>
      </c>
    </row>
    <row r="223" ht="24" customHeight="1">
      <c r="A223" s="24" t="inlineStr">
        <is>
          <t>63</t>
        </is>
      </c>
      <c r="B223" s="24" t="inlineStr">
        <is>
          <t>해당 없음</t>
        </is>
      </c>
      <c r="C223" s="24" t="inlineStr">
        <is>
          <t>에이직랜드</t>
        </is>
      </c>
      <c r="D223" s="24" t="inlineStr">
        <is>
          <t>445090</t>
        </is>
      </c>
      <c r="E223" s="24" t="inlineStr">
        <is>
          <t>KOSDAQ</t>
        </is>
      </c>
      <c r="F223" s="24" t="inlineStr">
        <is>
          <t>팹리스/설계</t>
        </is>
      </c>
      <c r="G223" s="24" t="inlineStr">
        <is>
          <t>팹리스/설계</t>
        </is>
      </c>
      <c r="H223" s="24" t="inlineStr">
        <is>
          <t>False</t>
        </is>
      </c>
      <c r="I223" s="24" t="inlineStr">
        <is>
          <t>True</t>
        </is>
      </c>
      <c r="J223" s="24" t="inlineStr">
        <is>
          <t>OK_LIMITED_HISTORY_OR_GROWTH_NA</t>
        </is>
      </c>
      <c r="K223" s="24" t="inlineStr">
        <is>
          <t>데이터 사용 가능</t>
        </is>
      </c>
      <c r="L223" s="24" t="inlineStr">
        <is>
          <t>LOW</t>
        </is>
      </c>
      <c r="M223" s="24" t="inlineStr">
        <is>
          <t>LOW</t>
        </is>
      </c>
      <c r="N223" s="24" t="inlineStr">
        <is>
          <t>0.3294949494949495</t>
        </is>
      </c>
      <c r="O223" s="24" t="inlineStr">
        <is>
          <t>EXPENSIVE</t>
        </is>
      </c>
      <c r="P223" s="24" t="inlineStr">
        <is>
          <t>EXPENSIVE</t>
        </is>
      </c>
      <c r="Q223" s="24" t="inlineStr">
        <is>
          <t>EXPENSIVE</t>
        </is>
      </c>
      <c r="R223" s="24" t="inlineStr">
        <is>
          <t>0.9058303131641584</t>
        </is>
      </c>
      <c r="S223" s="24" t="inlineStr">
        <is>
          <t>HIGH</t>
        </is>
      </c>
      <c r="T223" s="24" t="inlineStr">
        <is>
          <t>HIGH</t>
        </is>
      </c>
      <c r="U223" s="24" t="inlineStr">
        <is>
          <t>0.7857142857142857</t>
        </is>
      </c>
      <c r="V223" s="24" t="inlineStr">
        <is>
          <t>HIGH_RISK</t>
        </is>
      </c>
      <c r="W223" s="24" t="inlineStr">
        <is>
          <t>고위험</t>
        </is>
      </c>
      <c r="X223" s="24" t="inlineStr">
        <is>
          <t>HIGH_RISK</t>
        </is>
      </c>
      <c r="Y223" s="24" t="inlineStr">
        <is>
          <t>0.9947590219356869</t>
        </is>
      </c>
      <c r="Z223" s="24" t="inlineStr">
        <is>
          <t>HIGH</t>
        </is>
      </c>
      <c r="AA223" s="24" t="inlineStr">
        <is>
          <t>HIGH</t>
        </is>
      </c>
      <c r="AB223" s="24" t="inlineStr">
        <is>
          <t>0.22322767104490657</t>
        </is>
      </c>
      <c r="AC223" s="24" t="inlineStr">
        <is>
          <t>False</t>
        </is>
      </c>
      <c r="AD223" s="24" t="inlineStr">
        <is>
          <t>True</t>
        </is>
      </c>
      <c r="AE223" s="24" t="inlineStr">
        <is>
          <t>valuation_credit_ml_overlay_candidate.csv</t>
        </is>
      </c>
      <c r="AF223" s="24" t="inlineStr">
        <is>
          <t>208개 반도체 reference universe. Valuation Agent가 자체 intake 폴더로 복제해 Peer/ML/대시보드 비교에 사용.</t>
        </is>
      </c>
    </row>
    <row r="224" ht="24" customHeight="1">
      <c r="A224" s="29" t="inlineStr">
        <is>
          <t>45</t>
        </is>
      </c>
      <c r="B224" s="29" t="inlineStr">
        <is>
          <t>해당 없음</t>
        </is>
      </c>
      <c r="C224" s="29" t="inlineStr">
        <is>
          <t>라닉스</t>
        </is>
      </c>
      <c r="D224" s="29" t="inlineStr">
        <is>
          <t>317120</t>
        </is>
      </c>
      <c r="E224" s="29" t="inlineStr">
        <is>
          <t>KOSDAQ</t>
        </is>
      </c>
      <c r="F224" s="29" t="inlineStr">
        <is>
          <t>팹리스/설계</t>
        </is>
      </c>
      <c r="G224" s="29" t="inlineStr">
        <is>
          <t>팹리스/설계</t>
        </is>
      </c>
      <c r="H224" s="29" t="inlineStr">
        <is>
          <t>False</t>
        </is>
      </c>
      <c r="I224" s="29" t="inlineStr">
        <is>
          <t>True</t>
        </is>
      </c>
      <c r="J224" s="29" t="inlineStr">
        <is>
          <t>OK</t>
        </is>
      </c>
      <c r="K224" s="29" t="inlineStr">
        <is>
          <t>데이터 사용 가능</t>
        </is>
      </c>
      <c r="L224" s="29" t="inlineStr">
        <is>
          <t>LOW</t>
        </is>
      </c>
      <c r="M224" s="29" t="inlineStr">
        <is>
          <t>LOW</t>
        </is>
      </c>
      <c r="N224" s="29" t="inlineStr">
        <is>
          <t>0.3208080808080809</t>
        </is>
      </c>
      <c r="O224" s="29" t="inlineStr">
        <is>
          <t>EXPENSIVE</t>
        </is>
      </c>
      <c r="P224" s="29" t="inlineStr">
        <is>
          <t>EXPENSIVE</t>
        </is>
      </c>
      <c r="Q224" s="29" t="inlineStr">
        <is>
          <t>EXPENSIVE</t>
        </is>
      </c>
      <c r="R224" s="29" t="inlineStr">
        <is>
          <t>0.9281808400807596</t>
        </is>
      </c>
      <c r="S224" s="29" t="inlineStr">
        <is>
          <t>HIGH</t>
        </is>
      </c>
      <c r="T224" s="29" t="inlineStr">
        <is>
          <t>HIGH</t>
        </is>
      </c>
      <c r="U224" s="29" t="inlineStr">
        <is>
          <t>0.7142857142857143</t>
        </is>
      </c>
      <c r="V224" s="29" t="inlineStr">
        <is>
          <t>HIGH_RISK</t>
        </is>
      </c>
      <c r="W224" s="29" t="inlineStr">
        <is>
          <t>고위험</t>
        </is>
      </c>
      <c r="X224" s="29" t="inlineStr">
        <is>
          <t>HIGH_RISK</t>
        </is>
      </c>
      <c r="Y224" s="29" t="inlineStr">
        <is>
          <t>0.9891542031597422</t>
        </is>
      </c>
      <c r="Z224" s="29" t="inlineStr">
        <is>
          <t>HIGH</t>
        </is>
      </c>
      <c r="AA224" s="29" t="inlineStr">
        <is>
          <t>HIGH</t>
        </is>
      </c>
      <c r="AB224" s="29" t="inlineStr">
        <is>
          <t>0.2722138190712409</t>
        </is>
      </c>
      <c r="AC224" s="29" t="inlineStr">
        <is>
          <t>True</t>
        </is>
      </c>
      <c r="AD224" s="29" t="inlineStr">
        <is>
          <t>True</t>
        </is>
      </c>
      <c r="AE224" s="29" t="inlineStr">
        <is>
          <t>valuation_credit_ml_overlay_candidate.csv</t>
        </is>
      </c>
      <c r="AF224" s="29" t="inlineStr">
        <is>
          <t>208개 반도체 reference universe. Valuation Agent가 자체 intake 폴더로 복제해 Peer/ML/대시보드 비교에 사용.</t>
        </is>
      </c>
    </row>
    <row r="225" ht="24" customHeight="1">
      <c r="A225" s="24" t="inlineStr">
        <is>
          <t>42</t>
        </is>
      </c>
      <c r="B225" s="24" t="inlineStr">
        <is>
          <t>해당 없음</t>
        </is>
      </c>
      <c r="C225" s="24" t="inlineStr">
        <is>
          <t>가온칩스</t>
        </is>
      </c>
      <c r="D225" s="24" t="inlineStr">
        <is>
          <t>399720</t>
        </is>
      </c>
      <c r="E225" s="24" t="inlineStr">
        <is>
          <t>KOSDAQ</t>
        </is>
      </c>
      <c r="F225" s="24" t="inlineStr">
        <is>
          <t>팹리스/설계</t>
        </is>
      </c>
      <c r="G225" s="24" t="inlineStr">
        <is>
          <t>팹리스/설계</t>
        </is>
      </c>
      <c r="H225" s="24" t="inlineStr">
        <is>
          <t>False</t>
        </is>
      </c>
      <c r="I225" s="24" t="inlineStr">
        <is>
          <t>True</t>
        </is>
      </c>
      <c r="J225" s="24" t="inlineStr">
        <is>
          <t>OK</t>
        </is>
      </c>
      <c r="K225" s="24" t="inlineStr">
        <is>
          <t>데이터 사용 가능</t>
        </is>
      </c>
      <c r="L225" s="24" t="inlineStr">
        <is>
          <t>LOW</t>
        </is>
      </c>
      <c r="M225" s="24" t="inlineStr">
        <is>
          <t>LOW</t>
        </is>
      </c>
      <c r="N225" s="24" t="inlineStr">
        <is>
          <t>0.3119191919191919</t>
        </is>
      </c>
      <c r="O225" s="24" t="inlineStr">
        <is>
          <t>EXPENSIVE</t>
        </is>
      </c>
      <c r="P225" s="24" t="inlineStr">
        <is>
          <t>EXPENSIVE</t>
        </is>
      </c>
      <c r="Q225" s="24" t="inlineStr">
        <is>
          <t>EXPENSIVE</t>
        </is>
      </c>
      <c r="R225" s="24" t="inlineStr">
        <is>
          <t>0.9202856043409283</t>
        </is>
      </c>
      <c r="S225" s="24" t="inlineStr">
        <is>
          <t>HIGH</t>
        </is>
      </c>
      <c r="T225" s="24" t="inlineStr">
        <is>
          <t>HIGH</t>
        </is>
      </c>
      <c r="U225" s="24" t="inlineStr">
        <is>
          <t>0.5714285714285714</t>
        </is>
      </c>
      <c r="V225" s="24" t="inlineStr">
        <is>
          <t>HIGH_RISK</t>
        </is>
      </c>
      <c r="W225" s="24" t="inlineStr">
        <is>
          <t>고위험</t>
        </is>
      </c>
      <c r="X225" s="24" t="inlineStr">
        <is>
          <t>HIGH_RISK</t>
        </is>
      </c>
      <c r="Y225" s="24" t="inlineStr">
        <is>
          <t>0.9252273149693407</t>
        </is>
      </c>
      <c r="Z225" s="24" t="inlineStr">
        <is>
          <t>HIGH</t>
        </is>
      </c>
      <c r="AA225" s="24" t="inlineStr">
        <is>
          <t>HIGH</t>
        </is>
      </c>
      <c r="AB225" s="24" t="inlineStr">
        <is>
          <t>0.08996216176961074</t>
        </is>
      </c>
      <c r="AC225" s="24" t="inlineStr">
        <is>
          <t>False</t>
        </is>
      </c>
      <c r="AD225" s="24" t="inlineStr">
        <is>
          <t>False</t>
        </is>
      </c>
      <c r="AE225" s="24" t="inlineStr">
        <is>
          <t>valuation_credit_ml_overlay_candidate.csv</t>
        </is>
      </c>
      <c r="AF225" s="24" t="inlineStr">
        <is>
          <t>208개 반도체 reference universe. Valuation Agent가 자체 intake 폴더로 복제해 Peer/ML/대시보드 비교에 사용.</t>
        </is>
      </c>
    </row>
    <row r="226" ht="24" customHeight="1">
      <c r="A226" s="29" t="inlineStr">
        <is>
          <t>72</t>
        </is>
      </c>
      <c r="B226" s="29" t="inlineStr">
        <is>
          <t>해당 없음</t>
        </is>
      </c>
      <c r="C226" s="29" t="inlineStr">
        <is>
          <t>파두</t>
        </is>
      </c>
      <c r="D226" s="29" t="inlineStr">
        <is>
          <t>440110</t>
        </is>
      </c>
      <c r="E226" s="29" t="inlineStr">
        <is>
          <t>KOSDAQ</t>
        </is>
      </c>
      <c r="F226" s="29" t="inlineStr">
        <is>
          <t>팹리스/설계</t>
        </is>
      </c>
      <c r="G226" s="29" t="inlineStr">
        <is>
          <t>팹리스/설계</t>
        </is>
      </c>
      <c r="H226" s="29" t="inlineStr">
        <is>
          <t>False</t>
        </is>
      </c>
      <c r="I226" s="29" t="inlineStr">
        <is>
          <t>True</t>
        </is>
      </c>
      <c r="J226" s="29" t="inlineStr">
        <is>
          <t>OK_LIMITED_HISTORY_OR_GROWTH_NA</t>
        </is>
      </c>
      <c r="K226" s="29" t="inlineStr">
        <is>
          <t>데이터 사용 가능</t>
        </is>
      </c>
      <c r="L226" s="29" t="inlineStr">
        <is>
          <t>LOW</t>
        </is>
      </c>
      <c r="M226" s="29" t="inlineStr">
        <is>
          <t>LOW</t>
        </is>
      </c>
      <c r="N226" s="29" t="inlineStr">
        <is>
          <t>0.2817171717171717</t>
        </is>
      </c>
      <c r="O226" s="29" t="inlineStr">
        <is>
          <t>EXPENSIVE</t>
        </is>
      </c>
      <c r="P226" s="29" t="inlineStr">
        <is>
          <t>EXPENSIVE</t>
        </is>
      </c>
      <c r="Q226" s="29" t="inlineStr">
        <is>
          <t>EXPENSIVE</t>
        </is>
      </c>
      <c r="R226" s="29" t="inlineStr">
        <is>
          <t>0.9722302520284296</t>
        </is>
      </c>
      <c r="S226" s="29" t="inlineStr">
        <is>
          <t>HIGH</t>
        </is>
      </c>
      <c r="T226" s="29" t="inlineStr">
        <is>
          <t>HIGH</t>
        </is>
      </c>
      <c r="U226" s="29" t="inlineStr">
        <is>
          <t>0.7142857142857143</t>
        </is>
      </c>
      <c r="V226" s="29" t="inlineStr">
        <is>
          <t>HIGH_RISK</t>
        </is>
      </c>
      <c r="W226" s="29" t="inlineStr">
        <is>
          <t>고위험</t>
        </is>
      </c>
      <c r="X226" s="29" t="inlineStr">
        <is>
          <t>HIGH_RISK</t>
        </is>
      </c>
      <c r="Y226" s="29" t="inlineStr">
        <is>
          <t>0.9166704410023929</t>
        </is>
      </c>
      <c r="Z226" s="29" t="inlineStr">
        <is>
          <t>HIGH</t>
        </is>
      </c>
      <c r="AA226" s="29" t="inlineStr">
        <is>
          <t>HIGH</t>
        </is>
      </c>
      <c r="AB226" s="29" t="inlineStr">
        <is>
          <t>0.4892266150598854</t>
        </is>
      </c>
      <c r="AC226" s="29" t="inlineStr">
        <is>
          <t>True</t>
        </is>
      </c>
      <c r="AD226" s="29" t="inlineStr">
        <is>
          <t>True</t>
        </is>
      </c>
      <c r="AE226" s="29" t="inlineStr">
        <is>
          <t>valuation_credit_ml_overlay_candidate.csv</t>
        </is>
      </c>
      <c r="AF226" s="29" t="inlineStr">
        <is>
          <t>208개 반도체 reference universe. Valuation Agent가 자체 intake 폴더로 복제해 Peer/ML/대시보드 비교에 사용.</t>
        </is>
      </c>
    </row>
    <row r="227" ht="24" customHeight="1">
      <c r="A227" s="24" t="inlineStr">
        <is>
          <t>54</t>
        </is>
      </c>
      <c r="B227" s="24" t="inlineStr">
        <is>
          <t>해당 없음</t>
        </is>
      </c>
      <c r="C227" s="24" t="inlineStr">
        <is>
          <t>아이씨티케이</t>
        </is>
      </c>
      <c r="D227" s="24" t="inlineStr">
        <is>
          <t>456010</t>
        </is>
      </c>
      <c r="E227" s="24" t="inlineStr">
        <is>
          <t>KOSDAQ</t>
        </is>
      </c>
      <c r="F227" s="24" t="inlineStr">
        <is>
          <t>팹리스/설계</t>
        </is>
      </c>
      <c r="G227" s="24" t="inlineStr">
        <is>
          <t>팹리스/설계</t>
        </is>
      </c>
      <c r="H227" s="24" t="inlineStr">
        <is>
          <t>False</t>
        </is>
      </c>
      <c r="I227" s="24" t="inlineStr">
        <is>
          <t>True</t>
        </is>
      </c>
      <c r="J227" s="24" t="inlineStr">
        <is>
          <t>OK_LIMITED_HISTORY_OR_GROWTH_NA</t>
        </is>
      </c>
      <c r="K227" s="24" t="inlineStr">
        <is>
          <t>데이터 사용 가능</t>
        </is>
      </c>
      <c r="L227" s="24" t="inlineStr">
        <is>
          <t>LOW</t>
        </is>
      </c>
      <c r="M227" s="24" t="inlineStr">
        <is>
          <t>LOW</t>
        </is>
      </c>
      <c r="N227" s="24" t="inlineStr">
        <is>
          <t>0.2421212121212121</t>
        </is>
      </c>
      <c r="O227" s="24" t="inlineStr">
        <is>
          <t>EXPENSIVE</t>
        </is>
      </c>
      <c r="P227" s="24" t="inlineStr">
        <is>
          <t>EXPENSIVE</t>
        </is>
      </c>
      <c r="Q227" s="24" t="inlineStr">
        <is>
          <t>EXPENSIVE</t>
        </is>
      </c>
      <c r="R227" s="24" t="inlineStr">
        <is>
          <t>0.9318776222941163</t>
        </is>
      </c>
      <c r="S227" s="24" t="inlineStr">
        <is>
          <t>HIGH</t>
        </is>
      </c>
      <c r="T227" s="24" t="inlineStr">
        <is>
          <t>HIGH</t>
        </is>
      </c>
      <c r="U227" s="24" t="inlineStr">
        <is>
          <t>0.5714285714285714</t>
        </is>
      </c>
      <c r="V227" s="24" t="inlineStr">
        <is>
          <t>HIGH_RISK</t>
        </is>
      </c>
      <c r="W227" s="24" t="inlineStr">
        <is>
          <t>고위험</t>
        </is>
      </c>
      <c r="X227" s="24" t="inlineStr">
        <is>
          <t>HIGH_RISK</t>
        </is>
      </c>
      <c r="Y227" s="24" t="inlineStr">
        <is>
          <t>0.9704486787687135</t>
        </is>
      </c>
      <c r="Z227" s="24" t="inlineStr">
        <is>
          <t>HIGH</t>
        </is>
      </c>
      <c r="AA227" s="24" t="inlineStr">
        <is>
          <t>HIGH</t>
        </is>
      </c>
      <c r="AB227" s="24" t="inlineStr">
        <is>
          <t>0.44110450319077704</t>
        </is>
      </c>
      <c r="AC227" s="24" t="inlineStr">
        <is>
          <t>True</t>
        </is>
      </c>
      <c r="AD227" s="24" t="inlineStr">
        <is>
          <t>True</t>
        </is>
      </c>
      <c r="AE227" s="24" t="inlineStr">
        <is>
          <t>valuation_credit_ml_overlay_candidate.csv</t>
        </is>
      </c>
      <c r="AF227" s="24" t="inlineStr">
        <is>
          <t>208개 반도체 reference universe. Valuation Agent가 자체 intake 폴더로 복제해 Peer/ML/대시보드 비교에 사용.</t>
        </is>
      </c>
    </row>
    <row r="228" ht="24" customHeight="1">
      <c r="A228" s="29" t="inlineStr">
        <is>
          <t>64</t>
        </is>
      </c>
      <c r="B228" s="29" t="inlineStr">
        <is>
          <t>해당 없음</t>
        </is>
      </c>
      <c r="C228" s="29" t="inlineStr">
        <is>
          <t>오픈엣지테크놀로지</t>
        </is>
      </c>
      <c r="D228" s="29" t="inlineStr">
        <is>
          <t>394280</t>
        </is>
      </c>
      <c r="E228" s="29" t="inlineStr">
        <is>
          <t>KOSDAQ</t>
        </is>
      </c>
      <c r="F228" s="29" t="inlineStr">
        <is>
          <t>팹리스/설계</t>
        </is>
      </c>
      <c r="G228" s="29" t="inlineStr">
        <is>
          <t>팹리스/설계</t>
        </is>
      </c>
      <c r="H228" s="29" t="inlineStr">
        <is>
          <t>False</t>
        </is>
      </c>
      <c r="I228" s="29" t="inlineStr">
        <is>
          <t>True</t>
        </is>
      </c>
      <c r="J228" s="29" t="inlineStr">
        <is>
          <t>OK</t>
        </is>
      </c>
      <c r="K228" s="29" t="inlineStr">
        <is>
          <t>데이터 사용 가능</t>
        </is>
      </c>
      <c r="L228" s="29" t="inlineStr">
        <is>
          <t>LOW</t>
        </is>
      </c>
      <c r="M228" s="29" t="inlineStr">
        <is>
          <t>LOW</t>
        </is>
      </c>
      <c r="N228" s="29" t="inlineStr">
        <is>
          <t>0.2383838383838384</t>
        </is>
      </c>
      <c r="O228" s="29" t="inlineStr">
        <is>
          <t>EXPENSIVE</t>
        </is>
      </c>
      <c r="P228" s="29" t="inlineStr">
        <is>
          <t>EXPENSIVE</t>
        </is>
      </c>
      <c r="Q228" s="29" t="inlineStr">
        <is>
          <t>EXPENSIVE</t>
        </is>
      </c>
      <c r="R228" s="29" t="inlineStr">
        <is>
          <t>0.9776205348568181</t>
        </is>
      </c>
      <c r="S228" s="29" t="inlineStr">
        <is>
          <t>HIGH</t>
        </is>
      </c>
      <c r="T228" s="29" t="inlineStr">
        <is>
          <t>HIGH</t>
        </is>
      </c>
      <c r="U228" s="29" t="inlineStr">
        <is>
          <t>0.5714285714285714</t>
        </is>
      </c>
      <c r="V228" s="29" t="inlineStr">
        <is>
          <t>HIGH_RISK</t>
        </is>
      </c>
      <c r="W228" s="29" t="inlineStr">
        <is>
          <t>고위험</t>
        </is>
      </c>
      <c r="X228" s="29" t="inlineStr">
        <is>
          <t>HIGH_RISK</t>
        </is>
      </c>
      <c r="Y228" s="29" t="inlineStr">
        <is>
          <t>0.979409987987143</t>
        </is>
      </c>
      <c r="Z228" s="29" t="inlineStr">
        <is>
          <t>HIGH</t>
        </is>
      </c>
      <c r="AA228" s="29" t="inlineStr">
        <is>
          <t>HIGH</t>
        </is>
      </c>
      <c r="AB228" s="29" t="inlineStr">
        <is>
          <t>0.49673253879125484</t>
        </is>
      </c>
      <c r="AC228" s="29" t="inlineStr">
        <is>
          <t>True</t>
        </is>
      </c>
      <c r="AD228" s="29" t="inlineStr">
        <is>
          <t>True</t>
        </is>
      </c>
      <c r="AE228" s="29" t="inlineStr">
        <is>
          <t>valuation_credit_ml_overlay_candidate.csv</t>
        </is>
      </c>
      <c r="AF228" s="29" t="inlineStr">
        <is>
          <t>208개 반도체 reference universe. Valuation Agent가 자체 intake 폴더로 복제해 Peer/ML/대시보드 비교에 사용.</t>
        </is>
      </c>
    </row>
    <row r="229" ht="24" customHeight="1">
      <c r="A229" s="24" t="inlineStr">
        <is>
          <t>69</t>
        </is>
      </c>
      <c r="B229" s="24" t="inlineStr">
        <is>
          <t>해당 없음</t>
        </is>
      </c>
      <c r="C229" s="24" t="inlineStr">
        <is>
          <t>퀄리타스반도체</t>
        </is>
      </c>
      <c r="D229" s="24" t="inlineStr">
        <is>
          <t>432720</t>
        </is>
      </c>
      <c r="E229" s="24" t="inlineStr">
        <is>
          <t>KOSDAQ</t>
        </is>
      </c>
      <c r="F229" s="24" t="inlineStr">
        <is>
          <t>팹리스/설계</t>
        </is>
      </c>
      <c r="G229" s="24" t="inlineStr">
        <is>
          <t>팹리스/설계</t>
        </is>
      </c>
      <c r="H229" s="24" t="inlineStr">
        <is>
          <t>False</t>
        </is>
      </c>
      <c r="I229" s="24" t="inlineStr">
        <is>
          <t>True</t>
        </is>
      </c>
      <c r="J229" s="24" t="inlineStr">
        <is>
          <t>OK_LIMITED_HISTORY_OR_GROWTH_NA</t>
        </is>
      </c>
      <c r="K229" s="24" t="inlineStr">
        <is>
          <t>데이터 사용 가능</t>
        </is>
      </c>
      <c r="L229" s="24" t="inlineStr">
        <is>
          <t>LOW</t>
        </is>
      </c>
      <c r="M229" s="24" t="inlineStr">
        <is>
          <t>LOW</t>
        </is>
      </c>
      <c r="N229" s="24" t="inlineStr">
        <is>
          <t>0.2119191919191919</t>
        </is>
      </c>
      <c r="O229" s="24" t="inlineStr">
        <is>
          <t>EXPENSIVE</t>
        </is>
      </c>
      <c r="P229" s="24" t="inlineStr">
        <is>
          <t>EXPENSIVE</t>
        </is>
      </c>
      <c r="Q229" s="24" t="inlineStr">
        <is>
          <t>EXPENSIVE</t>
        </is>
      </c>
      <c r="R229" s="24" t="inlineStr">
        <is>
          <t>0.9844433173148716</t>
        </is>
      </c>
      <c r="S229" s="24" t="inlineStr">
        <is>
          <t>HIGH</t>
        </is>
      </c>
      <c r="T229" s="24" t="inlineStr">
        <is>
          <t>HIGH</t>
        </is>
      </c>
      <c r="U229" s="24" t="inlineStr">
        <is>
          <t>0.5714285714285714</t>
        </is>
      </c>
      <c r="V229" s="24" t="inlineStr">
        <is>
          <t>HIGH_RISK</t>
        </is>
      </c>
      <c r="W229" s="24" t="inlineStr">
        <is>
          <t>고위험</t>
        </is>
      </c>
      <c r="X229" s="24" t="inlineStr">
        <is>
          <t>HIGH_RISK</t>
        </is>
      </c>
      <c r="Y229" s="24" t="inlineStr">
        <is>
          <t>0.9775928777225235</t>
        </is>
      </c>
      <c r="Z229" s="24" t="inlineStr">
        <is>
          <t>HIGH</t>
        </is>
      </c>
      <c r="AA229" s="24" t="inlineStr">
        <is>
          <t>HIGH</t>
        </is>
      </c>
      <c r="AB229" s="24" t="inlineStr">
        <is>
          <t>0.7960673007059423</t>
        </is>
      </c>
      <c r="AC229" s="24" t="inlineStr">
        <is>
          <t>True</t>
        </is>
      </c>
      <c r="AD229" s="24" t="inlineStr">
        <is>
          <t>True</t>
        </is>
      </c>
      <c r="AE229" s="24" t="inlineStr">
        <is>
          <t>valuation_credit_ml_overlay_candidate.csv</t>
        </is>
      </c>
      <c r="AF229" s="24" t="inlineStr">
        <is>
          <t>208개 반도체 reference universe. Valuation Agent가 자체 intake 폴더로 복제해 Peer/ML/대시보드 비교에 사용.</t>
        </is>
      </c>
    </row>
    <row r="230" ht="24" customHeight="1">
      <c r="A230" s="29" t="inlineStr">
        <is>
          <t>168</t>
        </is>
      </c>
      <c r="B230" s="29" t="inlineStr">
        <is>
          <t>해당 없음</t>
        </is>
      </c>
      <c r="C230" s="29" t="inlineStr">
        <is>
          <t>성우테크론</t>
        </is>
      </c>
      <c r="D230" s="29" t="inlineStr">
        <is>
          <t>045300</t>
        </is>
      </c>
      <c r="E230" s="29" t="inlineStr">
        <is>
          <t>KOSDAQ</t>
        </is>
      </c>
      <c r="F230" s="29" t="inlineStr">
        <is>
          <t>후공정/패키징/테스트</t>
        </is>
      </c>
      <c r="G230" s="29" t="inlineStr">
        <is>
          <t>후공정/패키징/테스트</t>
        </is>
      </c>
      <c r="H230" s="29" t="inlineStr">
        <is>
          <t>False</t>
        </is>
      </c>
      <c r="I230" s="29" t="inlineStr">
        <is>
          <t>True</t>
        </is>
      </c>
      <c r="J230" s="29" t="inlineStr">
        <is>
          <t>OK</t>
        </is>
      </c>
      <c r="K230" s="29" t="inlineStr">
        <is>
          <t>데이터 사용 가능</t>
        </is>
      </c>
      <c r="L230" s="29" t="inlineStr">
        <is>
          <t>LOW</t>
        </is>
      </c>
      <c r="M230" s="29" t="inlineStr">
        <is>
          <t>LOW</t>
        </is>
      </c>
      <c r="N230" s="29" t="inlineStr">
        <is>
          <t>0.7764444444444445</t>
        </is>
      </c>
      <c r="O230" s="29" t="inlineStr">
        <is>
          <t>ATTRACTIVE</t>
        </is>
      </c>
      <c r="P230" s="29" t="inlineStr">
        <is>
          <t>가치 매력</t>
        </is>
      </c>
      <c r="Q230" s="29" t="inlineStr">
        <is>
          <t>ATTRACTIVE</t>
        </is>
      </c>
      <c r="R230" s="29" t="inlineStr">
        <is>
          <t>0.9526864248076319</t>
        </is>
      </c>
      <c r="S230" s="29" t="inlineStr">
        <is>
          <t>HIGH</t>
        </is>
      </c>
      <c r="T230" s="29" t="inlineStr">
        <is>
          <t>HIGH</t>
        </is>
      </c>
      <c r="U230" s="29" t="inlineStr">
        <is>
          <t>0.0714285714285714</t>
        </is>
      </c>
      <c r="V230" s="29" t="inlineStr">
        <is>
          <t>LOW_RISK</t>
        </is>
      </c>
      <c r="W230" s="29" t="inlineStr">
        <is>
          <t>저위험</t>
        </is>
      </c>
      <c r="X230" s="29" t="inlineStr">
        <is>
          <t>LOW_RISK</t>
        </is>
      </c>
      <c r="Y230" s="29" t="inlineStr">
        <is>
          <t>0.869939352370702</t>
        </is>
      </c>
      <c r="Z230" s="29" t="inlineStr">
        <is>
          <t>HIGH</t>
        </is>
      </c>
      <c r="AA230" s="29" t="inlineStr">
        <is>
          <t>HIGH</t>
        </is>
      </c>
      <c r="AB230" s="29" t="inlineStr">
        <is>
          <t>0.10286671144812394</t>
        </is>
      </c>
      <c r="AC230" s="29" t="inlineStr">
        <is>
          <t>False</t>
        </is>
      </c>
      <c r="AD230" s="29" t="inlineStr">
        <is>
          <t>False</t>
        </is>
      </c>
      <c r="AE230" s="29" t="inlineStr">
        <is>
          <t>valuation_credit_ml_overlay_candidate.csv</t>
        </is>
      </c>
      <c r="AF230" s="29" t="inlineStr">
        <is>
          <t>208개 반도체 reference universe. Valuation Agent가 자체 intake 폴더로 복제해 Peer/ML/대시보드 비교에 사용.</t>
        </is>
      </c>
    </row>
    <row r="231" ht="24" customHeight="1">
      <c r="A231" s="24" t="inlineStr">
        <is>
          <t>165</t>
        </is>
      </c>
      <c r="B231" s="24" t="inlineStr">
        <is>
          <t>해당 없음</t>
        </is>
      </c>
      <c r="C231" s="24" t="inlineStr">
        <is>
          <t>미래산업</t>
        </is>
      </c>
      <c r="D231" s="24" t="inlineStr">
        <is>
          <t>025560</t>
        </is>
      </c>
      <c r="E231" s="24" t="inlineStr">
        <is>
          <t>KOSPI</t>
        </is>
      </c>
      <c r="F231" s="24" t="inlineStr">
        <is>
          <t>후공정/패키징/테스트</t>
        </is>
      </c>
      <c r="G231" s="24" t="inlineStr">
        <is>
          <t>후공정/패키징/테스트</t>
        </is>
      </c>
      <c r="H231" s="24" t="inlineStr">
        <is>
          <t>False</t>
        </is>
      </c>
      <c r="I231" s="24" t="inlineStr">
        <is>
          <t>True</t>
        </is>
      </c>
      <c r="J231" s="24" t="inlineStr">
        <is>
          <t>OK</t>
        </is>
      </c>
      <c r="K231" s="24" t="inlineStr">
        <is>
          <t>데이터 사용 가능</t>
        </is>
      </c>
      <c r="L231" s="24" t="inlineStr">
        <is>
          <t>LOW</t>
        </is>
      </c>
      <c r="M231" s="24" t="inlineStr">
        <is>
          <t>LOW</t>
        </is>
      </c>
      <c r="N231" s="24" t="inlineStr">
        <is>
          <t>0.7748148148148148</t>
        </is>
      </c>
      <c r="O231" s="24" t="inlineStr">
        <is>
          <t>FAIR</t>
        </is>
      </c>
      <c r="P231" s="24" t="inlineStr">
        <is>
          <t>FAIR</t>
        </is>
      </c>
      <c r="Q231" s="24" t="inlineStr">
        <is>
          <t>FAIR</t>
        </is>
      </c>
      <c r="R231" s="24" t="inlineStr">
        <is>
          <t>0.883291104654336</t>
        </is>
      </c>
      <c r="S231" s="24" t="inlineStr">
        <is>
          <t>HIGH</t>
        </is>
      </c>
      <c r="T231" s="24" t="inlineStr">
        <is>
          <t>HIGH</t>
        </is>
      </c>
      <c r="U231" s="24" t="inlineStr">
        <is>
          <t>0.2857142857142857</t>
        </is>
      </c>
      <c r="V231" s="24" t="inlineStr">
        <is>
          <t>MEDIUM_RISK</t>
        </is>
      </c>
      <c r="W231" s="24" t="inlineStr">
        <is>
          <t>중위험</t>
        </is>
      </c>
      <c r="X231" s="24" t="inlineStr">
        <is>
          <t>MEDIUM_RISK</t>
        </is>
      </c>
      <c r="Y231" s="24" t="inlineStr">
        <is>
          <t>0.695536763680257</t>
        </is>
      </c>
      <c r="Z231" s="24" t="inlineStr">
        <is>
          <t>MEDIUM</t>
        </is>
      </c>
      <c r="AA231" s="24" t="inlineStr">
        <is>
          <t>MEDIUM</t>
        </is>
      </c>
      <c r="AB231" s="24" t="inlineStr">
        <is>
          <t>0.08100242357773374</t>
        </is>
      </c>
      <c r="AC231" s="24" t="inlineStr">
        <is>
          <t>False</t>
        </is>
      </c>
      <c r="AD231" s="24" t="inlineStr">
        <is>
          <t>False</t>
        </is>
      </c>
      <c r="AE231" s="24" t="inlineStr">
        <is>
          <t>valuation_credit_ml_overlay_candidate.csv</t>
        </is>
      </c>
      <c r="AF231" s="24" t="inlineStr">
        <is>
          <t>208개 반도체 reference universe. Valuation Agent가 자체 intake 폴더로 복제해 Peer/ML/대시보드 비교에 사용.</t>
        </is>
      </c>
    </row>
    <row r="232" ht="24" customHeight="1">
      <c r="A232" s="29" t="inlineStr">
        <is>
          <t>163</t>
        </is>
      </c>
      <c r="B232" s="29" t="inlineStr">
        <is>
          <t>해당 없음</t>
        </is>
      </c>
      <c r="C232" s="29" t="inlineStr">
        <is>
          <t>링크제니시스</t>
        </is>
      </c>
      <c r="D232" s="29" t="inlineStr">
        <is>
          <t>219420</t>
        </is>
      </c>
      <c r="E232" s="29" t="inlineStr">
        <is>
          <t>KOSDAQ</t>
        </is>
      </c>
      <c r="F232" s="29" t="inlineStr">
        <is>
          <t>후공정/패키징/테스트</t>
        </is>
      </c>
      <c r="G232" s="29" t="inlineStr">
        <is>
          <t>후공정/패키징/테스트</t>
        </is>
      </c>
      <c r="H232" s="29" t="inlineStr">
        <is>
          <t>False</t>
        </is>
      </c>
      <c r="I232" s="29" t="inlineStr">
        <is>
          <t>True</t>
        </is>
      </c>
      <c r="J232" s="29" t="inlineStr">
        <is>
          <t>OK</t>
        </is>
      </c>
      <c r="K232" s="29" t="inlineStr">
        <is>
          <t>데이터 사용 가능</t>
        </is>
      </c>
      <c r="L232" s="29" t="inlineStr">
        <is>
          <t>LOW</t>
        </is>
      </c>
      <c r="M232" s="29" t="inlineStr">
        <is>
          <t>LOW</t>
        </is>
      </c>
      <c r="N232" s="29" t="inlineStr">
        <is>
          <t>0.7522962962962964</t>
        </is>
      </c>
      <c r="O232" s="29" t="inlineStr">
        <is>
          <t>ATTRACTIVE</t>
        </is>
      </c>
      <c r="P232" s="29" t="inlineStr">
        <is>
          <t>가치 매력</t>
        </is>
      </c>
      <c r="Q232" s="29" t="inlineStr">
        <is>
          <t>ATTRACTIVE</t>
        </is>
      </c>
      <c r="R232" s="29" t="inlineStr">
        <is>
          <t>0.8724992666433111</t>
        </is>
      </c>
      <c r="S232" s="29" t="inlineStr">
        <is>
          <t>HIGH</t>
        </is>
      </c>
      <c r="T232" s="29" t="inlineStr">
        <is>
          <t>HIGH</t>
        </is>
      </c>
      <c r="U232" s="29" t="inlineStr">
        <is>
          <t>0.0714285714285714</t>
        </is>
      </c>
      <c r="V232" s="29" t="inlineStr">
        <is>
          <t>LOW_RISK</t>
        </is>
      </c>
      <c r="W232" s="29" t="inlineStr">
        <is>
          <t>저위험</t>
        </is>
      </c>
      <c r="X232" s="29" t="inlineStr">
        <is>
          <t>LOW_RISK</t>
        </is>
      </c>
      <c r="Y232" s="29" t="inlineStr">
        <is>
          <t>0.8663667518810074</t>
        </is>
      </c>
      <c r="Z232" s="29" t="inlineStr">
        <is>
          <t>HIGH</t>
        </is>
      </c>
      <c r="AA232" s="29" t="inlineStr">
        <is>
          <t>HIGH</t>
        </is>
      </c>
      <c r="AB232" s="29" t="inlineStr">
        <is>
          <t>0.1247344063934745</t>
        </is>
      </c>
      <c r="AC232" s="29" t="inlineStr">
        <is>
          <t>False</t>
        </is>
      </c>
      <c r="AD232" s="29" t="inlineStr">
        <is>
          <t>False</t>
        </is>
      </c>
      <c r="AE232" s="29" t="inlineStr">
        <is>
          <t>valuation_credit_ml_overlay_candidate.csv</t>
        </is>
      </c>
      <c r="AF232" s="29" t="inlineStr">
        <is>
          <t>208개 반도체 reference universe. Valuation Agent가 자체 intake 폴더로 복제해 Peer/ML/대시보드 비교에 사용.</t>
        </is>
      </c>
    </row>
    <row r="233" ht="24" customHeight="1">
      <c r="A233" s="24" t="inlineStr">
        <is>
          <t>189</t>
        </is>
      </c>
      <c r="B233" s="24" t="inlineStr">
        <is>
          <t>해당 없음</t>
        </is>
      </c>
      <c r="C233" s="24" t="inlineStr">
        <is>
          <t>프로텍</t>
        </is>
      </c>
      <c r="D233" s="24" t="inlineStr">
        <is>
          <t>053610</t>
        </is>
      </c>
      <c r="E233" s="24" t="inlineStr">
        <is>
          <t>KOSDAQ</t>
        </is>
      </c>
      <c r="F233" s="24" t="inlineStr">
        <is>
          <t>후공정/패키징/테스트</t>
        </is>
      </c>
      <c r="G233" s="24" t="inlineStr">
        <is>
          <t>후공정/패키징/테스트</t>
        </is>
      </c>
      <c r="H233" s="24" t="inlineStr">
        <is>
          <t>False</t>
        </is>
      </c>
      <c r="I233" s="24" t="inlineStr">
        <is>
          <t>True</t>
        </is>
      </c>
      <c r="J233" s="24" t="inlineStr">
        <is>
          <t>OK</t>
        </is>
      </c>
      <c r="K233" s="24" t="inlineStr">
        <is>
          <t>데이터 사용 가능</t>
        </is>
      </c>
      <c r="L233" s="24" t="inlineStr">
        <is>
          <t>LOW</t>
        </is>
      </c>
      <c r="M233" s="24" t="inlineStr">
        <is>
          <t>LOW</t>
        </is>
      </c>
      <c r="N233" s="24" t="inlineStr">
        <is>
          <t>0.7342222222222222</t>
        </is>
      </c>
      <c r="O233" s="24" t="inlineStr">
        <is>
          <t>FAIR</t>
        </is>
      </c>
      <c r="P233" s="24" t="inlineStr">
        <is>
          <t>FAIR</t>
        </is>
      </c>
      <c r="Q233" s="24" t="inlineStr">
        <is>
          <t>FAIR</t>
        </is>
      </c>
      <c r="R233" s="24" t="inlineStr">
        <is>
          <t>0.8971257561900263</t>
        </is>
      </c>
      <c r="S233" s="24" t="inlineStr">
        <is>
          <t>HIGH</t>
        </is>
      </c>
      <c r="T233" s="24" t="inlineStr">
        <is>
          <t>HIGH</t>
        </is>
      </c>
      <c r="U233" s="24" t="inlineStr">
        <is>
          <t>0.0714285714285714</t>
        </is>
      </c>
      <c r="V233" s="24" t="inlineStr">
        <is>
          <t>LOW_RISK</t>
        </is>
      </c>
      <c r="W233" s="24" t="inlineStr">
        <is>
          <t>저위험</t>
        </is>
      </c>
      <c r="X233" s="24" t="inlineStr">
        <is>
          <t>LOW_RISK</t>
        </is>
      </c>
      <c r="Y233" s="24" t="inlineStr">
        <is>
          <t>0.9163768919768406</t>
        </is>
      </c>
      <c r="Z233" s="24" t="inlineStr">
        <is>
          <t>HIGH</t>
        </is>
      </c>
      <c r="AA233" s="24" t="inlineStr">
        <is>
          <t>HIGH</t>
        </is>
      </c>
      <c r="AB233" s="24" t="inlineStr">
        <is>
          <t>0.04594870251712977</t>
        </is>
      </c>
      <c r="AC233" s="24" t="inlineStr">
        <is>
          <t>False</t>
        </is>
      </c>
      <c r="AD233" s="24" t="inlineStr">
        <is>
          <t>False</t>
        </is>
      </c>
      <c r="AE233" s="24" t="inlineStr">
        <is>
          <t>valuation_credit_ml_overlay_candidate.csv</t>
        </is>
      </c>
      <c r="AF233" s="24" t="inlineStr">
        <is>
          <t>208개 반도체 reference universe. Valuation Agent가 자체 intake 폴더로 복제해 Peer/ML/대시보드 비교에 사용.</t>
        </is>
      </c>
    </row>
    <row r="234" ht="24" customHeight="1">
      <c r="A234" s="29" t="inlineStr">
        <is>
          <t>188</t>
        </is>
      </c>
      <c r="B234" s="29" t="inlineStr">
        <is>
          <t>해당 없음</t>
        </is>
      </c>
      <c r="C234" s="29" t="inlineStr">
        <is>
          <t>프로이천</t>
        </is>
      </c>
      <c r="D234" s="29" t="inlineStr">
        <is>
          <t>321260</t>
        </is>
      </c>
      <c r="E234" s="29" t="inlineStr">
        <is>
          <t>KOSDAQ</t>
        </is>
      </c>
      <c r="F234" s="29" t="inlineStr">
        <is>
          <t>후공정/패키징/테스트</t>
        </is>
      </c>
      <c r="G234" s="29" t="inlineStr">
        <is>
          <t>후공정/패키징/테스트</t>
        </is>
      </c>
      <c r="H234" s="29" t="inlineStr">
        <is>
          <t>False</t>
        </is>
      </c>
      <c r="I234" s="29" t="inlineStr">
        <is>
          <t>True</t>
        </is>
      </c>
      <c r="J234" s="29" t="inlineStr">
        <is>
          <t>OK</t>
        </is>
      </c>
      <c r="K234" s="29" t="inlineStr">
        <is>
          <t>데이터 사용 가능</t>
        </is>
      </c>
      <c r="L234" s="29" t="inlineStr">
        <is>
          <t>LOW</t>
        </is>
      </c>
      <c r="M234" s="29" t="inlineStr">
        <is>
          <t>LOW</t>
        </is>
      </c>
      <c r="N234" s="29" t="inlineStr">
        <is>
          <t>0.6905185185185185</t>
        </is>
      </c>
      <c r="O234" s="29" t="inlineStr">
        <is>
          <t>ATTRACTIVE</t>
        </is>
      </c>
      <c r="P234" s="29" t="inlineStr">
        <is>
          <t>가치 매력</t>
        </is>
      </c>
      <c r="Q234" s="29" t="inlineStr">
        <is>
          <t>ATTRACTIVE</t>
        </is>
      </c>
      <c r="R234" s="29" t="inlineStr">
        <is>
          <t>0.9481469936627798</t>
        </is>
      </c>
      <c r="S234" s="29" t="inlineStr">
        <is>
          <t>HIGH</t>
        </is>
      </c>
      <c r="T234" s="29" t="inlineStr">
        <is>
          <t>HIGH</t>
        </is>
      </c>
      <c r="U234" s="29" t="inlineStr">
        <is>
          <t>0.1428571428571428</t>
        </is>
      </c>
      <c r="V234" s="29" t="inlineStr">
        <is>
          <t>LOW_RISK</t>
        </is>
      </c>
      <c r="W234" s="29" t="inlineStr">
        <is>
          <t>저위험</t>
        </is>
      </c>
      <c r="X234" s="29" t="inlineStr">
        <is>
          <t>LOW_RISK</t>
        </is>
      </c>
      <c r="Y234" s="29" t="inlineStr">
        <is>
          <t>0.7571217577270841</t>
        </is>
      </c>
      <c r="Z234" s="29" t="inlineStr">
        <is>
          <t>HIGH</t>
        </is>
      </c>
      <c r="AA234" s="29" t="inlineStr">
        <is>
          <t>HIGH</t>
        </is>
      </c>
      <c r="AB234" s="29" t="inlineStr">
        <is>
          <t>0.1980202748075635</t>
        </is>
      </c>
      <c r="AC234" s="29" t="inlineStr">
        <is>
          <t>False</t>
        </is>
      </c>
      <c r="AD234" s="29" t="inlineStr">
        <is>
          <t>False</t>
        </is>
      </c>
      <c r="AE234" s="29" t="inlineStr">
        <is>
          <t>valuation_credit_ml_overlay_candidate.csv</t>
        </is>
      </c>
      <c r="AF234" s="29" t="inlineStr">
        <is>
          <t>208개 반도체 reference universe. Valuation Agent가 자체 intake 폴더로 복제해 Peer/ML/대시보드 비교에 사용.</t>
        </is>
      </c>
    </row>
    <row r="235" ht="24" customHeight="1">
      <c r="A235" s="24" t="inlineStr">
        <is>
          <t>167</t>
        </is>
      </c>
      <c r="B235" s="24" t="inlineStr">
        <is>
          <t>해당 없음</t>
        </is>
      </c>
      <c r="C235" s="24" t="inlineStr">
        <is>
          <t>샘씨엔에스</t>
        </is>
      </c>
      <c r="D235" s="24" t="inlineStr">
        <is>
          <t>252990</t>
        </is>
      </c>
      <c r="E235" s="24" t="inlineStr">
        <is>
          <t>KOSDAQ</t>
        </is>
      </c>
      <c r="F235" s="24" t="inlineStr">
        <is>
          <t>후공정/패키징/테스트</t>
        </is>
      </c>
      <c r="G235" s="24" t="inlineStr">
        <is>
          <t>후공정/패키징/테스트</t>
        </is>
      </c>
      <c r="H235" s="24" t="inlineStr">
        <is>
          <t>False</t>
        </is>
      </c>
      <c r="I235" s="24" t="inlineStr">
        <is>
          <t>True</t>
        </is>
      </c>
      <c r="J235" s="24" t="inlineStr">
        <is>
          <t>OK</t>
        </is>
      </c>
      <c r="K235" s="24" t="inlineStr">
        <is>
          <t>데이터 사용 가능</t>
        </is>
      </c>
      <c r="L235" s="24" t="inlineStr">
        <is>
          <t>LOW</t>
        </is>
      </c>
      <c r="M235" s="24" t="inlineStr">
        <is>
          <t>LOW</t>
        </is>
      </c>
      <c r="N235" s="24" t="inlineStr">
        <is>
          <t>0.6491851851851852</t>
        </is>
      </c>
      <c r="O235" s="24" t="inlineStr">
        <is>
          <t>ATTRACTIVE</t>
        </is>
      </c>
      <c r="P235" s="24" t="inlineStr">
        <is>
          <t>가치 매력</t>
        </is>
      </c>
      <c r="Q235" s="24" t="inlineStr">
        <is>
          <t>ATTRACTIVE</t>
        </is>
      </c>
      <c r="R235" s="24" t="inlineStr">
        <is>
          <t>0.5521991152548656</t>
        </is>
      </c>
      <c r="S235" s="24" t="inlineStr">
        <is>
          <t>MEDIUM</t>
        </is>
      </c>
      <c r="T235" s="24" t="inlineStr">
        <is>
          <t>MEDIUM</t>
        </is>
      </c>
      <c r="U235" s="24" t="inlineStr">
        <is>
          <t>0.1428571428571428</t>
        </is>
      </c>
      <c r="V235" s="24" t="inlineStr">
        <is>
          <t>LOW_RISK</t>
        </is>
      </c>
      <c r="W235" s="24" t="inlineStr">
        <is>
          <t>저위험</t>
        </is>
      </c>
      <c r="X235" s="24" t="inlineStr">
        <is>
          <t>LOW_RISK</t>
        </is>
      </c>
      <c r="Y235" s="24" t="inlineStr">
        <is>
          <t>0.8184283672559926</t>
        </is>
      </c>
      <c r="Z235" s="24" t="inlineStr">
        <is>
          <t>HIGH</t>
        </is>
      </c>
      <c r="AA235" s="24" t="inlineStr">
        <is>
          <t>HIGH</t>
        </is>
      </c>
      <c r="AB235" s="24" t="inlineStr">
        <is>
          <t>0.02862485694144737</t>
        </is>
      </c>
      <c r="AC235" s="24" t="inlineStr">
        <is>
          <t>False</t>
        </is>
      </c>
      <c r="AD235" s="24" t="inlineStr">
        <is>
          <t>False</t>
        </is>
      </c>
      <c r="AE235" s="24" t="inlineStr">
        <is>
          <t>valuation_credit_ml_overlay_candidate.csv</t>
        </is>
      </c>
      <c r="AF235" s="24" t="inlineStr">
        <is>
          <t>208개 반도체 reference universe. Valuation Agent가 자체 intake 폴더로 복제해 Peer/ML/대시보드 비교에 사용.</t>
        </is>
      </c>
    </row>
    <row r="236" ht="24" customHeight="1">
      <c r="A236" s="29" t="inlineStr">
        <is>
          <t>191</t>
        </is>
      </c>
      <c r="B236" s="29" t="inlineStr">
        <is>
          <t>해당 없음</t>
        </is>
      </c>
      <c r="C236" s="29" t="inlineStr">
        <is>
          <t>하나마이크론</t>
        </is>
      </c>
      <c r="D236" s="29" t="inlineStr">
        <is>
          <t>067310</t>
        </is>
      </c>
      <c r="E236" s="29" t="inlineStr">
        <is>
          <t>KOSDAQ</t>
        </is>
      </c>
      <c r="F236" s="29" t="inlineStr">
        <is>
          <t>후공정/패키징/테스트</t>
        </is>
      </c>
      <c r="G236" s="29" t="inlineStr">
        <is>
          <t>후공정/패키징/테스트</t>
        </is>
      </c>
      <c r="H236" s="29" t="inlineStr">
        <is>
          <t>False</t>
        </is>
      </c>
      <c r="I236" s="29" t="inlineStr">
        <is>
          <t>True</t>
        </is>
      </c>
      <c r="J236" s="29" t="inlineStr">
        <is>
          <t>OK</t>
        </is>
      </c>
      <c r="K236" s="29" t="inlineStr">
        <is>
          <t>데이터 사용 가능</t>
        </is>
      </c>
      <c r="L236" s="29" t="inlineStr">
        <is>
          <t>LOW</t>
        </is>
      </c>
      <c r="M236" s="29" t="inlineStr">
        <is>
          <t>LOW</t>
        </is>
      </c>
      <c r="N236" s="29" t="inlineStr">
        <is>
          <t>0.6405925925925926</t>
        </is>
      </c>
      <c r="O236" s="29" t="inlineStr">
        <is>
          <t>ATTRACTIVE</t>
        </is>
      </c>
      <c r="P236" s="29" t="inlineStr">
        <is>
          <t>가치 매력</t>
        </is>
      </c>
      <c r="Q236" s="29" t="inlineStr">
        <is>
          <t>ATTRACTIVE</t>
        </is>
      </c>
      <c r="R236" s="29" t="inlineStr">
        <is>
          <t>0.8727001075083287</t>
        </is>
      </c>
      <c r="S236" s="29" t="inlineStr">
        <is>
          <t>HIGH</t>
        </is>
      </c>
      <c r="T236" s="29" t="inlineStr">
        <is>
          <t>HIGH</t>
        </is>
      </c>
      <c r="U236" s="29" t="inlineStr">
        <is>
          <t>0.2857142857142857</t>
        </is>
      </c>
      <c r="V236" s="29" t="inlineStr">
        <is>
          <t>MEDIUM_RISK</t>
        </is>
      </c>
      <c r="W236" s="29" t="inlineStr">
        <is>
          <t>중위험</t>
        </is>
      </c>
      <c r="X236" s="29" t="inlineStr">
        <is>
          <t>MEDIUM_RISK</t>
        </is>
      </c>
      <c r="Y236" s="29" t="inlineStr">
        <is>
          <t>0.4659076101576026</t>
        </is>
      </c>
      <c r="Z236" s="29" t="inlineStr">
        <is>
          <t>LOW</t>
        </is>
      </c>
      <c r="AA236" s="29" t="inlineStr">
        <is>
          <t>LOW</t>
        </is>
      </c>
      <c r="AB236" s="29" t="inlineStr">
        <is>
          <t>0.1167493316831868</t>
        </is>
      </c>
      <c r="AC236" s="29" t="inlineStr">
        <is>
          <t>False</t>
        </is>
      </c>
      <c r="AD236" s="29" t="inlineStr">
        <is>
          <t>True</t>
        </is>
      </c>
      <c r="AE236" s="29" t="inlineStr">
        <is>
          <t>valuation_credit_ml_overlay_candidate.csv</t>
        </is>
      </c>
      <c r="AF236" s="29" t="inlineStr">
        <is>
          <t>208개 반도체 reference universe. Valuation Agent가 자체 intake 폴더로 복제해 Peer/ML/대시보드 비교에 사용.</t>
        </is>
      </c>
    </row>
    <row r="237" ht="24" customHeight="1">
      <c r="A237" s="24" t="inlineStr">
        <is>
          <t>157</t>
        </is>
      </c>
      <c r="B237" s="24" t="inlineStr">
        <is>
          <t>nepes</t>
        </is>
      </c>
      <c r="C237" s="24" t="inlineStr">
        <is>
          <t>네패스</t>
        </is>
      </c>
      <c r="D237" s="24" t="inlineStr">
        <is>
          <t>033640</t>
        </is>
      </c>
      <c r="E237" s="24" t="inlineStr">
        <is>
          <t>KOSDAQ</t>
        </is>
      </c>
      <c r="F237" s="24" t="inlineStr">
        <is>
          <t>후공정/패키징/테스트</t>
        </is>
      </c>
      <c r="G237" s="24" t="inlineStr">
        <is>
          <t>후공정/패키징/테스트</t>
        </is>
      </c>
      <c r="H237" s="24" t="inlineStr">
        <is>
          <t>True</t>
        </is>
      </c>
      <c r="I237" s="24" t="inlineStr">
        <is>
          <t>True</t>
        </is>
      </c>
      <c r="J237" s="24" t="inlineStr">
        <is>
          <t>OK</t>
        </is>
      </c>
      <c r="K237" s="24" t="inlineStr">
        <is>
          <t>데이터 사용 가능</t>
        </is>
      </c>
      <c r="L237" s="24" t="inlineStr">
        <is>
          <t>LOW</t>
        </is>
      </c>
      <c r="M237" s="24" t="inlineStr">
        <is>
          <t>LOW</t>
        </is>
      </c>
      <c r="N237" s="24" t="inlineStr">
        <is>
          <t>0.6385185185185186</t>
        </is>
      </c>
      <c r="O237" s="24" t="inlineStr">
        <is>
          <t>ATTRACTIVE</t>
        </is>
      </c>
      <c r="P237" s="24" t="inlineStr">
        <is>
          <t>가치 매력</t>
        </is>
      </c>
      <c r="Q237" s="24" t="inlineStr">
        <is>
          <t>ATTRACTIVE</t>
        </is>
      </c>
      <c r="R237" s="24" t="inlineStr">
        <is>
          <t>0.8763685947958789</t>
        </is>
      </c>
      <c r="S237" s="24" t="inlineStr">
        <is>
          <t>HIGH</t>
        </is>
      </c>
      <c r="T237" s="24" t="inlineStr">
        <is>
          <t>HIGH</t>
        </is>
      </c>
      <c r="U237" s="24" t="inlineStr">
        <is>
          <t>0.2857142857142857</t>
        </is>
      </c>
      <c r="V237" s="24" t="inlineStr">
        <is>
          <t>MEDIUM_RISK</t>
        </is>
      </c>
      <c r="W237" s="24" t="inlineStr">
        <is>
          <t>중위험</t>
        </is>
      </c>
      <c r="X237" s="24" t="inlineStr">
        <is>
          <t>MEDIUM_RISK</t>
        </is>
      </c>
      <c r="Y237" s="24" t="inlineStr">
        <is>
          <t>0.5963458259503356</t>
        </is>
      </c>
      <c r="Z237" s="24" t="inlineStr">
        <is>
          <t>MEDIUM</t>
        </is>
      </c>
      <c r="AA237" s="24" t="inlineStr">
        <is>
          <t>MEDIUM</t>
        </is>
      </c>
      <c r="AB237" s="24" t="inlineStr">
        <is>
          <t>0.07896643996759804</t>
        </is>
      </c>
      <c r="AC237" s="24" t="inlineStr">
        <is>
          <t>False</t>
        </is>
      </c>
      <c r="AD237" s="24" t="inlineStr">
        <is>
          <t>False</t>
        </is>
      </c>
      <c r="AE237" s="24" t="inlineStr">
        <is>
          <t>valuation_credit_ml_overlay_candidate.csv</t>
        </is>
      </c>
      <c r="AF237" s="24" t="inlineStr">
        <is>
          <t>208개 반도체 reference universe. Valuation Agent가 자체 intake 폴더로 복제해 Peer/ML/대시보드 비교에 사용.</t>
        </is>
      </c>
    </row>
    <row r="238" ht="24" customHeight="1">
      <c r="A238" s="29" t="inlineStr">
        <is>
          <t>151</t>
        </is>
      </c>
      <c r="B238" s="29" t="inlineStr">
        <is>
          <t>해당 없음</t>
        </is>
      </c>
      <c r="C238" s="29" t="inlineStr">
        <is>
          <t>KX하이텍</t>
        </is>
      </c>
      <c r="D238" s="29" t="inlineStr">
        <is>
          <t>052900</t>
        </is>
      </c>
      <c r="E238" s="29" t="inlineStr">
        <is>
          <t>KOSDAQ</t>
        </is>
      </c>
      <c r="F238" s="29" t="inlineStr">
        <is>
          <t>후공정/패키징/테스트</t>
        </is>
      </c>
      <c r="G238" s="29" t="inlineStr">
        <is>
          <t>후공정/패키징/테스트</t>
        </is>
      </c>
      <c r="H238" s="29" t="inlineStr">
        <is>
          <t>False</t>
        </is>
      </c>
      <c r="I238" s="29" t="inlineStr">
        <is>
          <t>True</t>
        </is>
      </c>
      <c r="J238" s="29" t="inlineStr">
        <is>
          <t>OK</t>
        </is>
      </c>
      <c r="K238" s="29" t="inlineStr">
        <is>
          <t>데이터 사용 가능</t>
        </is>
      </c>
      <c r="L238" s="29" t="inlineStr">
        <is>
          <t>LOW</t>
        </is>
      </c>
      <c r="M238" s="29" t="inlineStr">
        <is>
          <t>LOW</t>
        </is>
      </c>
      <c r="N238" s="29" t="inlineStr">
        <is>
          <t>0.6361481481481482</t>
        </is>
      </c>
      <c r="O238" s="29" t="inlineStr">
        <is>
          <t>ATTRACTIVE</t>
        </is>
      </c>
      <c r="P238" s="29" t="inlineStr">
        <is>
          <t>가치 매력</t>
        </is>
      </c>
      <c r="Q238" s="29" t="inlineStr">
        <is>
          <t>ATTRACTIVE</t>
        </is>
      </c>
      <c r="R238" s="29" t="inlineStr">
        <is>
          <t>0.7896879678479897</t>
        </is>
      </c>
      <c r="S238" s="29" t="inlineStr">
        <is>
          <t>HIGH</t>
        </is>
      </c>
      <c r="T238" s="29" t="inlineStr">
        <is>
          <t>HIGH</t>
        </is>
      </c>
      <c r="U238" s="29" t="inlineStr">
        <is>
          <t>0.0714285714285714</t>
        </is>
      </c>
      <c r="V238" s="29" t="inlineStr">
        <is>
          <t>LOW_RISK</t>
        </is>
      </c>
      <c r="W238" s="29" t="inlineStr">
        <is>
          <t>저위험</t>
        </is>
      </c>
      <c r="X238" s="29" t="inlineStr">
        <is>
          <t>LOW_RISK</t>
        </is>
      </c>
      <c r="Y238" s="29" t="inlineStr">
        <is>
          <t>0.87015899446037</t>
        </is>
      </c>
      <c r="Z238" s="29" t="inlineStr">
        <is>
          <t>HIGH</t>
        </is>
      </c>
      <c r="AA238" s="29" t="inlineStr">
        <is>
          <t>HIGH</t>
        </is>
      </c>
      <c r="AB238" s="29" t="inlineStr">
        <is>
          <t>0.012348610212675635</t>
        </is>
      </c>
      <c r="AC238" s="29" t="inlineStr">
        <is>
          <t>False</t>
        </is>
      </c>
      <c r="AD238" s="29" t="inlineStr">
        <is>
          <t>False</t>
        </is>
      </c>
      <c r="AE238" s="29" t="inlineStr">
        <is>
          <t>valuation_credit_ml_overlay_candidate.csv</t>
        </is>
      </c>
      <c r="AF238" s="29" t="inlineStr">
        <is>
          <t>208개 반도체 reference universe. Valuation Agent가 자체 intake 폴더로 복제해 Peer/ML/대시보드 비교에 사용.</t>
        </is>
      </c>
    </row>
    <row r="239" ht="24" customHeight="1">
      <c r="A239" s="24" t="inlineStr">
        <is>
          <t>172</t>
        </is>
      </c>
      <c r="B239" s="24" t="inlineStr">
        <is>
          <t>해당 없음</t>
        </is>
      </c>
      <c r="C239" s="24" t="inlineStr">
        <is>
          <t>에이치엠넥스</t>
        </is>
      </c>
      <c r="D239" s="24" t="inlineStr">
        <is>
          <t>036170</t>
        </is>
      </c>
      <c r="E239" s="24" t="inlineStr">
        <is>
          <t>KOSDAQ</t>
        </is>
      </c>
      <c r="F239" s="24" t="inlineStr">
        <is>
          <t>후공정/패키징/테스트</t>
        </is>
      </c>
      <c r="G239" s="24" t="inlineStr">
        <is>
          <t>후공정/패키징/테스트</t>
        </is>
      </c>
      <c r="H239" s="24" t="inlineStr">
        <is>
          <t>False</t>
        </is>
      </c>
      <c r="I239" s="24" t="inlineStr">
        <is>
          <t>True</t>
        </is>
      </c>
      <c r="J239" s="24" t="inlineStr">
        <is>
          <t>OK</t>
        </is>
      </c>
      <c r="K239" s="24" t="inlineStr">
        <is>
          <t>데이터 사용 가능</t>
        </is>
      </c>
      <c r="L239" s="24" t="inlineStr">
        <is>
          <t>LOW</t>
        </is>
      </c>
      <c r="M239" s="24" t="inlineStr">
        <is>
          <t>LOW</t>
        </is>
      </c>
      <c r="N239" s="24" t="inlineStr">
        <is>
          <t>0.621037037037037</t>
        </is>
      </c>
      <c r="O239" s="24" t="inlineStr">
        <is>
          <t>FAIR</t>
        </is>
      </c>
      <c r="P239" s="24" t="inlineStr">
        <is>
          <t>FAIR</t>
        </is>
      </c>
      <c r="Q239" s="24" t="inlineStr">
        <is>
          <t>FAIR</t>
        </is>
      </c>
      <c r="R239" s="24" t="inlineStr">
        <is>
          <t>0.7433115072206052</t>
        </is>
      </c>
      <c r="S239" s="24" t="inlineStr">
        <is>
          <t>HIGH</t>
        </is>
      </c>
      <c r="T239" s="24" t="inlineStr">
        <is>
          <t>HIGH</t>
        </is>
      </c>
      <c r="U239" s="24" t="inlineStr">
        <is>
          <t>0.3571428571428571</t>
        </is>
      </c>
      <c r="V239" s="24" t="inlineStr">
        <is>
          <t>MEDIUM_RISK</t>
        </is>
      </c>
      <c r="W239" s="24" t="inlineStr">
        <is>
          <t>중위험</t>
        </is>
      </c>
      <c r="X239" s="24" t="inlineStr">
        <is>
          <t>MEDIUM_RISK</t>
        </is>
      </c>
      <c r="Y239" s="24" t="inlineStr">
        <is>
          <t>0.7084051764737881</t>
        </is>
      </c>
      <c r="Z239" s="24" t="inlineStr">
        <is>
          <t>HIGH</t>
        </is>
      </c>
      <c r="AA239" s="24" t="inlineStr">
        <is>
          <t>HIGH</t>
        </is>
      </c>
      <c r="AB239" s="24" t="inlineStr">
        <is>
          <t>0.3531105059628509</t>
        </is>
      </c>
      <c r="AC239" s="24" t="inlineStr">
        <is>
          <t>True</t>
        </is>
      </c>
      <c r="AD239" s="24" t="inlineStr">
        <is>
          <t>True</t>
        </is>
      </c>
      <c r="AE239" s="24" t="inlineStr">
        <is>
          <t>valuation_credit_ml_overlay_candidate.csv</t>
        </is>
      </c>
      <c r="AF239" s="24" t="inlineStr">
        <is>
          <t>208개 반도체 reference universe. Valuation Agent가 자체 intake 폴더로 복제해 Peer/ML/대시보드 비교에 사용.</t>
        </is>
      </c>
    </row>
    <row r="240" ht="24" customHeight="1">
      <c r="A240" s="29" t="inlineStr">
        <is>
          <t>162</t>
        </is>
      </c>
      <c r="B240" s="29" t="inlineStr">
        <is>
          <t>해당 없음</t>
        </is>
      </c>
      <c r="C240" s="29" t="inlineStr">
        <is>
          <t>리노공업</t>
        </is>
      </c>
      <c r="D240" s="29" t="inlineStr">
        <is>
          <t>058470</t>
        </is>
      </c>
      <c r="E240" s="29" t="inlineStr">
        <is>
          <t>KOSDAQ GLOBAL</t>
        </is>
      </c>
      <c r="F240" s="29" t="inlineStr">
        <is>
          <t>후공정/패키징/테스트</t>
        </is>
      </c>
      <c r="G240" s="29" t="inlineStr">
        <is>
          <t>후공정/패키징/테스트</t>
        </is>
      </c>
      <c r="H240" s="29" t="inlineStr">
        <is>
          <t>False</t>
        </is>
      </c>
      <c r="I240" s="29" t="inlineStr">
        <is>
          <t>True</t>
        </is>
      </c>
      <c r="J240" s="29" t="inlineStr">
        <is>
          <t>OK</t>
        </is>
      </c>
      <c r="K240" s="29" t="inlineStr">
        <is>
          <t>데이터 사용 가능</t>
        </is>
      </c>
      <c r="L240" s="29" t="inlineStr">
        <is>
          <t>LOW</t>
        </is>
      </c>
      <c r="M240" s="29" t="inlineStr">
        <is>
          <t>LOW</t>
        </is>
      </c>
      <c r="N240" s="29" t="inlineStr">
        <is>
          <t>0.6191111111111112</t>
        </is>
      </c>
      <c r="O240" s="29" t="inlineStr">
        <is>
          <t>ATTRACTIVE</t>
        </is>
      </c>
      <c r="P240" s="29" t="inlineStr">
        <is>
          <t>가치 매력</t>
        </is>
      </c>
      <c r="Q240" s="29" t="inlineStr">
        <is>
          <t>ATTRACTIVE</t>
        </is>
      </c>
      <c r="R240" s="29" t="inlineStr">
        <is>
          <t>0.6825301704423244</t>
        </is>
      </c>
      <c r="S240" s="29" t="inlineStr">
        <is>
          <t>MEDIUM</t>
        </is>
      </c>
      <c r="T240" s="29" t="inlineStr">
        <is>
          <t>MEDIUM</t>
        </is>
      </c>
      <c r="U240" s="29" t="inlineStr">
        <is>
          <t>0.0</t>
        </is>
      </c>
      <c r="V240" s="29" t="inlineStr">
        <is>
          <t>LOW_RISK</t>
        </is>
      </c>
      <c r="W240" s="29" t="inlineStr">
        <is>
          <t>저위험</t>
        </is>
      </c>
      <c r="X240" s="29" t="inlineStr">
        <is>
          <t>LOW_RISK</t>
        </is>
      </c>
      <c r="Y240" s="29" t="inlineStr">
        <is>
          <t>0.941163557572434</t>
        </is>
      </c>
      <c r="Z240" s="29" t="inlineStr">
        <is>
          <t>HIGH</t>
        </is>
      </c>
      <c r="AA240" s="29" t="inlineStr">
        <is>
          <t>HIGH</t>
        </is>
      </c>
      <c r="AB240" s="29" t="inlineStr">
        <is>
          <t>0.3137137380028342</t>
        </is>
      </c>
      <c r="AC240" s="29" t="inlineStr">
        <is>
          <t>True</t>
        </is>
      </c>
      <c r="AD240" s="29" t="inlineStr">
        <is>
          <t>True</t>
        </is>
      </c>
      <c r="AE240" s="29" t="inlineStr">
        <is>
          <t>valuation_credit_ml_overlay_candidate.csv</t>
        </is>
      </c>
      <c r="AF240" s="29" t="inlineStr">
        <is>
          <t>208개 반도체 reference universe. Valuation Agent가 자체 intake 폴더로 복제해 Peer/ML/대시보드 비교에 사용.</t>
        </is>
      </c>
    </row>
    <row r="241" ht="24" customHeight="1">
      <c r="A241" s="24" t="inlineStr">
        <is>
          <t>175</t>
        </is>
      </c>
      <c r="B241" s="24" t="inlineStr">
        <is>
          <t>해당 없음</t>
        </is>
      </c>
      <c r="C241" s="24" t="inlineStr">
        <is>
          <t>오킨스전자</t>
        </is>
      </c>
      <c r="D241" s="24" t="inlineStr">
        <is>
          <t>080580</t>
        </is>
      </c>
      <c r="E241" s="24" t="inlineStr">
        <is>
          <t>KOSDAQ</t>
        </is>
      </c>
      <c r="F241" s="24" t="inlineStr">
        <is>
          <t>후공정/패키징/테스트</t>
        </is>
      </c>
      <c r="G241" s="24" t="inlineStr">
        <is>
          <t>후공정/패키징/테스트</t>
        </is>
      </c>
      <c r="H241" s="24" t="inlineStr">
        <is>
          <t>False</t>
        </is>
      </c>
      <c r="I241" s="24" t="inlineStr">
        <is>
          <t>True</t>
        </is>
      </c>
      <c r="J241" s="24" t="inlineStr">
        <is>
          <t>OK</t>
        </is>
      </c>
      <c r="K241" s="24" t="inlineStr">
        <is>
          <t>데이터 사용 가능</t>
        </is>
      </c>
      <c r="L241" s="24" t="inlineStr">
        <is>
          <t>LOW</t>
        </is>
      </c>
      <c r="M241" s="24" t="inlineStr">
        <is>
          <t>LOW</t>
        </is>
      </c>
      <c r="N241" s="24" t="inlineStr">
        <is>
          <t>0.6062222222222222</t>
        </is>
      </c>
      <c r="O241" s="24" t="inlineStr">
        <is>
          <t>ATTRACTIVE</t>
        </is>
      </c>
      <c r="P241" s="24" t="inlineStr">
        <is>
          <t>가치 매력</t>
        </is>
      </c>
      <c r="Q241" s="24" t="inlineStr">
        <is>
          <t>ATTRACTIVE</t>
        </is>
      </c>
      <c r="R241" s="24" t="inlineStr">
        <is>
          <t>0.8105235691914331</t>
        </is>
      </c>
      <c r="S241" s="24" t="inlineStr">
        <is>
          <t>HIGH</t>
        </is>
      </c>
      <c r="T241" s="24" t="inlineStr">
        <is>
          <t>HIGH</t>
        </is>
      </c>
      <c r="U241" s="24" t="inlineStr">
        <is>
          <t>0.2142857142857142</t>
        </is>
      </c>
      <c r="V241" s="24" t="inlineStr">
        <is>
          <t>MEDIUM_RISK</t>
        </is>
      </c>
      <c r="W241" s="24" t="inlineStr">
        <is>
          <t>중위험</t>
        </is>
      </c>
      <c r="X241" s="24" t="inlineStr">
        <is>
          <t>MEDIUM_RISK</t>
        </is>
      </c>
      <c r="Y241" s="24" t="inlineStr">
        <is>
          <t>0.5565647223385506</t>
        </is>
      </c>
      <c r="Z241" s="24" t="inlineStr">
        <is>
          <t>MEDIUM</t>
        </is>
      </c>
      <c r="AA241" s="24" t="inlineStr">
        <is>
          <t>MEDIUM</t>
        </is>
      </c>
      <c r="AB241" s="24" t="inlineStr">
        <is>
          <t>0.05131400931985753</t>
        </is>
      </c>
      <c r="AC241" s="24" t="inlineStr">
        <is>
          <t>False</t>
        </is>
      </c>
      <c r="AD241" s="24" t="inlineStr">
        <is>
          <t>False</t>
        </is>
      </c>
      <c r="AE241" s="24" t="inlineStr">
        <is>
          <t>valuation_credit_ml_overlay_candidate.csv</t>
        </is>
      </c>
      <c r="AF241" s="24" t="inlineStr">
        <is>
          <t>208개 반도체 reference universe. Valuation Agent가 자체 intake 폴더로 복제해 Peer/ML/대시보드 비교에 사용.</t>
        </is>
      </c>
    </row>
    <row r="242" ht="24" customHeight="1">
      <c r="A242" s="29" t="inlineStr">
        <is>
          <t>160</t>
        </is>
      </c>
      <c r="B242" s="29" t="inlineStr">
        <is>
          <t>해당 없음</t>
        </is>
      </c>
      <c r="C242" s="29" t="inlineStr">
        <is>
          <t>디아이</t>
        </is>
      </c>
      <c r="D242" s="29" t="inlineStr">
        <is>
          <t>003160</t>
        </is>
      </c>
      <c r="E242" s="29" t="inlineStr">
        <is>
          <t>KOSPI</t>
        </is>
      </c>
      <c r="F242" s="29" t="inlineStr">
        <is>
          <t>후공정/패키징/테스트</t>
        </is>
      </c>
      <c r="G242" s="29" t="inlineStr">
        <is>
          <t>후공정/패키징/테스트</t>
        </is>
      </c>
      <c r="H242" s="29" t="inlineStr">
        <is>
          <t>False</t>
        </is>
      </c>
      <c r="I242" s="29" t="inlineStr">
        <is>
          <t>True</t>
        </is>
      </c>
      <c r="J242" s="29" t="inlineStr">
        <is>
          <t>OK</t>
        </is>
      </c>
      <c r="K242" s="29" t="inlineStr">
        <is>
          <t>데이터 사용 가능</t>
        </is>
      </c>
      <c r="L242" s="29" t="inlineStr">
        <is>
          <t>LOW</t>
        </is>
      </c>
      <c r="M242" s="29" t="inlineStr">
        <is>
          <t>LOW</t>
        </is>
      </c>
      <c r="N242" s="29" t="inlineStr">
        <is>
          <t>0.5875555555555555</t>
        </is>
      </c>
      <c r="O242" s="29" t="inlineStr">
        <is>
          <t>ATTRACTIVE</t>
        </is>
      </c>
      <c r="P242" s="29" t="inlineStr">
        <is>
          <t>가치 매력</t>
        </is>
      </c>
      <c r="Q242" s="29" t="inlineStr">
        <is>
          <t>ATTRACTIVE</t>
        </is>
      </c>
      <c r="R242" s="29" t="inlineStr">
        <is>
          <t>0.6560906263736197</t>
        </is>
      </c>
      <c r="S242" s="29" t="inlineStr">
        <is>
          <t>MEDIUM</t>
        </is>
      </c>
      <c r="T242" s="29" t="inlineStr">
        <is>
          <t>MEDIUM</t>
        </is>
      </c>
      <c r="U242" s="29" t="inlineStr">
        <is>
          <t>0.0714285714285714</t>
        </is>
      </c>
      <c r="V242" s="29" t="inlineStr">
        <is>
          <t>LOW_RISK</t>
        </is>
      </c>
      <c r="W242" s="29" t="inlineStr">
        <is>
          <t>저위험</t>
        </is>
      </c>
      <c r="X242" s="29" t="inlineStr">
        <is>
          <t>LOW_RISK</t>
        </is>
      </c>
      <c r="Y242" s="29" t="inlineStr">
        <is>
          <t>0.7571818581431954</t>
        </is>
      </c>
      <c r="Z242" s="29" t="inlineStr">
        <is>
          <t>HIGH</t>
        </is>
      </c>
      <c r="AA242" s="29" t="inlineStr">
        <is>
          <t>HIGH</t>
        </is>
      </c>
      <c r="AB242" s="29" t="inlineStr">
        <is>
          <t>0.027510707117244317</t>
        </is>
      </c>
      <c r="AC242" s="29" t="inlineStr">
        <is>
          <t>False</t>
        </is>
      </c>
      <c r="AD242" s="29" t="inlineStr">
        <is>
          <t>False</t>
        </is>
      </c>
      <c r="AE242" s="29" t="inlineStr">
        <is>
          <t>valuation_credit_ml_overlay_candidate.csv</t>
        </is>
      </c>
      <c r="AF242" s="29" t="inlineStr">
        <is>
          <t>208개 반도체 reference universe. Valuation Agent가 자체 intake 폴더로 복제해 Peer/ML/대시보드 비교에 사용.</t>
        </is>
      </c>
    </row>
    <row r="243" ht="24" customHeight="1">
      <c r="A243" s="24" t="inlineStr">
        <is>
          <t>174</t>
        </is>
      </c>
      <c r="B243" s="24" t="inlineStr">
        <is>
          <t>해당 없음</t>
        </is>
      </c>
      <c r="C243" s="24" t="inlineStr">
        <is>
          <t>엑시콘</t>
        </is>
      </c>
      <c r="D243" s="24" t="inlineStr">
        <is>
          <t>092870</t>
        </is>
      </c>
      <c r="E243" s="24" t="inlineStr">
        <is>
          <t>KOSDAQ</t>
        </is>
      </c>
      <c r="F243" s="24" t="inlineStr">
        <is>
          <t>후공정/패키징/테스트</t>
        </is>
      </c>
      <c r="G243" s="24" t="inlineStr">
        <is>
          <t>후공정/패키징/테스트</t>
        </is>
      </c>
      <c r="H243" s="24" t="inlineStr">
        <is>
          <t>False</t>
        </is>
      </c>
      <c r="I243" s="24" t="inlineStr">
        <is>
          <t>True</t>
        </is>
      </c>
      <c r="J243" s="24" t="inlineStr">
        <is>
          <t>OK</t>
        </is>
      </c>
      <c r="K243" s="24" t="inlineStr">
        <is>
          <t>데이터 사용 가능</t>
        </is>
      </c>
      <c r="L243" s="24" t="inlineStr">
        <is>
          <t>LOW</t>
        </is>
      </c>
      <c r="M243" s="24" t="inlineStr">
        <is>
          <t>LOW</t>
        </is>
      </c>
      <c r="N243" s="24" t="inlineStr">
        <is>
          <t>0.5711111111111111</t>
        </is>
      </c>
      <c r="O243" s="24" t="inlineStr">
        <is>
          <t>FAIR</t>
        </is>
      </c>
      <c r="P243" s="24" t="inlineStr">
        <is>
          <t>FAIR</t>
        </is>
      </c>
      <c r="Q243" s="24" t="inlineStr">
        <is>
          <t>FAIR</t>
        </is>
      </c>
      <c r="R243" s="24" t="inlineStr">
        <is>
          <t>0.7870958268046786</t>
        </is>
      </c>
      <c r="S243" s="24" t="inlineStr">
        <is>
          <t>HIGH</t>
        </is>
      </c>
      <c r="T243" s="24" t="inlineStr">
        <is>
          <t>HIGH</t>
        </is>
      </c>
      <c r="U243" s="24" t="inlineStr">
        <is>
          <t>0.2142857142857142</t>
        </is>
      </c>
      <c r="V243" s="24" t="inlineStr">
        <is>
          <t>MEDIUM_RISK</t>
        </is>
      </c>
      <c r="W243" s="24" t="inlineStr">
        <is>
          <t>중위험</t>
        </is>
      </c>
      <c r="X243" s="24" t="inlineStr">
        <is>
          <t>MEDIUM_RISK</t>
        </is>
      </c>
      <c r="Y243" s="24" t="inlineStr">
        <is>
          <t>0.6956414267155251</t>
        </is>
      </c>
      <c r="Z243" s="24" t="inlineStr">
        <is>
          <t>MEDIUM</t>
        </is>
      </c>
      <c r="AA243" s="24" t="inlineStr">
        <is>
          <t>MEDIUM</t>
        </is>
      </c>
      <c r="AB243" s="24" t="inlineStr">
        <is>
          <t>0.09079387845598708</t>
        </is>
      </c>
      <c r="AC243" s="24" t="inlineStr">
        <is>
          <t>False</t>
        </is>
      </c>
      <c r="AD243" s="24" t="inlineStr">
        <is>
          <t>False</t>
        </is>
      </c>
      <c r="AE243" s="24" t="inlineStr">
        <is>
          <t>valuation_credit_ml_overlay_candidate.csv</t>
        </is>
      </c>
      <c r="AF243" s="24" t="inlineStr">
        <is>
          <t>208개 반도체 reference universe. Valuation Agent가 자체 intake 폴더로 복제해 Peer/ML/대시보드 비교에 사용.</t>
        </is>
      </c>
    </row>
    <row r="244" ht="24" customHeight="1">
      <c r="A244" s="29" t="inlineStr">
        <is>
          <t>177</t>
        </is>
      </c>
      <c r="B244" s="29" t="inlineStr">
        <is>
          <t>해당 없음</t>
        </is>
      </c>
      <c r="C244" s="29" t="inlineStr">
        <is>
          <t>우리이앤엘하루틴</t>
        </is>
      </c>
      <c r="D244" s="29" t="inlineStr">
        <is>
          <t>153490</t>
        </is>
      </c>
      <c r="E244" s="29" t="inlineStr">
        <is>
          <t>KOSDAQ</t>
        </is>
      </c>
      <c r="F244" s="29" t="inlineStr">
        <is>
          <t>후공정/패키징/테스트</t>
        </is>
      </c>
      <c r="G244" s="29" t="inlineStr">
        <is>
          <t>후공정/패키징/테스트</t>
        </is>
      </c>
      <c r="H244" s="29" t="inlineStr">
        <is>
          <t>False</t>
        </is>
      </c>
      <c r="I244" s="29" t="inlineStr">
        <is>
          <t>True</t>
        </is>
      </c>
      <c r="J244" s="29" t="inlineStr">
        <is>
          <t>OK</t>
        </is>
      </c>
      <c r="K244" s="29" t="inlineStr">
        <is>
          <t>데이터 사용 가능</t>
        </is>
      </c>
      <c r="L244" s="29" t="inlineStr">
        <is>
          <t>LOW</t>
        </is>
      </c>
      <c r="M244" s="29" t="inlineStr">
        <is>
          <t>LOW</t>
        </is>
      </c>
      <c r="N244" s="29" t="inlineStr">
        <is>
          <t>0.5598518518518519</t>
        </is>
      </c>
      <c r="O244" s="29" t="inlineStr">
        <is>
          <t>FAIR</t>
        </is>
      </c>
      <c r="P244" s="29" t="inlineStr">
        <is>
          <t>FAIR</t>
        </is>
      </c>
      <c r="Q244" s="29" t="inlineStr">
        <is>
          <t>FAIR</t>
        </is>
      </c>
      <c r="R244" s="29" t="inlineStr">
        <is>
          <t>0.803860880134826</t>
        </is>
      </c>
      <c r="S244" s="29" t="inlineStr">
        <is>
          <t>HIGH</t>
        </is>
      </c>
      <c r="T244" s="29" t="inlineStr">
        <is>
          <t>HIGH</t>
        </is>
      </c>
      <c r="U244" s="29" t="inlineStr">
        <is>
          <t>0.1428571428571428</t>
        </is>
      </c>
      <c r="V244" s="29" t="inlineStr">
        <is>
          <t>LOW_RISK</t>
        </is>
      </c>
      <c r="W244" s="29" t="inlineStr">
        <is>
          <t>저위험</t>
        </is>
      </c>
      <c r="X244" s="29" t="inlineStr">
        <is>
          <t>LOW_RISK</t>
        </is>
      </c>
      <c r="Y244" s="29" t="inlineStr">
        <is>
          <t>0.5263237628250668</t>
        </is>
      </c>
      <c r="Z244" s="29" t="inlineStr">
        <is>
          <t>MEDIUM</t>
        </is>
      </c>
      <c r="AA244" s="29" t="inlineStr">
        <is>
          <t>MEDIUM</t>
        </is>
      </c>
      <c r="AB244" s="29" t="inlineStr">
        <is>
          <t>0.12425981563248314</t>
        </is>
      </c>
      <c r="AC244" s="29" t="inlineStr">
        <is>
          <t>False</t>
        </is>
      </c>
      <c r="AD244" s="29" t="inlineStr">
        <is>
          <t>False</t>
        </is>
      </c>
      <c r="AE244" s="29" t="inlineStr">
        <is>
          <t>valuation_credit_ml_overlay_candidate.csv</t>
        </is>
      </c>
      <c r="AF244" s="29" t="inlineStr">
        <is>
          <t>208개 반도체 reference universe. Valuation Agent가 자체 intake 폴더로 복제해 Peer/ML/대시보드 비교에 사용.</t>
        </is>
      </c>
    </row>
    <row r="245" ht="24" customHeight="1">
      <c r="A245" s="24" t="inlineStr">
        <is>
          <t>176</t>
        </is>
      </c>
      <c r="B245" s="24" t="inlineStr">
        <is>
          <t>해당 없음</t>
        </is>
      </c>
      <c r="C245" s="24" t="inlineStr">
        <is>
          <t>와이씨</t>
        </is>
      </c>
      <c r="D245" s="24" t="inlineStr">
        <is>
          <t>232140</t>
        </is>
      </c>
      <c r="E245" s="24" t="inlineStr">
        <is>
          <t>KOSDAQ</t>
        </is>
      </c>
      <c r="F245" s="24" t="inlineStr">
        <is>
          <t>후공정/패키징/테스트</t>
        </is>
      </c>
      <c r="G245" s="24" t="inlineStr">
        <is>
          <t>후공정/패키징/테스트</t>
        </is>
      </c>
      <c r="H245" s="24" t="inlineStr">
        <is>
          <t>False</t>
        </is>
      </c>
      <c r="I245" s="24" t="inlineStr">
        <is>
          <t>True</t>
        </is>
      </c>
      <c r="J245" s="24" t="inlineStr">
        <is>
          <t>OK</t>
        </is>
      </c>
      <c r="K245" s="24" t="inlineStr">
        <is>
          <t>데이터 사용 가능</t>
        </is>
      </c>
      <c r="L245" s="24" t="inlineStr">
        <is>
          <t>LOW</t>
        </is>
      </c>
      <c r="M245" s="24" t="inlineStr">
        <is>
          <t>LOW</t>
        </is>
      </c>
      <c r="N245" s="24" t="inlineStr">
        <is>
          <t>0.5573333333333333</t>
        </is>
      </c>
      <c r="O245" s="24" t="inlineStr">
        <is>
          <t>FAIR</t>
        </is>
      </c>
      <c r="P245" s="24" t="inlineStr">
        <is>
          <t>FAIR</t>
        </is>
      </c>
      <c r="Q245" s="24" t="inlineStr">
        <is>
          <t>FAIR</t>
        </is>
      </c>
      <c r="R245" s="24" t="inlineStr">
        <is>
          <t>0.5813875575219858</t>
        </is>
      </c>
      <c r="S245" s="24" t="inlineStr">
        <is>
          <t>MEDIUM</t>
        </is>
      </c>
      <c r="T245" s="24" t="inlineStr">
        <is>
          <t>MEDIUM</t>
        </is>
      </c>
      <c r="U245" s="24" t="inlineStr">
        <is>
          <t>0.0</t>
        </is>
      </c>
      <c r="V245" s="24" t="inlineStr">
        <is>
          <t>LOW_RISK</t>
        </is>
      </c>
      <c r="W245" s="24" t="inlineStr">
        <is>
          <t>저위험</t>
        </is>
      </c>
      <c r="X245" s="24" t="inlineStr">
        <is>
          <t>LOW_RISK</t>
        </is>
      </c>
      <c r="Y245" s="24" t="inlineStr">
        <is>
          <t>0.9779169949984006</t>
        </is>
      </c>
      <c r="Z245" s="24" t="inlineStr">
        <is>
          <t>HIGH</t>
        </is>
      </c>
      <c r="AA245" s="24" t="inlineStr">
        <is>
          <t>HIGH</t>
        </is>
      </c>
      <c r="AB245" s="24" t="inlineStr">
        <is>
          <t>0.027903490153269303</t>
        </is>
      </c>
      <c r="AC245" s="24" t="inlineStr">
        <is>
          <t>False</t>
        </is>
      </c>
      <c r="AD245" s="24" t="inlineStr">
        <is>
          <t>False</t>
        </is>
      </c>
      <c r="AE245" s="24" t="inlineStr">
        <is>
          <t>valuation_credit_ml_overlay_candidate.csv</t>
        </is>
      </c>
      <c r="AF245" s="24" t="inlineStr">
        <is>
          <t>208개 반도체 reference universe. Valuation Agent가 자체 intake 폴더로 복제해 Peer/ML/대시보드 비교에 사용.</t>
        </is>
      </c>
    </row>
    <row r="246" ht="24" customHeight="1">
      <c r="A246" s="29" t="inlineStr">
        <is>
          <t>155</t>
        </is>
      </c>
      <c r="B246" s="29" t="inlineStr">
        <is>
          <t>해당 없음</t>
        </is>
      </c>
      <c r="C246" s="29" t="inlineStr">
        <is>
          <t>기가비스</t>
        </is>
      </c>
      <c r="D246" s="29" t="inlineStr">
        <is>
          <t>420770</t>
        </is>
      </c>
      <c r="E246" s="29" t="inlineStr">
        <is>
          <t>KOSDAQ</t>
        </is>
      </c>
      <c r="F246" s="29" t="inlineStr">
        <is>
          <t>후공정/패키징/테스트</t>
        </is>
      </c>
      <c r="G246" s="29" t="inlineStr">
        <is>
          <t>후공정/패키징/테스트</t>
        </is>
      </c>
      <c r="H246" s="29" t="inlineStr">
        <is>
          <t>False</t>
        </is>
      </c>
      <c r="I246" s="29" t="inlineStr">
        <is>
          <t>True</t>
        </is>
      </c>
      <c r="J246" s="29" t="inlineStr">
        <is>
          <t>OK_LIMITED_HISTORY_OR_GROWTH_NA</t>
        </is>
      </c>
      <c r="K246" s="29" t="inlineStr">
        <is>
          <t>데이터 사용 가능</t>
        </is>
      </c>
      <c r="L246" s="29" t="inlineStr">
        <is>
          <t>LOW</t>
        </is>
      </c>
      <c r="M246" s="29" t="inlineStr">
        <is>
          <t>LOW</t>
        </is>
      </c>
      <c r="N246" s="29" t="inlineStr">
        <is>
          <t>0.5544444444444445</t>
        </is>
      </c>
      <c r="O246" s="29" t="inlineStr">
        <is>
          <t>FAIR</t>
        </is>
      </c>
      <c r="P246" s="29" t="inlineStr">
        <is>
          <t>FAIR</t>
        </is>
      </c>
      <c r="Q246" s="29" t="inlineStr">
        <is>
          <t>FAIR</t>
        </is>
      </c>
      <c r="R246" s="29" t="inlineStr">
        <is>
          <t>0.604283449323821</t>
        </is>
      </c>
      <c r="S246" s="29" t="inlineStr">
        <is>
          <t>MEDIUM</t>
        </is>
      </c>
      <c r="T246" s="29" t="inlineStr">
        <is>
          <t>MEDIUM</t>
        </is>
      </c>
      <c r="U246" s="29" t="inlineStr">
        <is>
          <t>0.0714285714285714</t>
        </is>
      </c>
      <c r="V246" s="29" t="inlineStr">
        <is>
          <t>LOW_RISK</t>
        </is>
      </c>
      <c r="W246" s="29" t="inlineStr">
        <is>
          <t>저위험</t>
        </is>
      </c>
      <c r="X246" s="29" t="inlineStr">
        <is>
          <t>LOW_RISK</t>
        </is>
      </c>
      <c r="Y246" s="29" t="inlineStr">
        <is>
          <t>0.9462252670112353</t>
        </is>
      </c>
      <c r="Z246" s="29" t="inlineStr">
        <is>
          <t>HIGH</t>
        </is>
      </c>
      <c r="AA246" s="29" t="inlineStr">
        <is>
          <t>HIGH</t>
        </is>
      </c>
      <c r="AB246" s="29" t="inlineStr">
        <is>
          <t>0.34444594339538714</t>
        </is>
      </c>
      <c r="AC246" s="29" t="inlineStr">
        <is>
          <t>True</t>
        </is>
      </c>
      <c r="AD246" s="29" t="inlineStr">
        <is>
          <t>True</t>
        </is>
      </c>
      <c r="AE246" s="29" t="inlineStr">
        <is>
          <t>valuation_credit_ml_overlay_candidate.csv</t>
        </is>
      </c>
      <c r="AF246" s="29" t="inlineStr">
        <is>
          <t>208개 반도체 reference universe. Valuation Agent가 자체 intake 폴더로 복제해 Peer/ML/대시보드 비교에 사용.</t>
        </is>
      </c>
    </row>
    <row r="247" ht="24" customHeight="1">
      <c r="A247" s="24" t="inlineStr">
        <is>
          <t>194</t>
        </is>
      </c>
      <c r="B247" s="24" t="inlineStr">
        <is>
          <t>해당 없음</t>
        </is>
      </c>
      <c r="C247" s="24" t="inlineStr">
        <is>
          <t>해성디에스</t>
        </is>
      </c>
      <c r="D247" s="24" t="inlineStr">
        <is>
          <t>195870</t>
        </is>
      </c>
      <c r="E247" s="24" t="inlineStr">
        <is>
          <t>KOSPI</t>
        </is>
      </c>
      <c r="F247" s="24" t="inlineStr">
        <is>
          <t>후공정/패키징/테스트</t>
        </is>
      </c>
      <c r="G247" s="24" t="inlineStr">
        <is>
          <t>후공정/패키징/테스트</t>
        </is>
      </c>
      <c r="H247" s="24" t="inlineStr">
        <is>
          <t>False</t>
        </is>
      </c>
      <c r="I247" s="24" t="inlineStr">
        <is>
          <t>True</t>
        </is>
      </c>
      <c r="J247" s="24" t="inlineStr">
        <is>
          <t>OK</t>
        </is>
      </c>
      <c r="K247" s="24" t="inlineStr">
        <is>
          <t>데이터 사용 가능</t>
        </is>
      </c>
      <c r="L247" s="24" t="inlineStr">
        <is>
          <t>LOW</t>
        </is>
      </c>
      <c r="M247" s="24" t="inlineStr">
        <is>
          <t>LOW</t>
        </is>
      </c>
      <c r="N247" s="24" t="inlineStr">
        <is>
          <t>0.5333333333333333</t>
        </is>
      </c>
      <c r="O247" s="24" t="inlineStr">
        <is>
          <t>FAIR</t>
        </is>
      </c>
      <c r="P247" s="24" t="inlineStr">
        <is>
          <t>FAIR</t>
        </is>
      </c>
      <c r="Q247" s="24" t="inlineStr">
        <is>
          <t>FAIR</t>
        </is>
      </c>
      <c r="R247" s="24" t="inlineStr">
        <is>
          <t>0.8942165906576592</t>
        </is>
      </c>
      <c r="S247" s="24" t="inlineStr">
        <is>
          <t>HIGH</t>
        </is>
      </c>
      <c r="T247" s="24" t="inlineStr">
        <is>
          <t>HIGH</t>
        </is>
      </c>
      <c r="U247" s="24" t="inlineStr">
        <is>
          <t>0.0714285714285714</t>
        </is>
      </c>
      <c r="V247" s="24" t="inlineStr">
        <is>
          <t>LOW_RISK</t>
        </is>
      </c>
      <c r="W247" s="24" t="inlineStr">
        <is>
          <t>저위험</t>
        </is>
      </c>
      <c r="X247" s="24" t="inlineStr">
        <is>
          <t>LOW_RISK</t>
        </is>
      </c>
      <c r="Y247" s="24" t="inlineStr">
        <is>
          <t>0.7552918248784374</t>
        </is>
      </c>
      <c r="Z247" s="24" t="inlineStr">
        <is>
          <t>HIGH</t>
        </is>
      </c>
      <c r="AA247" s="24" t="inlineStr">
        <is>
          <t>HIGH</t>
        </is>
      </c>
      <c r="AB247" s="24" t="inlineStr">
        <is>
          <t>0.0</t>
        </is>
      </c>
      <c r="AC247" s="24" t="inlineStr">
        <is>
          <t>False</t>
        </is>
      </c>
      <c r="AD247" s="24" t="inlineStr">
        <is>
          <t>False</t>
        </is>
      </c>
      <c r="AE247" s="24" t="inlineStr">
        <is>
          <t>valuation_credit_ml_overlay_candidate.csv</t>
        </is>
      </c>
      <c r="AF247" s="24" t="inlineStr">
        <is>
          <t>208개 반도체 reference universe. Valuation Agent가 자체 intake 폴더로 복제해 Peer/ML/대시보드 비교에 사용.</t>
        </is>
      </c>
    </row>
    <row r="248" ht="24" customHeight="1">
      <c r="A248" s="29" t="inlineStr">
        <is>
          <t>150</t>
        </is>
      </c>
      <c r="B248" s="29" t="inlineStr">
        <is>
          <t>해당 없음</t>
        </is>
      </c>
      <c r="C248" s="29" t="inlineStr">
        <is>
          <t>ISC</t>
        </is>
      </c>
      <c r="D248" s="29" t="inlineStr">
        <is>
          <t>095340</t>
        </is>
      </c>
      <c r="E248" s="29" t="inlineStr">
        <is>
          <t>KOSDAQ GLOBAL</t>
        </is>
      </c>
      <c r="F248" s="29" t="inlineStr">
        <is>
          <t>후공정/패키징/테스트</t>
        </is>
      </c>
      <c r="G248" s="29" t="inlineStr">
        <is>
          <t>후공정/패키징/테스트</t>
        </is>
      </c>
      <c r="H248" s="29" t="inlineStr">
        <is>
          <t>False</t>
        </is>
      </c>
      <c r="I248" s="29" t="inlineStr">
        <is>
          <t>True</t>
        </is>
      </c>
      <c r="J248" s="29" t="inlineStr">
        <is>
          <t>OK</t>
        </is>
      </c>
      <c r="K248" s="29" t="inlineStr">
        <is>
          <t>데이터 사용 가능</t>
        </is>
      </c>
      <c r="L248" s="29" t="inlineStr">
        <is>
          <t>LOW</t>
        </is>
      </c>
      <c r="M248" s="29" t="inlineStr">
        <is>
          <t>LOW</t>
        </is>
      </c>
      <c r="N248" s="29" t="inlineStr">
        <is>
          <t>0.5176296296296296</t>
        </is>
      </c>
      <c r="O248" s="29" t="inlineStr">
        <is>
          <t>FAIR</t>
        </is>
      </c>
      <c r="P248" s="29" t="inlineStr">
        <is>
          <t>FAIR</t>
        </is>
      </c>
      <c r="Q248" s="29" t="inlineStr">
        <is>
          <t>FAIR</t>
        </is>
      </c>
      <c r="R248" s="29" t="inlineStr">
        <is>
          <t>0.5753148434947495</t>
        </is>
      </c>
      <c r="S248" s="29" t="inlineStr">
        <is>
          <t>MEDIUM</t>
        </is>
      </c>
      <c r="T248" s="29" t="inlineStr">
        <is>
          <t>MEDIUM</t>
        </is>
      </c>
      <c r="U248" s="29" t="inlineStr">
        <is>
          <t>0.0</t>
        </is>
      </c>
      <c r="V248" s="29" t="inlineStr">
        <is>
          <t>LOW_RISK</t>
        </is>
      </c>
      <c r="W248" s="29" t="inlineStr">
        <is>
          <t>저위험</t>
        </is>
      </c>
      <c r="X248" s="29" t="inlineStr">
        <is>
          <t>LOW_RISK</t>
        </is>
      </c>
      <c r="Y248" s="29" t="inlineStr">
        <is>
          <t>0.9755870924998499</t>
        </is>
      </c>
      <c r="Z248" s="29" t="inlineStr">
        <is>
          <t>HIGH</t>
        </is>
      </c>
      <c r="AA248" s="29" t="inlineStr">
        <is>
          <t>HIGH</t>
        </is>
      </c>
      <c r="AB248" s="29" t="inlineStr">
        <is>
          <t>0.14006921921799445</t>
        </is>
      </c>
      <c r="AC248" s="29" t="inlineStr">
        <is>
          <t>False</t>
        </is>
      </c>
      <c r="AD248" s="29" t="inlineStr">
        <is>
          <t>False</t>
        </is>
      </c>
      <c r="AE248" s="29" t="inlineStr">
        <is>
          <t>valuation_credit_ml_overlay_candidate.csv</t>
        </is>
      </c>
      <c r="AF248" s="29" t="inlineStr">
        <is>
          <t>208개 반도체 reference universe. Valuation Agent가 자체 intake 폴더로 복제해 Peer/ML/대시보드 비교에 사용.</t>
        </is>
      </c>
    </row>
    <row r="249" ht="24" customHeight="1">
      <c r="A249" s="24" t="inlineStr">
        <is>
          <t>173</t>
        </is>
      </c>
      <c r="B249" s="24" t="inlineStr">
        <is>
          <t>해당 없음</t>
        </is>
      </c>
      <c r="C249" s="24" t="inlineStr">
        <is>
          <t>에이팩트</t>
        </is>
      </c>
      <c r="D249" s="24" t="inlineStr">
        <is>
          <t>200470</t>
        </is>
      </c>
      <c r="E249" s="24" t="inlineStr">
        <is>
          <t>KOSDAQ</t>
        </is>
      </c>
      <c r="F249" s="24" t="inlineStr">
        <is>
          <t>후공정/패키징/테스트</t>
        </is>
      </c>
      <c r="G249" s="24" t="inlineStr">
        <is>
          <t>후공정/패키징/테스트</t>
        </is>
      </c>
      <c r="H249" s="24" t="inlineStr">
        <is>
          <t>False</t>
        </is>
      </c>
      <c r="I249" s="24" t="inlineStr">
        <is>
          <t>True</t>
        </is>
      </c>
      <c r="J249" s="24" t="inlineStr">
        <is>
          <t>OK</t>
        </is>
      </c>
      <c r="K249" s="24" t="inlineStr">
        <is>
          <t>데이터 사용 가능</t>
        </is>
      </c>
      <c r="L249" s="24" t="inlineStr">
        <is>
          <t>LOW</t>
        </is>
      </c>
      <c r="M249" s="24" t="inlineStr">
        <is>
          <t>LOW</t>
        </is>
      </c>
      <c r="N249" s="24" t="inlineStr">
        <is>
          <t>0.5026666666666667</t>
        </is>
      </c>
      <c r="O249" s="24" t="inlineStr">
        <is>
          <t>FAIR</t>
        </is>
      </c>
      <c r="P249" s="24" t="inlineStr">
        <is>
          <t>FAIR</t>
        </is>
      </c>
      <c r="Q249" s="24" t="inlineStr">
        <is>
          <t>FAIR</t>
        </is>
      </c>
      <c r="R249" s="24" t="inlineStr">
        <is>
          <t>0.8010795762920226</t>
        </is>
      </c>
      <c r="S249" s="24" t="inlineStr">
        <is>
          <t>HIGH</t>
        </is>
      </c>
      <c r="T249" s="24" t="inlineStr">
        <is>
          <t>HIGH</t>
        </is>
      </c>
      <c r="U249" s="24" t="inlineStr">
        <is>
          <t>0.4285714285714285</t>
        </is>
      </c>
      <c r="V249" s="24" t="inlineStr">
        <is>
          <t>HIGH_RISK</t>
        </is>
      </c>
      <c r="W249" s="24" t="inlineStr">
        <is>
          <t>고위험</t>
        </is>
      </c>
      <c r="X249" s="24" t="inlineStr">
        <is>
          <t>MEDIUM_RISK</t>
        </is>
      </c>
      <c r="Y249" s="24" t="inlineStr">
        <is>
          <t>0.40666664980482187</t>
        </is>
      </c>
      <c r="Z249" s="24" t="inlineStr">
        <is>
          <t>LOW</t>
        </is>
      </c>
      <c r="AA249" s="24" t="inlineStr">
        <is>
          <t>LOW</t>
        </is>
      </c>
      <c r="AB249" s="24" t="inlineStr">
        <is>
          <t>0.060282917359955154</t>
        </is>
      </c>
      <c r="AC249" s="24" t="inlineStr">
        <is>
          <t>False</t>
        </is>
      </c>
      <c r="AD249" s="24" t="inlineStr">
        <is>
          <t>True</t>
        </is>
      </c>
      <c r="AE249" s="24" t="inlineStr">
        <is>
          <t>valuation_credit_ml_overlay_candidate.csv</t>
        </is>
      </c>
      <c r="AF249" s="24" t="inlineStr">
        <is>
          <t>208개 반도체 reference universe. Valuation Agent가 자체 intake 폴더로 복제해 Peer/ML/대시보드 비교에 사용.</t>
        </is>
      </c>
    </row>
    <row r="250" ht="24" customHeight="1">
      <c r="A250" s="29" t="inlineStr">
        <is>
          <t>166</t>
        </is>
      </c>
      <c r="B250" s="29" t="inlineStr">
        <is>
          <t>해당 없음</t>
        </is>
      </c>
      <c r="C250" s="29" t="inlineStr">
        <is>
          <t>삼성전기</t>
        </is>
      </c>
      <c r="D250" s="29" t="inlineStr">
        <is>
          <t>009150</t>
        </is>
      </c>
      <c r="E250" s="29" t="inlineStr">
        <is>
          <t>KOSPI</t>
        </is>
      </c>
      <c r="F250" s="29" t="inlineStr">
        <is>
          <t>후공정/패키징/테스트</t>
        </is>
      </c>
      <c r="G250" s="29" t="inlineStr">
        <is>
          <t>후공정/패키징/테스트</t>
        </is>
      </c>
      <c r="H250" s="29" t="inlineStr">
        <is>
          <t>False</t>
        </is>
      </c>
      <c r="I250" s="29" t="inlineStr">
        <is>
          <t>True</t>
        </is>
      </c>
      <c r="J250" s="29" t="inlineStr">
        <is>
          <t>OK</t>
        </is>
      </c>
      <c r="K250" s="29" t="inlineStr">
        <is>
          <t>데이터 사용 가능</t>
        </is>
      </c>
      <c r="L250" s="29" t="inlineStr">
        <is>
          <t>LOW</t>
        </is>
      </c>
      <c r="M250" s="29" t="inlineStr">
        <is>
          <t>LOW</t>
        </is>
      </c>
      <c r="N250" s="29" t="inlineStr">
        <is>
          <t>0.4957037037037037</t>
        </is>
      </c>
      <c r="O250" s="29" t="inlineStr">
        <is>
          <t>FAIR</t>
        </is>
      </c>
      <c r="P250" s="29" t="inlineStr">
        <is>
          <t>FAIR</t>
        </is>
      </c>
      <c r="Q250" s="29" t="inlineStr">
        <is>
          <t>FAIR</t>
        </is>
      </c>
      <c r="R250" s="29" t="inlineStr">
        <is>
          <t>0.5297655139045552</t>
        </is>
      </c>
      <c r="S250" s="29" t="inlineStr">
        <is>
          <t>MEDIUM</t>
        </is>
      </c>
      <c r="T250" s="29" t="inlineStr">
        <is>
          <t>MEDIUM</t>
        </is>
      </c>
      <c r="U250" s="29" t="inlineStr">
        <is>
          <t>0.0</t>
        </is>
      </c>
      <c r="V250" s="29" t="inlineStr">
        <is>
          <t>LOW_RISK</t>
        </is>
      </c>
      <c r="W250" s="29" t="inlineStr">
        <is>
          <t>저위험</t>
        </is>
      </c>
      <c r="X250" s="29" t="inlineStr">
        <is>
          <t>LOW_RISK</t>
        </is>
      </c>
      <c r="Y250" s="29" t="inlineStr">
        <is>
          <t>0.9613637696053304</t>
        </is>
      </c>
      <c r="Z250" s="29" t="inlineStr">
        <is>
          <t>HIGH</t>
        </is>
      </c>
      <c r="AA250" s="29" t="inlineStr">
        <is>
          <t>HIGH</t>
        </is>
      </c>
      <c r="AB250" s="29" t="inlineStr">
        <is>
          <t>0.09523408011479967</t>
        </is>
      </c>
      <c r="AC250" s="29" t="inlineStr">
        <is>
          <t>False</t>
        </is>
      </c>
      <c r="AD250" s="29" t="inlineStr">
        <is>
          <t>False</t>
        </is>
      </c>
      <c r="AE250" s="29" t="inlineStr">
        <is>
          <t>valuation_credit_ml_overlay_candidate.csv</t>
        </is>
      </c>
      <c r="AF250" s="29" t="inlineStr">
        <is>
          <t>208개 반도체 reference universe. Valuation Agent가 자체 intake 폴더로 복제해 Peer/ML/대시보드 비교에 사용.</t>
        </is>
      </c>
    </row>
    <row r="251" ht="24" customHeight="1">
      <c r="A251" s="24" t="inlineStr">
        <is>
          <t>171</t>
        </is>
      </c>
      <c r="B251" s="24" t="inlineStr">
        <is>
          <t>해당 없음</t>
        </is>
      </c>
      <c r="C251" s="24" t="inlineStr">
        <is>
          <t>에이엘티</t>
        </is>
      </c>
      <c r="D251" s="24" t="inlineStr">
        <is>
          <t>172670</t>
        </is>
      </c>
      <c r="E251" s="24" t="inlineStr">
        <is>
          <t>KOSDAQ</t>
        </is>
      </c>
      <c r="F251" s="24" t="inlineStr">
        <is>
          <t>후공정/패키징/테스트</t>
        </is>
      </c>
      <c r="G251" s="24" t="inlineStr">
        <is>
          <t>후공정/패키징/테스트</t>
        </is>
      </c>
      <c r="H251" s="24" t="inlineStr">
        <is>
          <t>False</t>
        </is>
      </c>
      <c r="I251" s="24" t="inlineStr">
        <is>
          <t>True</t>
        </is>
      </c>
      <c r="J251" s="24" t="inlineStr">
        <is>
          <t>OK</t>
        </is>
      </c>
      <c r="K251" s="24" t="inlineStr">
        <is>
          <t>데이터 사용 가능</t>
        </is>
      </c>
      <c r="L251" s="24" t="inlineStr">
        <is>
          <t>LOW</t>
        </is>
      </c>
      <c r="M251" s="24" t="inlineStr">
        <is>
          <t>LOW</t>
        </is>
      </c>
      <c r="N251" s="24" t="inlineStr">
        <is>
          <t>0.4877037037037036</t>
        </is>
      </c>
      <c r="O251" s="24" t="inlineStr">
        <is>
          <t>FAIR</t>
        </is>
      </c>
      <c r="P251" s="24" t="inlineStr">
        <is>
          <t>FAIR</t>
        </is>
      </c>
      <c r="Q251" s="24" t="inlineStr">
        <is>
          <t>FAIR</t>
        </is>
      </c>
      <c r="R251" s="24" t="inlineStr">
        <is>
          <t>0.5308622758067901</t>
        </is>
      </c>
      <c r="S251" s="24" t="inlineStr">
        <is>
          <t>MEDIUM</t>
        </is>
      </c>
      <c r="T251" s="24" t="inlineStr">
        <is>
          <t>MEDIUM</t>
        </is>
      </c>
      <c r="U251" s="24" t="inlineStr">
        <is>
          <t>0.3571428571428571</t>
        </is>
      </c>
      <c r="V251" s="24" t="inlineStr">
        <is>
          <t>MEDIUM_RISK</t>
        </is>
      </c>
      <c r="W251" s="24" t="inlineStr">
        <is>
          <t>중위험</t>
        </is>
      </c>
      <c r="X251" s="24" t="inlineStr">
        <is>
          <t>MEDIUM_RISK</t>
        </is>
      </c>
      <c r="Y251" s="24" t="inlineStr">
        <is>
          <t>0.6934148613969219</t>
        </is>
      </c>
      <c r="Z251" s="24" t="inlineStr">
        <is>
          <t>MEDIUM</t>
        </is>
      </c>
      <c r="AA251" s="24" t="inlineStr">
        <is>
          <t>MEDIUM</t>
        </is>
      </c>
      <c r="AB251" s="24" t="inlineStr">
        <is>
          <t>0.07946889412350498</t>
        </is>
      </c>
      <c r="AC251" s="24" t="inlineStr">
        <is>
          <t>False</t>
        </is>
      </c>
      <c r="AD251" s="24" t="inlineStr">
        <is>
          <t>False</t>
        </is>
      </c>
      <c r="AE251" s="24" t="inlineStr">
        <is>
          <t>valuation_credit_ml_overlay_candidate.csv</t>
        </is>
      </c>
      <c r="AF251" s="24" t="inlineStr">
        <is>
          <t>208개 반도체 reference universe. Valuation Agent가 자체 intake 폴더로 복제해 Peer/ML/대시보드 비교에 사용.</t>
        </is>
      </c>
    </row>
    <row r="252" ht="24" customHeight="1">
      <c r="A252" s="29" t="inlineStr">
        <is>
          <t>184</t>
        </is>
      </c>
      <c r="B252" s="29" t="inlineStr">
        <is>
          <t>해당 없음</t>
        </is>
      </c>
      <c r="C252" s="29" t="inlineStr">
        <is>
          <t>큐알티</t>
        </is>
      </c>
      <c r="D252" s="29" t="inlineStr">
        <is>
          <t>405100</t>
        </is>
      </c>
      <c r="E252" s="29" t="inlineStr">
        <is>
          <t>KOSDAQ</t>
        </is>
      </c>
      <c r="F252" s="29" t="inlineStr">
        <is>
          <t>후공정/패키징/테스트</t>
        </is>
      </c>
      <c r="G252" s="29" t="inlineStr">
        <is>
          <t>후공정/패키징/테스트</t>
        </is>
      </c>
      <c r="H252" s="29" t="inlineStr">
        <is>
          <t>False</t>
        </is>
      </c>
      <c r="I252" s="29" t="inlineStr">
        <is>
          <t>True</t>
        </is>
      </c>
      <c r="J252" s="29" t="inlineStr">
        <is>
          <t>OK</t>
        </is>
      </c>
      <c r="K252" s="29" t="inlineStr">
        <is>
          <t>데이터 사용 가능</t>
        </is>
      </c>
      <c r="L252" s="29" t="inlineStr">
        <is>
          <t>LOW</t>
        </is>
      </c>
      <c r="M252" s="29" t="inlineStr">
        <is>
          <t>LOW</t>
        </is>
      </c>
      <c r="N252" s="29" t="inlineStr">
        <is>
          <t>0.4782222222222222</t>
        </is>
      </c>
      <c r="O252" s="29" t="inlineStr">
        <is>
          <t>FAIR</t>
        </is>
      </c>
      <c r="P252" s="29" t="inlineStr">
        <is>
          <t>FAIR</t>
        </is>
      </c>
      <c r="Q252" s="29" t="inlineStr">
        <is>
          <t>ATTRACTIVE</t>
        </is>
      </c>
      <c r="R252" s="29" t="inlineStr">
        <is>
          <t>0.4463498311096922</t>
        </is>
      </c>
      <c r="S252" s="29" t="inlineStr">
        <is>
          <t>LOW</t>
        </is>
      </c>
      <c r="T252" s="29" t="inlineStr">
        <is>
          <t>LOW</t>
        </is>
      </c>
      <c r="U252" s="29" t="inlineStr">
        <is>
          <t>0.0</t>
        </is>
      </c>
      <c r="V252" s="29" t="inlineStr">
        <is>
          <t>LOW_RISK</t>
        </is>
      </c>
      <c r="W252" s="29" t="inlineStr">
        <is>
          <t>저위험</t>
        </is>
      </c>
      <c r="X252" s="29" t="inlineStr">
        <is>
          <t>LOW_RISK</t>
        </is>
      </c>
      <c r="Y252" s="29" t="inlineStr">
        <is>
          <t>0.8693080817598533</t>
        </is>
      </c>
      <c r="Z252" s="29" t="inlineStr">
        <is>
          <t>HIGH</t>
        </is>
      </c>
      <c r="AA252" s="29" t="inlineStr">
        <is>
          <t>HIGH</t>
        </is>
      </c>
      <c r="AB252" s="29" t="inlineStr">
        <is>
          <t>0.014158930737617927</t>
        </is>
      </c>
      <c r="AC252" s="29" t="inlineStr">
        <is>
          <t>False</t>
        </is>
      </c>
      <c r="AD252" s="29" t="inlineStr">
        <is>
          <t>True</t>
        </is>
      </c>
      <c r="AE252" s="29" t="inlineStr">
        <is>
          <t>valuation_credit_ml_overlay_candidate.csv</t>
        </is>
      </c>
      <c r="AF252" s="29" t="inlineStr">
        <is>
          <t>208개 반도체 reference universe. Valuation Agent가 자체 intake 폴더로 복제해 Peer/ML/대시보드 비교에 사용.</t>
        </is>
      </c>
    </row>
    <row r="253" ht="24" customHeight="1">
      <c r="A253" s="24" t="inlineStr">
        <is>
          <t>192</t>
        </is>
      </c>
      <c r="B253" s="24" t="inlineStr">
        <is>
          <t>hanmi</t>
        </is>
      </c>
      <c r="C253" s="24" t="inlineStr">
        <is>
          <t>한미반도체</t>
        </is>
      </c>
      <c r="D253" s="24" t="inlineStr">
        <is>
          <t>042700</t>
        </is>
      </c>
      <c r="E253" s="24" t="inlineStr">
        <is>
          <t>KOSPI</t>
        </is>
      </c>
      <c r="F253" s="24" t="inlineStr">
        <is>
          <t>후공정/패키징/테스트</t>
        </is>
      </c>
      <c r="G253" s="24" t="inlineStr">
        <is>
          <t>후공정/패키징/테스트</t>
        </is>
      </c>
      <c r="H253" s="24" t="inlineStr">
        <is>
          <t>True</t>
        </is>
      </c>
      <c r="I253" s="24" t="inlineStr">
        <is>
          <t>True</t>
        </is>
      </c>
      <c r="J253" s="24" t="inlineStr">
        <is>
          <t>OK</t>
        </is>
      </c>
      <c r="K253" s="24" t="inlineStr">
        <is>
          <t>데이터 사용 가능</t>
        </is>
      </c>
      <c r="L253" s="24" t="inlineStr">
        <is>
          <t>LOW</t>
        </is>
      </c>
      <c r="M253" s="24" t="inlineStr">
        <is>
          <t>LOW</t>
        </is>
      </c>
      <c r="N253" s="24" t="inlineStr">
        <is>
          <t>0.4712592592592592</t>
        </is>
      </c>
      <c r="O253" s="24" t="inlineStr">
        <is>
          <t>FAIR</t>
        </is>
      </c>
      <c r="P253" s="24" t="inlineStr">
        <is>
          <t>FAIR</t>
        </is>
      </c>
      <c r="Q253" s="24" t="inlineStr">
        <is>
          <t>FAIR</t>
        </is>
      </c>
      <c r="R253" s="24" t="inlineStr">
        <is>
          <t>0.618072727307107</t>
        </is>
      </c>
      <c r="S253" s="24" t="inlineStr">
        <is>
          <t>MEDIUM</t>
        </is>
      </c>
      <c r="T253" s="24" t="inlineStr">
        <is>
          <t>MEDIUM</t>
        </is>
      </c>
      <c r="U253" s="24" t="inlineStr">
        <is>
          <t>0.0</t>
        </is>
      </c>
      <c r="V253" s="24" t="inlineStr">
        <is>
          <t>LOW_RISK</t>
        </is>
      </c>
      <c r="W253" s="24" t="inlineStr">
        <is>
          <t>저위험</t>
        </is>
      </c>
      <c r="X253" s="24" t="inlineStr">
        <is>
          <t>LOW_RISK</t>
        </is>
      </c>
      <c r="Y253" s="24" t="inlineStr">
        <is>
          <t>0.9350232170644448</t>
        </is>
      </c>
      <c r="Z253" s="24" t="inlineStr">
        <is>
          <t>HIGH</t>
        </is>
      </c>
      <c r="AA253" s="24" t="inlineStr">
        <is>
          <t>HIGH</t>
        </is>
      </c>
      <c r="AB253" s="24" t="inlineStr">
        <is>
          <t>0.2707179947680644</t>
        </is>
      </c>
      <c r="AC253" s="24" t="inlineStr">
        <is>
          <t>True</t>
        </is>
      </c>
      <c r="AD253" s="24" t="inlineStr">
        <is>
          <t>True</t>
        </is>
      </c>
      <c r="AE253" s="24" t="inlineStr">
        <is>
          <t>valuation_credit_ml_overlay_candidate.csv</t>
        </is>
      </c>
      <c r="AF253" s="24" t="inlineStr">
        <is>
          <t>208개 반도체 reference universe. Valuation Agent가 자체 intake 폴더로 복제해 Peer/ML/대시보드 비교에 사용.</t>
        </is>
      </c>
    </row>
    <row r="254" ht="24" customHeight="1">
      <c r="A254" s="29" t="inlineStr">
        <is>
          <t>185</t>
        </is>
      </c>
      <c r="B254" s="29" t="inlineStr">
        <is>
          <t>해당 없음</t>
        </is>
      </c>
      <c r="C254" s="29" t="inlineStr">
        <is>
          <t>큐엠씨</t>
        </is>
      </c>
      <c r="D254" s="29" t="inlineStr">
        <is>
          <t>136660</t>
        </is>
      </c>
      <c r="E254" s="29" t="inlineStr">
        <is>
          <t>KONEX</t>
        </is>
      </c>
      <c r="F254" s="29" t="inlineStr">
        <is>
          <t>후공정/패키징/테스트</t>
        </is>
      </c>
      <c r="G254" s="29" t="inlineStr">
        <is>
          <t>후공정/패키징/테스트</t>
        </is>
      </c>
      <c r="H254" s="29" t="inlineStr">
        <is>
          <t>False</t>
        </is>
      </c>
      <c r="I254" s="29" t="inlineStr">
        <is>
          <t>True</t>
        </is>
      </c>
      <c r="J254" s="29" t="inlineStr">
        <is>
          <t>NO_DART_FINANCIAL_DATA</t>
        </is>
      </c>
      <c r="K254" s="29" t="inlineStr">
        <is>
          <t>데이터 사용 가능</t>
        </is>
      </c>
      <c r="L254" s="29" t="inlineStr">
        <is>
          <t>HIGH</t>
        </is>
      </c>
      <c r="M254" s="29" t="inlineStr">
        <is>
          <t>HIGH</t>
        </is>
      </c>
      <c r="N254" s="29" t="inlineStr">
        <is>
          <t>0.4711111111111111</t>
        </is>
      </c>
      <c r="O254" s="29" t="inlineStr">
        <is>
          <t>FAIR</t>
        </is>
      </c>
      <c r="P254" s="29" t="inlineStr">
        <is>
          <t>FAIR</t>
        </is>
      </c>
      <c r="Q254" s="29" t="inlineStr">
        <is>
          <t>FAIR</t>
        </is>
      </c>
      <c r="R254" s="29" t="inlineStr">
        <is>
          <t>0.9731046168075388</t>
        </is>
      </c>
      <c r="S254" s="29" t="inlineStr">
        <is>
          <t>HIGH</t>
        </is>
      </c>
      <c r="T254" s="29" t="inlineStr">
        <is>
          <t>HIGH</t>
        </is>
      </c>
      <c r="U254" s="29" t="inlineStr">
        <is>
          <t>0.2857142857142857</t>
        </is>
      </c>
      <c r="V254" s="29" t="inlineStr">
        <is>
          <t>MEDIUM_RISK</t>
        </is>
      </c>
      <c r="W254" s="29" t="inlineStr">
        <is>
          <t>중위험</t>
        </is>
      </c>
      <c r="X254" s="29" t="inlineStr">
        <is>
          <t>MEDIUM_RISK</t>
        </is>
      </c>
      <c r="Y254" s="29" t="inlineStr">
        <is>
          <t>0.7892126449586269</t>
        </is>
      </c>
      <c r="Z254" s="29" t="inlineStr">
        <is>
          <t>HIGH</t>
        </is>
      </c>
      <c r="AA254" s="29" t="inlineStr">
        <is>
          <t>HIGH</t>
        </is>
      </c>
      <c r="AB254" s="29" t="inlineStr">
        <is>
          <t>0.07859474908410963</t>
        </is>
      </c>
      <c r="AC254" s="29" t="inlineStr">
        <is>
          <t>False</t>
        </is>
      </c>
      <c r="AD254" s="29" t="inlineStr">
        <is>
          <t>True</t>
        </is>
      </c>
      <c r="AE254" s="29" t="inlineStr">
        <is>
          <t>valuation_credit_ml_overlay_candidate.csv</t>
        </is>
      </c>
      <c r="AF254" s="29" t="inlineStr">
        <is>
          <t>208개 반도체 reference universe. Valuation Agent가 자체 intake 폴더로 복제해 Peer/ML/대시보드 비교에 사용.</t>
        </is>
      </c>
    </row>
    <row r="255" ht="24" customHeight="1">
      <c r="A255" s="24" t="inlineStr">
        <is>
          <t>161</t>
        </is>
      </c>
      <c r="B255" s="24" t="inlineStr">
        <is>
          <t>해당 없음</t>
        </is>
      </c>
      <c r="C255" s="24" t="inlineStr">
        <is>
          <t>럭스피아</t>
        </is>
      </c>
      <c r="D255" s="24" t="inlineStr">
        <is>
          <t>092590</t>
        </is>
      </c>
      <c r="E255" s="24" t="inlineStr">
        <is>
          <t>KONEX</t>
        </is>
      </c>
      <c r="F255" s="24" t="inlineStr">
        <is>
          <t>후공정/패키징/테스트</t>
        </is>
      </c>
      <c r="G255" s="24" t="inlineStr">
        <is>
          <t>후공정/패키징/테스트</t>
        </is>
      </c>
      <c r="H255" s="24" t="inlineStr">
        <is>
          <t>False</t>
        </is>
      </c>
      <c r="I255" s="24" t="inlineStr">
        <is>
          <t>True</t>
        </is>
      </c>
      <c r="J255" s="24" t="inlineStr">
        <is>
          <t>NO_DART_FINANCIAL_DATA</t>
        </is>
      </c>
      <c r="K255" s="24" t="inlineStr">
        <is>
          <t>데이터 사용 가능</t>
        </is>
      </c>
      <c r="L255" s="24" t="inlineStr">
        <is>
          <t>HIGH</t>
        </is>
      </c>
      <c r="M255" s="24" t="inlineStr">
        <is>
          <t>HIGH</t>
        </is>
      </c>
      <c r="N255" s="24" t="inlineStr">
        <is>
          <t>0.4681481481481481</t>
        </is>
      </c>
      <c r="O255" s="24" t="inlineStr">
        <is>
          <t>FAIR</t>
        </is>
      </c>
      <c r="P255" s="24" t="inlineStr">
        <is>
          <t>FAIR</t>
        </is>
      </c>
      <c r="Q255" s="24" t="inlineStr">
        <is>
          <t>FAIR</t>
        </is>
      </c>
      <c r="R255" s="24" t="inlineStr">
        <is>
          <t>0.969533908094729</t>
        </is>
      </c>
      <c r="S255" s="24" t="inlineStr">
        <is>
          <t>HIGH</t>
        </is>
      </c>
      <c r="T255" s="24" t="inlineStr">
        <is>
          <t>HIGH</t>
        </is>
      </c>
      <c r="U255" s="24" t="inlineStr">
        <is>
          <t>0.2857142857142857</t>
        </is>
      </c>
      <c r="V255" s="24" t="inlineStr">
        <is>
          <t>MEDIUM_RISK</t>
        </is>
      </c>
      <c r="W255" s="24" t="inlineStr">
        <is>
          <t>중위험</t>
        </is>
      </c>
      <c r="X255" s="24" t="inlineStr">
        <is>
          <t>MEDIUM_RISK</t>
        </is>
      </c>
      <c r="Y255" s="24" t="inlineStr">
        <is>
          <t>0.7911598348888624</t>
        </is>
      </c>
      <c r="Z255" s="24" t="inlineStr">
        <is>
          <t>HIGH</t>
        </is>
      </c>
      <c r="AA255" s="24" t="inlineStr">
        <is>
          <t>HIGH</t>
        </is>
      </c>
      <c r="AB255" s="24" t="inlineStr">
        <is>
          <t>0.2507708118458056</t>
        </is>
      </c>
      <c r="AC255" s="24" t="inlineStr">
        <is>
          <t>True</t>
        </is>
      </c>
      <c r="AD255" s="24" t="inlineStr">
        <is>
          <t>True</t>
        </is>
      </c>
      <c r="AE255" s="24" t="inlineStr">
        <is>
          <t>valuation_credit_ml_overlay_candidate.csv</t>
        </is>
      </c>
      <c r="AF255" s="24" t="inlineStr">
        <is>
          <t>208개 반도체 reference universe. Valuation Agent가 자체 intake 폴더로 복제해 Peer/ML/대시보드 비교에 사용.</t>
        </is>
      </c>
    </row>
    <row r="256" ht="24" customHeight="1">
      <c r="A256" s="29" t="inlineStr">
        <is>
          <t>170</t>
        </is>
      </c>
      <c r="B256" s="29" t="inlineStr">
        <is>
          <t>해당 없음</t>
        </is>
      </c>
      <c r="C256" s="29" t="inlineStr">
        <is>
          <t>아이텍</t>
        </is>
      </c>
      <c r="D256" s="29" t="inlineStr">
        <is>
          <t>119830</t>
        </is>
      </c>
      <c r="E256" s="29" t="inlineStr">
        <is>
          <t>KOSDAQ</t>
        </is>
      </c>
      <c r="F256" s="29" t="inlineStr">
        <is>
          <t>후공정/패키징/테스트</t>
        </is>
      </c>
      <c r="G256" s="29" t="inlineStr">
        <is>
          <t>후공정/패키징/테스트</t>
        </is>
      </c>
      <c r="H256" s="29" t="inlineStr">
        <is>
          <t>False</t>
        </is>
      </c>
      <c r="I256" s="29" t="inlineStr">
        <is>
          <t>True</t>
        </is>
      </c>
      <c r="J256" s="29" t="inlineStr">
        <is>
          <t>OK</t>
        </is>
      </c>
      <c r="K256" s="29" t="inlineStr">
        <is>
          <t>데이터 사용 가능</t>
        </is>
      </c>
      <c r="L256" s="29" t="inlineStr">
        <is>
          <t>LOW</t>
        </is>
      </c>
      <c r="M256" s="29" t="inlineStr">
        <is>
          <t>LOW</t>
        </is>
      </c>
      <c r="N256" s="29" t="inlineStr">
        <is>
          <t>0.4573333333333333</t>
        </is>
      </c>
      <c r="O256" s="29" t="inlineStr">
        <is>
          <t>FAIR</t>
        </is>
      </c>
      <c r="P256" s="29" t="inlineStr">
        <is>
          <t>FAIR</t>
        </is>
      </c>
      <c r="Q256" s="29" t="inlineStr">
        <is>
          <t>FAIR</t>
        </is>
      </c>
      <c r="R256" s="29" t="inlineStr">
        <is>
          <t>0.6018206034002739</t>
        </is>
      </c>
      <c r="S256" s="29" t="inlineStr">
        <is>
          <t>MEDIUM</t>
        </is>
      </c>
      <c r="T256" s="29" t="inlineStr">
        <is>
          <t>MEDIUM</t>
        </is>
      </c>
      <c r="U256" s="29" t="inlineStr">
        <is>
          <t>0.2142857142857142</t>
        </is>
      </c>
      <c r="V256" s="29" t="inlineStr">
        <is>
          <t>MEDIUM_RISK</t>
        </is>
      </c>
      <c r="W256" s="29" t="inlineStr">
        <is>
          <t>중위험</t>
        </is>
      </c>
      <c r="X256" s="29" t="inlineStr">
        <is>
          <t>MEDIUM_RISK</t>
        </is>
      </c>
      <c r="Y256" s="29" t="inlineStr">
        <is>
          <t>0.793957358322354</t>
        </is>
      </c>
      <c r="Z256" s="29" t="inlineStr">
        <is>
          <t>HIGH</t>
        </is>
      </c>
      <c r="AA256" s="29" t="inlineStr">
        <is>
          <t>HIGH</t>
        </is>
      </c>
      <c r="AB256" s="29" t="inlineStr">
        <is>
          <t>0.17465361432297097</t>
        </is>
      </c>
      <c r="AC256" s="29" t="inlineStr">
        <is>
          <t>False</t>
        </is>
      </c>
      <c r="AD256" s="29" t="inlineStr">
        <is>
          <t>False</t>
        </is>
      </c>
      <c r="AE256" s="29" t="inlineStr">
        <is>
          <t>valuation_credit_ml_overlay_candidate.csv</t>
        </is>
      </c>
      <c r="AF256" s="29" t="inlineStr">
        <is>
          <t>208개 반도체 reference universe. Valuation Agent가 자체 intake 폴더로 복제해 Peer/ML/대시보드 비교에 사용.</t>
        </is>
      </c>
    </row>
    <row r="257" ht="24" customHeight="1">
      <c r="A257" s="24" t="inlineStr">
        <is>
          <t>179</t>
        </is>
      </c>
      <c r="B257" s="24" t="inlineStr">
        <is>
          <t>해당 없음</t>
        </is>
      </c>
      <c r="C257" s="24" t="inlineStr">
        <is>
          <t>윈팩</t>
        </is>
      </c>
      <c r="D257" s="24" t="inlineStr">
        <is>
          <t>097800</t>
        </is>
      </c>
      <c r="E257" s="24" t="inlineStr">
        <is>
          <t>KOSDAQ</t>
        </is>
      </c>
      <c r="F257" s="24" t="inlineStr">
        <is>
          <t>후공정/패키징/테스트</t>
        </is>
      </c>
      <c r="G257" s="24" t="inlineStr">
        <is>
          <t>후공정/패키징/테스트</t>
        </is>
      </c>
      <c r="H257" s="24" t="inlineStr">
        <is>
          <t>False</t>
        </is>
      </c>
      <c r="I257" s="24" t="inlineStr">
        <is>
          <t>True</t>
        </is>
      </c>
      <c r="J257" s="24" t="inlineStr">
        <is>
          <t>OK</t>
        </is>
      </c>
      <c r="K257" s="24" t="inlineStr">
        <is>
          <t>데이터 사용 가능</t>
        </is>
      </c>
      <c r="L257" s="24" t="inlineStr">
        <is>
          <t>LOW</t>
        </is>
      </c>
      <c r="M257" s="24" t="inlineStr">
        <is>
          <t>LOW</t>
        </is>
      </c>
      <c r="N257" s="24" t="inlineStr">
        <is>
          <t>0.4417777777777778</t>
        </is>
      </c>
      <c r="O257" s="24" t="inlineStr">
        <is>
          <t>FAIR</t>
        </is>
      </c>
      <c r="P257" s="24" t="inlineStr">
        <is>
          <t>FAIR</t>
        </is>
      </c>
      <c r="Q257" s="24" t="inlineStr">
        <is>
          <t>FAIR</t>
        </is>
      </c>
      <c r="R257" s="24" t="inlineStr">
        <is>
          <t>0.5735742758518154</t>
        </is>
      </c>
      <c r="S257" s="24" t="inlineStr">
        <is>
          <t>MEDIUM</t>
        </is>
      </c>
      <c r="T257" s="24" t="inlineStr">
        <is>
          <t>MEDIUM</t>
        </is>
      </c>
      <c r="U257" s="24" t="inlineStr">
        <is>
          <t>0.7142857142857143</t>
        </is>
      </c>
      <c r="V257" s="24" t="inlineStr">
        <is>
          <t>HIGH_RISK</t>
        </is>
      </c>
      <c r="W257" s="24" t="inlineStr">
        <is>
          <t>고위험</t>
        </is>
      </c>
      <c r="X257" s="24" t="inlineStr">
        <is>
          <t>HIGH_RISK</t>
        </is>
      </c>
      <c r="Y257" s="24" t="inlineStr">
        <is>
          <t>0.9273765785577542</t>
        </is>
      </c>
      <c r="Z257" s="24" t="inlineStr">
        <is>
          <t>HIGH</t>
        </is>
      </c>
      <c r="AA257" s="24" t="inlineStr">
        <is>
          <t>HIGH</t>
        </is>
      </c>
      <c r="AB257" s="24" t="inlineStr">
        <is>
          <t>0.09157899320413745</t>
        </is>
      </c>
      <c r="AC257" s="24" t="inlineStr">
        <is>
          <t>False</t>
        </is>
      </c>
      <c r="AD257" s="24" t="inlineStr">
        <is>
          <t>False</t>
        </is>
      </c>
      <c r="AE257" s="24" t="inlineStr">
        <is>
          <t>valuation_credit_ml_overlay_candidate.csv</t>
        </is>
      </c>
      <c r="AF257" s="24" t="inlineStr">
        <is>
          <t>208개 반도체 reference universe. Valuation Agent가 자체 intake 폴더로 복제해 Peer/ML/대시보드 비교에 사용.</t>
        </is>
      </c>
    </row>
    <row r="258" ht="24" customHeight="1">
      <c r="A258" s="29" t="inlineStr">
        <is>
          <t>187</t>
        </is>
      </c>
      <c r="B258" s="29" t="inlineStr">
        <is>
          <t>해당 없음</t>
        </is>
      </c>
      <c r="C258" s="29" t="inlineStr">
        <is>
          <t>팸텍</t>
        </is>
      </c>
      <c r="D258" s="29" t="inlineStr">
        <is>
          <t>271830</t>
        </is>
      </c>
      <c r="E258" s="29" t="inlineStr">
        <is>
          <t>KOSDAQ</t>
        </is>
      </c>
      <c r="F258" s="29" t="inlineStr">
        <is>
          <t>후공정/패키징/테스트</t>
        </is>
      </c>
      <c r="G258" s="29" t="inlineStr">
        <is>
          <t>후공정/패키징/테스트</t>
        </is>
      </c>
      <c r="H258" s="29" t="inlineStr">
        <is>
          <t>False</t>
        </is>
      </c>
      <c r="I258" s="29" t="inlineStr">
        <is>
          <t>True</t>
        </is>
      </c>
      <c r="J258" s="29" t="inlineStr">
        <is>
          <t>OK</t>
        </is>
      </c>
      <c r="K258" s="29" t="inlineStr">
        <is>
          <t>데이터 사용 가능</t>
        </is>
      </c>
      <c r="L258" s="29" t="inlineStr">
        <is>
          <t>LOW</t>
        </is>
      </c>
      <c r="M258" s="29" t="inlineStr">
        <is>
          <t>LOW</t>
        </is>
      </c>
      <c r="N258" s="29" t="inlineStr">
        <is>
          <t>0.4402962962962963</t>
        </is>
      </c>
      <c r="O258" s="29" t="inlineStr">
        <is>
          <t>FAIR</t>
        </is>
      </c>
      <c r="P258" s="29" t="inlineStr">
        <is>
          <t>FAIR</t>
        </is>
      </c>
      <c r="Q258" s="29" t="inlineStr">
        <is>
          <t>FAIR</t>
        </is>
      </c>
      <c r="R258" s="29" t="inlineStr">
        <is>
          <t>0.6809009837226325</t>
        </is>
      </c>
      <c r="S258" s="29" t="inlineStr">
        <is>
          <t>MEDIUM</t>
        </is>
      </c>
      <c r="T258" s="29" t="inlineStr">
        <is>
          <t>MEDIUM</t>
        </is>
      </c>
      <c r="U258" s="29" t="inlineStr">
        <is>
          <t>0.5714285714285714</t>
        </is>
      </c>
      <c r="V258" s="29" t="inlineStr">
        <is>
          <t>HIGH_RISK</t>
        </is>
      </c>
      <c r="W258" s="29" t="inlineStr">
        <is>
          <t>고위험</t>
        </is>
      </c>
      <c r="X258" s="29" t="inlineStr">
        <is>
          <t>HIGH_RISK</t>
        </is>
      </c>
      <c r="Y258" s="29" t="inlineStr">
        <is>
          <t>0.9054415631219938</t>
        </is>
      </c>
      <c r="Z258" s="29" t="inlineStr">
        <is>
          <t>HIGH</t>
        </is>
      </c>
      <c r="AA258" s="29" t="inlineStr">
        <is>
          <t>HIGH</t>
        </is>
      </c>
      <c r="AB258" s="29" t="inlineStr">
        <is>
          <t>0.08867309587377735</t>
        </is>
      </c>
      <c r="AC258" s="29" t="inlineStr">
        <is>
          <t>False</t>
        </is>
      </c>
      <c r="AD258" s="29" t="inlineStr">
        <is>
          <t>False</t>
        </is>
      </c>
      <c r="AE258" s="29" t="inlineStr">
        <is>
          <t>valuation_credit_ml_overlay_candidate.csv</t>
        </is>
      </c>
      <c r="AF258" s="29" t="inlineStr">
        <is>
          <t>208개 반도체 reference universe. Valuation Agent가 자체 intake 폴더로 복제해 Peer/ML/대시보드 비교에 사용.</t>
        </is>
      </c>
    </row>
    <row r="259" ht="24" customHeight="1">
      <c r="A259" s="24" t="inlineStr">
        <is>
          <t>152</t>
        </is>
      </c>
      <c r="B259" s="24" t="inlineStr">
        <is>
          <t>해당 없음</t>
        </is>
      </c>
      <c r="C259" s="24" t="inlineStr">
        <is>
          <t>LB세미콘</t>
        </is>
      </c>
      <c r="D259" s="24" t="inlineStr">
        <is>
          <t>061970</t>
        </is>
      </c>
      <c r="E259" s="24" t="inlineStr">
        <is>
          <t>KOSDAQ</t>
        </is>
      </c>
      <c r="F259" s="24" t="inlineStr">
        <is>
          <t>후공정/패키징/테스트</t>
        </is>
      </c>
      <c r="G259" s="24" t="inlineStr">
        <is>
          <t>후공정/패키징/테스트</t>
        </is>
      </c>
      <c r="H259" s="24" t="inlineStr">
        <is>
          <t>False</t>
        </is>
      </c>
      <c r="I259" s="24" t="inlineStr">
        <is>
          <t>True</t>
        </is>
      </c>
      <c r="J259" s="24" t="inlineStr">
        <is>
          <t>OK</t>
        </is>
      </c>
      <c r="K259" s="24" t="inlineStr">
        <is>
          <t>데이터 사용 가능</t>
        </is>
      </c>
      <c r="L259" s="24" t="inlineStr">
        <is>
          <t>LOW</t>
        </is>
      </c>
      <c r="M259" s="24" t="inlineStr">
        <is>
          <t>LOW</t>
        </is>
      </c>
      <c r="N259" s="24" t="inlineStr">
        <is>
          <t>0.4394074074074074</t>
        </is>
      </c>
      <c r="O259" s="24" t="inlineStr">
        <is>
          <t>FAIR</t>
        </is>
      </c>
      <c r="P259" s="24" t="inlineStr">
        <is>
          <t>FAIR</t>
        </is>
      </c>
      <c r="Q259" s="24" t="inlineStr">
        <is>
          <t>FAIR</t>
        </is>
      </c>
      <c r="R259" s="24" t="inlineStr">
        <is>
          <t>0.519835518569549</t>
        </is>
      </c>
      <c r="S259" s="24" t="inlineStr">
        <is>
          <t>MEDIUM</t>
        </is>
      </c>
      <c r="T259" s="24" t="inlineStr">
        <is>
          <t>MEDIUM</t>
        </is>
      </c>
      <c r="U259" s="24" t="inlineStr">
        <is>
          <t>0.5714285714285714</t>
        </is>
      </c>
      <c r="V259" s="24" t="inlineStr">
        <is>
          <t>HIGH_RISK</t>
        </is>
      </c>
      <c r="W259" s="24" t="inlineStr">
        <is>
          <t>고위험</t>
        </is>
      </c>
      <c r="X259" s="24" t="inlineStr">
        <is>
          <t>HIGH_RISK</t>
        </is>
      </c>
      <c r="Y259" s="24" t="inlineStr">
        <is>
          <t>0.8577554718342005</t>
        </is>
      </c>
      <c r="Z259" s="24" t="inlineStr">
        <is>
          <t>HIGH</t>
        </is>
      </c>
      <c r="AA259" s="24" t="inlineStr">
        <is>
          <t>HIGH</t>
        </is>
      </c>
      <c r="AB259" s="24" t="inlineStr">
        <is>
          <t>0.04865368060535977</t>
        </is>
      </c>
      <c r="AC259" s="24" t="inlineStr">
        <is>
          <t>False</t>
        </is>
      </c>
      <c r="AD259" s="24" t="inlineStr">
        <is>
          <t>False</t>
        </is>
      </c>
      <c r="AE259" s="24" t="inlineStr">
        <is>
          <t>valuation_credit_ml_overlay_candidate.csv</t>
        </is>
      </c>
      <c r="AF259" s="24" t="inlineStr">
        <is>
          <t>208개 반도체 reference universe. Valuation Agent가 자체 intake 폴더로 복제해 Peer/ML/대시보드 비교에 사용.</t>
        </is>
      </c>
    </row>
    <row r="260" ht="24" customHeight="1">
      <c r="A260" s="29" t="inlineStr">
        <is>
          <t>183</t>
        </is>
      </c>
      <c r="B260" s="29" t="inlineStr">
        <is>
          <t>해당 없음</t>
        </is>
      </c>
      <c r="C260" s="29" t="inlineStr">
        <is>
          <t>제이티</t>
        </is>
      </c>
      <c r="D260" s="29" t="inlineStr">
        <is>
          <t>089790</t>
        </is>
      </c>
      <c r="E260" s="29" t="inlineStr">
        <is>
          <t>KOSDAQ</t>
        </is>
      </c>
      <c r="F260" s="29" t="inlineStr">
        <is>
          <t>후공정/패키징/테스트</t>
        </is>
      </c>
      <c r="G260" s="29" t="inlineStr">
        <is>
          <t>후공정/패키징/테스트</t>
        </is>
      </c>
      <c r="H260" s="29" t="inlineStr">
        <is>
          <t>False</t>
        </is>
      </c>
      <c r="I260" s="29" t="inlineStr">
        <is>
          <t>True</t>
        </is>
      </c>
      <c r="J260" s="29" t="inlineStr">
        <is>
          <t>OK</t>
        </is>
      </c>
      <c r="K260" s="29" t="inlineStr">
        <is>
          <t>데이터 사용 가능</t>
        </is>
      </c>
      <c r="L260" s="29" t="inlineStr">
        <is>
          <t>LOW</t>
        </is>
      </c>
      <c r="M260" s="29" t="inlineStr">
        <is>
          <t>LOW</t>
        </is>
      </c>
      <c r="N260" s="29" t="inlineStr">
        <is>
          <t>0.4293333333333333</t>
        </is>
      </c>
      <c r="O260" s="29" t="inlineStr">
        <is>
          <t>FAIR</t>
        </is>
      </c>
      <c r="P260" s="29" t="inlineStr">
        <is>
          <t>FAIR</t>
        </is>
      </c>
      <c r="Q260" s="29" t="inlineStr">
        <is>
          <t>FAIR</t>
        </is>
      </c>
      <c r="R260" s="29" t="inlineStr">
        <is>
          <t>0.7953438622461361</t>
        </is>
      </c>
      <c r="S260" s="29" t="inlineStr">
        <is>
          <t>HIGH</t>
        </is>
      </c>
      <c r="T260" s="29" t="inlineStr">
        <is>
          <t>HIGH</t>
        </is>
      </c>
      <c r="U260" s="29" t="inlineStr">
        <is>
          <t>0.2857142857142857</t>
        </is>
      </c>
      <c r="V260" s="29" t="inlineStr">
        <is>
          <t>MEDIUM_RISK</t>
        </is>
      </c>
      <c r="W260" s="29" t="inlineStr">
        <is>
          <t>중위험</t>
        </is>
      </c>
      <c r="X260" s="29" t="inlineStr">
        <is>
          <t>MEDIUM_RISK</t>
        </is>
      </c>
      <c r="Y260" s="29" t="inlineStr">
        <is>
          <t>0.634985809262478</t>
        </is>
      </c>
      <c r="Z260" s="29" t="inlineStr">
        <is>
          <t>MEDIUM</t>
        </is>
      </c>
      <c r="AA260" s="29" t="inlineStr">
        <is>
          <t>MEDIUM</t>
        </is>
      </c>
      <c r="AB260" s="29" t="inlineStr">
        <is>
          <t>0.0037958156542815414</t>
        </is>
      </c>
      <c r="AC260" s="29" t="inlineStr">
        <is>
          <t>False</t>
        </is>
      </c>
      <c r="AD260" s="29" t="inlineStr">
        <is>
          <t>False</t>
        </is>
      </c>
      <c r="AE260" s="29" t="inlineStr">
        <is>
          <t>valuation_credit_ml_overlay_candidate.csv</t>
        </is>
      </c>
      <c r="AF260" s="29" t="inlineStr">
        <is>
          <t>208개 반도체 reference universe. Valuation Agent가 자체 intake 폴더로 복제해 Peer/ML/대시보드 비교에 사용.</t>
        </is>
      </c>
    </row>
    <row r="261" ht="24" customHeight="1">
      <c r="A261" s="24" t="inlineStr">
        <is>
          <t>182</t>
        </is>
      </c>
      <c r="B261" s="24" t="inlineStr">
        <is>
          <t>해당 없음</t>
        </is>
      </c>
      <c r="C261" s="24" t="inlineStr">
        <is>
          <t>제너셈</t>
        </is>
      </c>
      <c r="D261" s="24" t="inlineStr">
        <is>
          <t>217190</t>
        </is>
      </c>
      <c r="E261" s="24" t="inlineStr">
        <is>
          <t>KOSDAQ</t>
        </is>
      </c>
      <c r="F261" s="24" t="inlineStr">
        <is>
          <t>후공정/패키징/테스트</t>
        </is>
      </c>
      <c r="G261" s="24" t="inlineStr">
        <is>
          <t>후공정/패키징/테스트</t>
        </is>
      </c>
      <c r="H261" s="24" t="inlineStr">
        <is>
          <t>False</t>
        </is>
      </c>
      <c r="I261" s="24" t="inlineStr">
        <is>
          <t>True</t>
        </is>
      </c>
      <c r="J261" s="24" t="inlineStr">
        <is>
          <t>HIGH_PRIORITY_MANUAL_REVIEW</t>
        </is>
      </c>
      <c r="K261" s="24" t="inlineStr">
        <is>
          <t>데이터 사용 가능</t>
        </is>
      </c>
      <c r="L261" s="24" t="inlineStr">
        <is>
          <t>HIGH</t>
        </is>
      </c>
      <c r="M261" s="24" t="inlineStr">
        <is>
          <t>HIGH</t>
        </is>
      </c>
      <c r="N261" s="24" t="inlineStr">
        <is>
          <t>0.4278518518518518</t>
        </is>
      </c>
      <c r="O261" s="24" t="inlineStr">
        <is>
          <t>FAIR</t>
        </is>
      </c>
      <c r="P261" s="24" t="inlineStr">
        <is>
          <t>FAIR</t>
        </is>
      </c>
      <c r="Q261" s="24" t="inlineStr">
        <is>
          <t>FAIR</t>
        </is>
      </c>
      <c r="R261" s="24" t="inlineStr">
        <is>
          <t>0.7410125545144256</t>
        </is>
      </c>
      <c r="S261" s="24" t="inlineStr">
        <is>
          <t>HIGH</t>
        </is>
      </c>
      <c r="T261" s="24" t="inlineStr">
        <is>
          <t>HIGH</t>
        </is>
      </c>
      <c r="U261" s="24" t="inlineStr">
        <is>
          <t>0.2857142857142857</t>
        </is>
      </c>
      <c r="V261" s="24" t="inlineStr">
        <is>
          <t>MEDIUM_RISK</t>
        </is>
      </c>
      <c r="W261" s="24" t="inlineStr">
        <is>
          <t>중위험</t>
        </is>
      </c>
      <c r="X261" s="24" t="inlineStr">
        <is>
          <t>MEDIUM_RISK</t>
        </is>
      </c>
      <c r="Y261" s="24" t="inlineStr">
        <is>
          <t>0.7596080290203916</t>
        </is>
      </c>
      <c r="Z261" s="24" t="inlineStr">
        <is>
          <t>HIGH</t>
        </is>
      </c>
      <c r="AA261" s="24" t="inlineStr">
        <is>
          <t>HIGH</t>
        </is>
      </c>
      <c r="AB261" s="24" t="inlineStr">
        <is>
          <t>0.005601152238630833</t>
        </is>
      </c>
      <c r="AC261" s="24" t="inlineStr">
        <is>
          <t>False</t>
        </is>
      </c>
      <c r="AD261" s="24" t="inlineStr">
        <is>
          <t>True</t>
        </is>
      </c>
      <c r="AE261" s="24" t="inlineStr">
        <is>
          <t>valuation_credit_ml_overlay_candidate.csv</t>
        </is>
      </c>
      <c r="AF261" s="24" t="inlineStr">
        <is>
          <t>208개 반도체 reference universe. Valuation Agent가 자체 intake 폴더로 복제해 Peer/ML/대시보드 비교에 사용.</t>
        </is>
      </c>
    </row>
    <row r="262" ht="24" customHeight="1">
      <c r="A262" s="29" t="inlineStr">
        <is>
          <t>158</t>
        </is>
      </c>
      <c r="B262" s="29" t="inlineStr">
        <is>
          <t>해당 없음</t>
        </is>
      </c>
      <c r="C262" s="29" t="inlineStr">
        <is>
          <t>네패스아크</t>
        </is>
      </c>
      <c r="D262" s="29" t="inlineStr">
        <is>
          <t>330860</t>
        </is>
      </c>
      <c r="E262" s="29" t="inlineStr">
        <is>
          <t>KOSDAQ</t>
        </is>
      </c>
      <c r="F262" s="29" t="inlineStr">
        <is>
          <t>후공정/패키징/테스트</t>
        </is>
      </c>
      <c r="G262" s="29" t="inlineStr">
        <is>
          <t>후공정/패키징/테스트</t>
        </is>
      </c>
      <c r="H262" s="29" t="inlineStr">
        <is>
          <t>False</t>
        </is>
      </c>
      <c r="I262" s="29" t="inlineStr">
        <is>
          <t>True</t>
        </is>
      </c>
      <c r="J262" s="29" t="inlineStr">
        <is>
          <t>OK</t>
        </is>
      </c>
      <c r="K262" s="29" t="inlineStr">
        <is>
          <t>데이터 사용 가능</t>
        </is>
      </c>
      <c r="L262" s="29" t="inlineStr">
        <is>
          <t>LOW</t>
        </is>
      </c>
      <c r="M262" s="29" t="inlineStr">
        <is>
          <t>LOW</t>
        </is>
      </c>
      <c r="N262" s="29" t="inlineStr">
        <is>
          <t>0.4207407407407407</t>
        </is>
      </c>
      <c r="O262" s="29" t="inlineStr">
        <is>
          <t>EXPENSIVE</t>
        </is>
      </c>
      <c r="P262" s="29" t="inlineStr">
        <is>
          <t>EXPENSIVE</t>
        </is>
      </c>
      <c r="Q262" s="29" t="inlineStr">
        <is>
          <t>EXPENSIVE</t>
        </is>
      </c>
      <c r="R262" s="29" t="inlineStr">
        <is>
          <t>0.5804758808286147</t>
        </is>
      </c>
      <c r="S262" s="29" t="inlineStr">
        <is>
          <t>MEDIUM</t>
        </is>
      </c>
      <c r="T262" s="29" t="inlineStr">
        <is>
          <t>MEDIUM</t>
        </is>
      </c>
      <c r="U262" s="29" t="inlineStr">
        <is>
          <t>0.0</t>
        </is>
      </c>
      <c r="V262" s="29" t="inlineStr">
        <is>
          <t>LOW_RISK</t>
        </is>
      </c>
      <c r="W262" s="29" t="inlineStr">
        <is>
          <t>저위험</t>
        </is>
      </c>
      <c r="X262" s="29" t="inlineStr">
        <is>
          <t>LOW_RISK</t>
        </is>
      </c>
      <c r="Y262" s="29" t="inlineStr">
        <is>
          <t>0.7522882908851339</t>
        </is>
      </c>
      <c r="Z262" s="29" t="inlineStr">
        <is>
          <t>HIGH</t>
        </is>
      </c>
      <c r="AA262" s="29" t="inlineStr">
        <is>
          <t>HIGH</t>
        </is>
      </c>
      <c r="AB262" s="29" t="inlineStr">
        <is>
          <t>0.07850484580290398</t>
        </is>
      </c>
      <c r="AC262" s="29" t="inlineStr">
        <is>
          <t>False</t>
        </is>
      </c>
      <c r="AD262" s="29" t="inlineStr">
        <is>
          <t>False</t>
        </is>
      </c>
      <c r="AE262" s="29" t="inlineStr">
        <is>
          <t>valuation_credit_ml_overlay_candidate.csv</t>
        </is>
      </c>
      <c r="AF262" s="29" t="inlineStr">
        <is>
          <t>208개 반도체 reference universe. Valuation Agent가 자체 intake 폴더로 복제해 Peer/ML/대시보드 비교에 사용.</t>
        </is>
      </c>
    </row>
    <row r="263" ht="24" customHeight="1">
      <c r="A263" s="24" t="inlineStr">
        <is>
          <t>164</t>
        </is>
      </c>
      <c r="B263" s="24" t="inlineStr">
        <is>
          <t>해당 없음</t>
        </is>
      </c>
      <c r="C263" s="24" t="inlineStr">
        <is>
          <t>마이크로투나노</t>
        </is>
      </c>
      <c r="D263" s="24" t="inlineStr">
        <is>
          <t>424980</t>
        </is>
      </c>
      <c r="E263" s="24" t="inlineStr">
        <is>
          <t>KOSDAQ</t>
        </is>
      </c>
      <c r="F263" s="24" t="inlineStr">
        <is>
          <t>후공정/패키징/테스트</t>
        </is>
      </c>
      <c r="G263" s="24" t="inlineStr">
        <is>
          <t>후공정/패키징/테스트</t>
        </is>
      </c>
      <c r="H263" s="24" t="inlineStr">
        <is>
          <t>False</t>
        </is>
      </c>
      <c r="I263" s="24" t="inlineStr">
        <is>
          <t>True</t>
        </is>
      </c>
      <c r="J263" s="24" t="inlineStr">
        <is>
          <t>OK_LIMITED_HISTORY_OR_GROWTH_NA</t>
        </is>
      </c>
      <c r="K263" s="24" t="inlineStr">
        <is>
          <t>데이터 사용 가능</t>
        </is>
      </c>
      <c r="L263" s="24" t="inlineStr">
        <is>
          <t>LOW</t>
        </is>
      </c>
      <c r="M263" s="24" t="inlineStr">
        <is>
          <t>LOW</t>
        </is>
      </c>
      <c r="N263" s="24" t="inlineStr">
        <is>
          <t>0.4188148148148148</t>
        </is>
      </c>
      <c r="O263" s="24" t="inlineStr">
        <is>
          <t>EXPENSIVE</t>
        </is>
      </c>
      <c r="P263" s="24" t="inlineStr">
        <is>
          <t>EXPENSIVE</t>
        </is>
      </c>
      <c r="Q263" s="24" t="inlineStr">
        <is>
          <t>EXPENSIVE</t>
        </is>
      </c>
      <c r="R263" s="24" t="inlineStr">
        <is>
          <t>0.8919952418828875</t>
        </is>
      </c>
      <c r="S263" s="24" t="inlineStr">
        <is>
          <t>HIGH</t>
        </is>
      </c>
      <c r="T263" s="24" t="inlineStr">
        <is>
          <t>HIGH</t>
        </is>
      </c>
      <c r="U263" s="24" t="inlineStr">
        <is>
          <t>0.5714285714285714</t>
        </is>
      </c>
      <c r="V263" s="24" t="inlineStr">
        <is>
          <t>HIGH_RISK</t>
        </is>
      </c>
      <c r="W263" s="24" t="inlineStr">
        <is>
          <t>고위험</t>
        </is>
      </c>
      <c r="X263" s="24" t="inlineStr">
        <is>
          <t>HIGH_RISK</t>
        </is>
      </c>
      <c r="Y263" s="24" t="inlineStr">
        <is>
          <t>0.8679140027753699</t>
        </is>
      </c>
      <c r="Z263" s="24" t="inlineStr">
        <is>
          <t>HIGH</t>
        </is>
      </c>
      <c r="AA263" s="24" t="inlineStr">
        <is>
          <t>HIGH</t>
        </is>
      </c>
      <c r="AB263" s="24" t="inlineStr">
        <is>
          <t>0.06592211461176288</t>
        </is>
      </c>
      <c r="AC263" s="24" t="inlineStr">
        <is>
          <t>False</t>
        </is>
      </c>
      <c r="AD263" s="24" t="inlineStr">
        <is>
          <t>True</t>
        </is>
      </c>
      <c r="AE263" s="24" t="inlineStr">
        <is>
          <t>valuation_credit_ml_overlay_candidate.csv</t>
        </is>
      </c>
      <c r="AF263" s="24" t="inlineStr">
        <is>
          <t>208개 반도체 reference universe. Valuation Agent가 자체 intake 폴더로 복제해 Peer/ML/대시보드 비교에 사용.</t>
        </is>
      </c>
    </row>
    <row r="264" ht="24" customHeight="1">
      <c r="A264" s="29" t="inlineStr">
        <is>
          <t>169</t>
        </is>
      </c>
      <c r="B264" s="29" t="inlineStr">
        <is>
          <t>해당 없음</t>
        </is>
      </c>
      <c r="C264" s="29" t="inlineStr">
        <is>
          <t>시그네틱스</t>
        </is>
      </c>
      <c r="D264" s="29" t="inlineStr">
        <is>
          <t>033170</t>
        </is>
      </c>
      <c r="E264" s="29" t="inlineStr">
        <is>
          <t>KOSDAQ</t>
        </is>
      </c>
      <c r="F264" s="29" t="inlineStr">
        <is>
          <t>후공정/패키징/테스트</t>
        </is>
      </c>
      <c r="G264" s="29" t="inlineStr">
        <is>
          <t>후공정/패키징/테스트</t>
        </is>
      </c>
      <c r="H264" s="29" t="inlineStr">
        <is>
          <t>False</t>
        </is>
      </c>
      <c r="I264" s="29" t="inlineStr">
        <is>
          <t>True</t>
        </is>
      </c>
      <c r="J264" s="29" t="inlineStr">
        <is>
          <t>OK</t>
        </is>
      </c>
      <c r="K264" s="29" t="inlineStr">
        <is>
          <t>데이터 사용 가능</t>
        </is>
      </c>
      <c r="L264" s="29" t="inlineStr">
        <is>
          <t>LOW</t>
        </is>
      </c>
      <c r="M264" s="29" t="inlineStr">
        <is>
          <t>LOW</t>
        </is>
      </c>
      <c r="N264" s="29" t="inlineStr">
        <is>
          <t>0.4068148148148148</t>
        </is>
      </c>
      <c r="O264" s="29" t="inlineStr">
        <is>
          <t>EXPENSIVE</t>
        </is>
      </c>
      <c r="P264" s="29" t="inlineStr">
        <is>
          <t>EXPENSIVE</t>
        </is>
      </c>
      <c r="Q264" s="29" t="inlineStr">
        <is>
          <t>EXPENSIVE</t>
        </is>
      </c>
      <c r="R264" s="29" t="inlineStr">
        <is>
          <t>0.6660306558324866</t>
        </is>
      </c>
      <c r="S264" s="29" t="inlineStr">
        <is>
          <t>MEDIUM</t>
        </is>
      </c>
      <c r="T264" s="29" t="inlineStr">
        <is>
          <t>MEDIUM</t>
        </is>
      </c>
      <c r="U264" s="29" t="inlineStr">
        <is>
          <t>0.6428571428571429</t>
        </is>
      </c>
      <c r="V264" s="29" t="inlineStr">
        <is>
          <t>HIGH_RISK</t>
        </is>
      </c>
      <c r="W264" s="29" t="inlineStr">
        <is>
          <t>고위험</t>
        </is>
      </c>
      <c r="X264" s="29" t="inlineStr">
        <is>
          <t>HIGH_RISK</t>
        </is>
      </c>
      <c r="Y264" s="29" t="inlineStr">
        <is>
          <t>0.9103717836414464</t>
        </is>
      </c>
      <c r="Z264" s="29" t="inlineStr">
        <is>
          <t>HIGH</t>
        </is>
      </c>
      <c r="AA264" s="29" t="inlineStr">
        <is>
          <t>HIGH</t>
        </is>
      </c>
      <c r="AB264" s="29" t="inlineStr">
        <is>
          <t>0.09415815096164672</t>
        </is>
      </c>
      <c r="AC264" s="29" t="inlineStr">
        <is>
          <t>False</t>
        </is>
      </c>
      <c r="AD264" s="29" t="inlineStr">
        <is>
          <t>False</t>
        </is>
      </c>
      <c r="AE264" s="29" t="inlineStr">
        <is>
          <t>valuation_credit_ml_overlay_candidate.csv</t>
        </is>
      </c>
      <c r="AF264" s="29" t="inlineStr">
        <is>
          <t>208개 반도체 reference universe. Valuation Agent가 자체 intake 폴더로 복제해 Peer/ML/대시보드 비교에 사용.</t>
        </is>
      </c>
    </row>
    <row r="265" ht="24" customHeight="1">
      <c r="A265" s="24" t="inlineStr">
        <is>
          <t>154</t>
        </is>
      </c>
      <c r="B265" s="24" t="inlineStr">
        <is>
          <t>해당 없음</t>
        </is>
      </c>
      <c r="C265" s="24" t="inlineStr">
        <is>
          <t>고영</t>
        </is>
      </c>
      <c r="D265" s="24" t="inlineStr">
        <is>
          <t>098460</t>
        </is>
      </c>
      <c r="E265" s="24" t="inlineStr">
        <is>
          <t>KOSDAQ</t>
        </is>
      </c>
      <c r="F265" s="24" t="inlineStr">
        <is>
          <t>후공정/패키징/테스트</t>
        </is>
      </c>
      <c r="G265" s="24" t="inlineStr">
        <is>
          <t>후공정/패키징/테스트</t>
        </is>
      </c>
      <c r="H265" s="24" t="inlineStr">
        <is>
          <t>False</t>
        </is>
      </c>
      <c r="I265" s="24" t="inlineStr">
        <is>
          <t>True</t>
        </is>
      </c>
      <c r="J265" s="24" t="inlineStr">
        <is>
          <t>OK</t>
        </is>
      </c>
      <c r="K265" s="24" t="inlineStr">
        <is>
          <t>데이터 사용 가능</t>
        </is>
      </c>
      <c r="L265" s="24" t="inlineStr">
        <is>
          <t>LOW</t>
        </is>
      </c>
      <c r="M265" s="24" t="inlineStr">
        <is>
          <t>LOW</t>
        </is>
      </c>
      <c r="N265" s="24" t="inlineStr">
        <is>
          <t>0.3933333333333333</t>
        </is>
      </c>
      <c r="O265" s="24" t="inlineStr">
        <is>
          <t>EXPENSIVE</t>
        </is>
      </c>
      <c r="P265" s="24" t="inlineStr">
        <is>
          <t>EXPENSIVE</t>
        </is>
      </c>
      <c r="Q265" s="24" t="inlineStr">
        <is>
          <t>EXPENSIVE</t>
        </is>
      </c>
      <c r="R265" s="24" t="inlineStr">
        <is>
          <t>0.4306692416005982</t>
        </is>
      </c>
      <c r="S265" s="24" t="inlineStr">
        <is>
          <t>LOW</t>
        </is>
      </c>
      <c r="T265" s="24" t="inlineStr">
        <is>
          <t>LOW</t>
        </is>
      </c>
      <c r="U265" s="24" t="inlineStr">
        <is>
          <t>0.0714285714285714</t>
        </is>
      </c>
      <c r="V265" s="24" t="inlineStr">
        <is>
          <t>LOW_RISK</t>
        </is>
      </c>
      <c r="W265" s="24" t="inlineStr">
        <is>
          <t>저위험</t>
        </is>
      </c>
      <c r="X265" s="24" t="inlineStr">
        <is>
          <t>LOW_RISK</t>
        </is>
      </c>
      <c r="Y265" s="24" t="inlineStr">
        <is>
          <t>0.9147267479763326</t>
        </is>
      </c>
      <c r="Z265" s="24" t="inlineStr">
        <is>
          <t>HIGH</t>
        </is>
      </c>
      <c r="AA265" s="24" t="inlineStr">
        <is>
          <t>HIGH</t>
        </is>
      </c>
      <c r="AB265" s="24" t="inlineStr">
        <is>
          <t>0.05497222824798623</t>
        </is>
      </c>
      <c r="AC265" s="24" t="inlineStr">
        <is>
          <t>False</t>
        </is>
      </c>
      <c r="AD265" s="24" t="inlineStr">
        <is>
          <t>True</t>
        </is>
      </c>
      <c r="AE265" s="24" t="inlineStr">
        <is>
          <t>valuation_credit_ml_overlay_candidate.csv</t>
        </is>
      </c>
      <c r="AF265" s="24" t="inlineStr">
        <is>
          <t>208개 반도체 reference universe. Valuation Agent가 자체 intake 폴더로 복제해 Peer/ML/대시보드 비교에 사용.</t>
        </is>
      </c>
    </row>
    <row r="266" ht="24" customHeight="1">
      <c r="A266" s="29" t="inlineStr">
        <is>
          <t>178</t>
        </is>
      </c>
      <c r="B266" s="29" t="inlineStr">
        <is>
          <t>해당 없음</t>
        </is>
      </c>
      <c r="C266" s="29" t="inlineStr">
        <is>
          <t>웨이비스</t>
        </is>
      </c>
      <c r="D266" s="29" t="inlineStr">
        <is>
          <t>289930</t>
        </is>
      </c>
      <c r="E266" s="29" t="inlineStr">
        <is>
          <t>KOSDAQ</t>
        </is>
      </c>
      <c r="F266" s="29" t="inlineStr">
        <is>
          <t>후공정/패키징/테스트</t>
        </is>
      </c>
      <c r="G266" s="29" t="inlineStr">
        <is>
          <t>후공정/패키징/테스트</t>
        </is>
      </c>
      <c r="H266" s="29" t="inlineStr">
        <is>
          <t>False</t>
        </is>
      </c>
      <c r="I266" s="29" t="inlineStr">
        <is>
          <t>True</t>
        </is>
      </c>
      <c r="J266" s="29" t="inlineStr">
        <is>
          <t>OK_LIMITED_HISTORY_OR_GROWTH_NA</t>
        </is>
      </c>
      <c r="K266" s="29" t="inlineStr">
        <is>
          <t>데이터 사용 가능</t>
        </is>
      </c>
      <c r="L266" s="29" t="inlineStr">
        <is>
          <t>LOW</t>
        </is>
      </c>
      <c r="M266" s="29" t="inlineStr">
        <is>
          <t>LOW</t>
        </is>
      </c>
      <c r="N266" s="29" t="inlineStr">
        <is>
          <t>0.3765925925925926</t>
        </is>
      </c>
      <c r="O266" s="29" t="inlineStr">
        <is>
          <t>EXPENSIVE</t>
        </is>
      </c>
      <c r="P266" s="29" t="inlineStr">
        <is>
          <t>EXPENSIVE</t>
        </is>
      </c>
      <c r="Q266" s="29" t="inlineStr">
        <is>
          <t>EXPENSIVE</t>
        </is>
      </c>
      <c r="R266" s="29" t="inlineStr">
        <is>
          <t>0.5209890944205295</t>
        </is>
      </c>
      <c r="S266" s="29" t="inlineStr">
        <is>
          <t>MEDIUM</t>
        </is>
      </c>
      <c r="T266" s="29" t="inlineStr">
        <is>
          <t>MEDIUM</t>
        </is>
      </c>
      <c r="U266" s="29" t="inlineStr">
        <is>
          <t>0.1428571428571428</t>
        </is>
      </c>
      <c r="V266" s="29" t="inlineStr">
        <is>
          <t>LOW_RISK</t>
        </is>
      </c>
      <c r="W266" s="29" t="inlineStr">
        <is>
          <t>저위험</t>
        </is>
      </c>
      <c r="X266" s="29" t="inlineStr">
        <is>
          <t>LOW_RISK</t>
        </is>
      </c>
      <c r="Y266" s="29" t="inlineStr">
        <is>
          <t>0.5760026387111382</t>
        </is>
      </c>
      <c r="Z266" s="29" t="inlineStr">
        <is>
          <t>MEDIUM</t>
        </is>
      </c>
      <c r="AA266" s="29" t="inlineStr">
        <is>
          <t>MEDIUM</t>
        </is>
      </c>
      <c r="AB266" s="29" t="inlineStr">
        <is>
          <t>0.04339911179550382</t>
        </is>
      </c>
      <c r="AC266" s="29" t="inlineStr">
        <is>
          <t>False</t>
        </is>
      </c>
      <c r="AD266" s="29" t="inlineStr">
        <is>
          <t>True</t>
        </is>
      </c>
      <c r="AE266" s="29" t="inlineStr">
        <is>
          <t>valuation_credit_ml_overlay_candidate.csv</t>
        </is>
      </c>
      <c r="AF266" s="29" t="inlineStr">
        <is>
          <t>208개 반도체 reference universe. Valuation Agent가 자체 intake 폴더로 복제해 Peer/ML/대시보드 비교에 사용.</t>
        </is>
      </c>
    </row>
    <row r="267" ht="24" customHeight="1">
      <c r="A267" s="24" t="inlineStr">
        <is>
          <t>153</t>
        </is>
      </c>
      <c r="B267" s="24" t="inlineStr">
        <is>
          <t>해당 없음</t>
        </is>
      </c>
      <c r="C267" s="24" t="inlineStr">
        <is>
          <t>SFA반도체</t>
        </is>
      </c>
      <c r="D267" s="24" t="inlineStr">
        <is>
          <t>036540</t>
        </is>
      </c>
      <c r="E267" s="24" t="inlineStr">
        <is>
          <t>KOSDAQ</t>
        </is>
      </c>
      <c r="F267" s="24" t="inlineStr">
        <is>
          <t>후공정/패키징/테스트</t>
        </is>
      </c>
      <c r="G267" s="24" t="inlineStr">
        <is>
          <t>후공정/패키징/테스트</t>
        </is>
      </c>
      <c r="H267" s="24" t="inlineStr">
        <is>
          <t>False</t>
        </is>
      </c>
      <c r="I267" s="24" t="inlineStr">
        <is>
          <t>True</t>
        </is>
      </c>
      <c r="J267" s="24" t="inlineStr">
        <is>
          <t>OK</t>
        </is>
      </c>
      <c r="K267" s="24" t="inlineStr">
        <is>
          <t>데이터 사용 가능</t>
        </is>
      </c>
      <c r="L267" s="24" t="inlineStr">
        <is>
          <t>LOW</t>
        </is>
      </c>
      <c r="M267" s="24" t="inlineStr">
        <is>
          <t>LOW</t>
        </is>
      </c>
      <c r="N267" s="24" t="inlineStr">
        <is>
          <t>0.3725925925925926</t>
        </is>
      </c>
      <c r="O267" s="24" t="inlineStr">
        <is>
          <t>EXPENSIVE</t>
        </is>
      </c>
      <c r="P267" s="24" t="inlineStr">
        <is>
          <t>EXPENSIVE</t>
        </is>
      </c>
      <c r="Q267" s="24" t="inlineStr">
        <is>
          <t>EXPENSIVE</t>
        </is>
      </c>
      <c r="R267" s="24" t="inlineStr">
        <is>
          <t>0.7912156659089058</t>
        </is>
      </c>
      <c r="S267" s="24" t="inlineStr">
        <is>
          <t>HIGH</t>
        </is>
      </c>
      <c r="T267" s="24" t="inlineStr">
        <is>
          <t>HIGH</t>
        </is>
      </c>
      <c r="U267" s="24" t="inlineStr">
        <is>
          <t>0.2857142857142857</t>
        </is>
      </c>
      <c r="V267" s="24" t="inlineStr">
        <is>
          <t>MEDIUM_RISK</t>
        </is>
      </c>
      <c r="W267" s="24" t="inlineStr">
        <is>
          <t>중위험</t>
        </is>
      </c>
      <c r="X267" s="24" t="inlineStr">
        <is>
          <t>MEDIUM_RISK</t>
        </is>
      </c>
      <c r="Y267" s="24" t="inlineStr">
        <is>
          <t>0.6035260416354965</t>
        </is>
      </c>
      <c r="Z267" s="24" t="inlineStr">
        <is>
          <t>MEDIUM</t>
        </is>
      </c>
      <c r="AA267" s="24" t="inlineStr">
        <is>
          <t>MEDIUM</t>
        </is>
      </c>
      <c r="AB267" s="24" t="inlineStr">
        <is>
          <t>0.060421941503641885</t>
        </is>
      </c>
      <c r="AC267" s="24" t="inlineStr">
        <is>
          <t>False</t>
        </is>
      </c>
      <c r="AD267" s="24" t="inlineStr">
        <is>
          <t>False</t>
        </is>
      </c>
      <c r="AE267" s="24" t="inlineStr">
        <is>
          <t>valuation_credit_ml_overlay_candidate.csv</t>
        </is>
      </c>
      <c r="AF267" s="24" t="inlineStr">
        <is>
          <t>208개 반도체 reference universe. Valuation Agent가 자체 intake 폴더로 복제해 Peer/ML/대시보드 비교에 사용.</t>
        </is>
      </c>
    </row>
    <row r="268" ht="24" customHeight="1">
      <c r="A268" s="29" t="inlineStr">
        <is>
          <t>181</t>
        </is>
      </c>
      <c r="B268" s="29" t="inlineStr">
        <is>
          <t>해당 없음</t>
        </is>
      </c>
      <c r="C268" s="29" t="inlineStr">
        <is>
          <t>인텍플러스</t>
        </is>
      </c>
      <c r="D268" s="29" t="inlineStr">
        <is>
          <t>064290</t>
        </is>
      </c>
      <c r="E268" s="29" t="inlineStr">
        <is>
          <t>KOSDAQ</t>
        </is>
      </c>
      <c r="F268" s="29" t="inlineStr">
        <is>
          <t>후공정/패키징/테스트</t>
        </is>
      </c>
      <c r="G268" s="29" t="inlineStr">
        <is>
          <t>후공정/패키징/테스트</t>
        </is>
      </c>
      <c r="H268" s="29" t="inlineStr">
        <is>
          <t>False</t>
        </is>
      </c>
      <c r="I268" s="29" t="inlineStr">
        <is>
          <t>True</t>
        </is>
      </c>
      <c r="J268" s="29" t="inlineStr">
        <is>
          <t>OK</t>
        </is>
      </c>
      <c r="K268" s="29" t="inlineStr">
        <is>
          <t>데이터 사용 가능</t>
        </is>
      </c>
      <c r="L268" s="29" t="inlineStr">
        <is>
          <t>LOW</t>
        </is>
      </c>
      <c r="M268" s="29" t="inlineStr">
        <is>
          <t>LOW</t>
        </is>
      </c>
      <c r="N268" s="29" t="inlineStr">
        <is>
          <t>0.3431111111111111</t>
        </is>
      </c>
      <c r="O268" s="29" t="inlineStr">
        <is>
          <t>EXPENSIVE</t>
        </is>
      </c>
      <c r="P268" s="29" t="inlineStr">
        <is>
          <t>EXPENSIVE</t>
        </is>
      </c>
      <c r="Q268" s="29" t="inlineStr">
        <is>
          <t>EXPENSIVE</t>
        </is>
      </c>
      <c r="R268" s="29" t="inlineStr">
        <is>
          <t>0.7612288958400996</t>
        </is>
      </c>
      <c r="S268" s="29" t="inlineStr">
        <is>
          <t>HIGH</t>
        </is>
      </c>
      <c r="T268" s="29" t="inlineStr">
        <is>
          <t>HIGH</t>
        </is>
      </c>
      <c r="U268" s="29" t="inlineStr">
        <is>
          <t>0.4285714285714285</t>
        </is>
      </c>
      <c r="V268" s="29" t="inlineStr">
        <is>
          <t>HIGH_RISK</t>
        </is>
      </c>
      <c r="W268" s="29" t="inlineStr">
        <is>
          <t>고위험</t>
        </is>
      </c>
      <c r="X268" s="29" t="inlineStr">
        <is>
          <t>MEDIUM_RISK</t>
        </is>
      </c>
      <c r="Y268" s="29" t="inlineStr">
        <is>
          <t>0.5782298550270377</t>
        </is>
      </c>
      <c r="Z268" s="29" t="inlineStr">
        <is>
          <t>MEDIUM</t>
        </is>
      </c>
      <c r="AA268" s="29" t="inlineStr">
        <is>
          <t>MEDIUM</t>
        </is>
      </c>
      <c r="AB268" s="29" t="inlineStr">
        <is>
          <t>0.054796756066406084</t>
        </is>
      </c>
      <c r="AC268" s="29" t="inlineStr">
        <is>
          <t>False</t>
        </is>
      </c>
      <c r="AD268" s="29" t="inlineStr">
        <is>
          <t>False</t>
        </is>
      </c>
      <c r="AE268" s="29" t="inlineStr">
        <is>
          <t>valuation_credit_ml_overlay_candidate.csv</t>
        </is>
      </c>
      <c r="AF268" s="29" t="inlineStr">
        <is>
          <t>208개 반도체 reference universe. Valuation Agent가 자체 intake 폴더로 복제해 Peer/ML/대시보드 비교에 사용.</t>
        </is>
      </c>
    </row>
    <row r="269" ht="24" customHeight="1">
      <c r="A269" s="24" t="inlineStr">
        <is>
          <t>193</t>
        </is>
      </c>
      <c r="B269" s="24" t="inlineStr">
        <is>
          <t>해당 없음</t>
        </is>
      </c>
      <c r="C269" s="24" t="inlineStr">
        <is>
          <t>한울반도체</t>
        </is>
      </c>
      <c r="D269" s="24" t="inlineStr">
        <is>
          <t>320000</t>
        </is>
      </c>
      <c r="E269" s="24" t="inlineStr">
        <is>
          <t>KOSDAQ</t>
        </is>
      </c>
      <c r="F269" s="24" t="inlineStr">
        <is>
          <t>후공정/패키징/테스트</t>
        </is>
      </c>
      <c r="G269" s="24" t="inlineStr">
        <is>
          <t>후공정/패키징/테스트</t>
        </is>
      </c>
      <c r="H269" s="24" t="inlineStr">
        <is>
          <t>False</t>
        </is>
      </c>
      <c r="I269" s="24" t="inlineStr">
        <is>
          <t>True</t>
        </is>
      </c>
      <c r="J269" s="24" t="inlineStr">
        <is>
          <t>OK</t>
        </is>
      </c>
      <c r="K269" s="24" t="inlineStr">
        <is>
          <t>데이터 사용 가능</t>
        </is>
      </c>
      <c r="L269" s="24" t="inlineStr">
        <is>
          <t>LOW</t>
        </is>
      </c>
      <c r="M269" s="24" t="inlineStr">
        <is>
          <t>LOW</t>
        </is>
      </c>
      <c r="N269" s="24" t="inlineStr">
        <is>
          <t>0.3376296296296296</t>
        </is>
      </c>
      <c r="O269" s="24" t="inlineStr">
        <is>
          <t>EXPENSIVE</t>
        </is>
      </c>
      <c r="P269" s="24" t="inlineStr">
        <is>
          <t>EXPENSIVE</t>
        </is>
      </c>
      <c r="Q269" s="24" t="inlineStr">
        <is>
          <t>EXPENSIVE</t>
        </is>
      </c>
      <c r="R269" s="24" t="inlineStr">
        <is>
          <t>0.7769228627558715</t>
        </is>
      </c>
      <c r="S269" s="24" t="inlineStr">
        <is>
          <t>HIGH</t>
        </is>
      </c>
      <c r="T269" s="24" t="inlineStr">
        <is>
          <t>HIGH</t>
        </is>
      </c>
      <c r="U269" s="24" t="inlineStr">
        <is>
          <t>0.7142857142857143</t>
        </is>
      </c>
      <c r="V269" s="24" t="inlineStr">
        <is>
          <t>HIGH_RISK</t>
        </is>
      </c>
      <c r="W269" s="24" t="inlineStr">
        <is>
          <t>고위험</t>
        </is>
      </c>
      <c r="X269" s="24" t="inlineStr">
        <is>
          <t>HIGH_RISK</t>
        </is>
      </c>
      <c r="Y269" s="24" t="inlineStr">
        <is>
          <t>0.9268996528836525</t>
        </is>
      </c>
      <c r="Z269" s="24" t="inlineStr">
        <is>
          <t>HIGH</t>
        </is>
      </c>
      <c r="AA269" s="24" t="inlineStr">
        <is>
          <t>HIGH</t>
        </is>
      </c>
      <c r="AB269" s="24" t="inlineStr">
        <is>
          <t>0.3732718821533064</t>
        </is>
      </c>
      <c r="AC269" s="24" t="inlineStr">
        <is>
          <t>True</t>
        </is>
      </c>
      <c r="AD269" s="24" t="inlineStr">
        <is>
          <t>True</t>
        </is>
      </c>
      <c r="AE269" s="24" t="inlineStr">
        <is>
          <t>valuation_credit_ml_overlay_candidate.csv</t>
        </is>
      </c>
      <c r="AF269" s="24" t="inlineStr">
        <is>
          <t>208개 반도체 reference universe. Valuation Agent가 자체 intake 폴더로 복제해 Peer/ML/대시보드 비교에 사용.</t>
        </is>
      </c>
    </row>
    <row r="270" ht="24" customHeight="1">
      <c r="A270" s="29" t="inlineStr">
        <is>
          <t>180</t>
        </is>
      </c>
      <c r="B270" s="29" t="inlineStr">
        <is>
          <t>해당 없음</t>
        </is>
      </c>
      <c r="C270" s="29" t="inlineStr">
        <is>
          <t>유니테스트</t>
        </is>
      </c>
      <c r="D270" s="29" t="inlineStr">
        <is>
          <t>086390</t>
        </is>
      </c>
      <c r="E270" s="29" t="inlineStr">
        <is>
          <t>KOSDAQ</t>
        </is>
      </c>
      <c r="F270" s="29" t="inlineStr">
        <is>
          <t>후공정/패키징/테스트</t>
        </is>
      </c>
      <c r="G270" s="29" t="inlineStr">
        <is>
          <t>후공정/패키징/테스트</t>
        </is>
      </c>
      <c r="H270" s="29" t="inlineStr">
        <is>
          <t>False</t>
        </is>
      </c>
      <c r="I270" s="29" t="inlineStr">
        <is>
          <t>True</t>
        </is>
      </c>
      <c r="J270" s="29" t="inlineStr">
        <is>
          <t>OK</t>
        </is>
      </c>
      <c r="K270" s="29" t="inlineStr">
        <is>
          <t>데이터 사용 가능</t>
        </is>
      </c>
      <c r="L270" s="29" t="inlineStr">
        <is>
          <t>LOW</t>
        </is>
      </c>
      <c r="M270" s="29" t="inlineStr">
        <is>
          <t>LOW</t>
        </is>
      </c>
      <c r="N270" s="29" t="inlineStr">
        <is>
          <t>0.3371851851851852</t>
        </is>
      </c>
      <c r="O270" s="29" t="inlineStr">
        <is>
          <t>EXPENSIVE</t>
        </is>
      </c>
      <c r="P270" s="29" t="inlineStr">
        <is>
          <t>EXPENSIVE</t>
        </is>
      </c>
      <c r="Q270" s="29" t="inlineStr">
        <is>
          <t>EXPENSIVE</t>
        </is>
      </c>
      <c r="R270" s="29" t="inlineStr">
        <is>
          <t>0.9109345080202441</t>
        </is>
      </c>
      <c r="S270" s="29" t="inlineStr">
        <is>
          <t>HIGH</t>
        </is>
      </c>
      <c r="T270" s="29" t="inlineStr">
        <is>
          <t>HIGH</t>
        </is>
      </c>
      <c r="U270" s="29" t="inlineStr">
        <is>
          <t>0.5714285714285714</t>
        </is>
      </c>
      <c r="V270" s="29" t="inlineStr">
        <is>
          <t>HIGH_RISK</t>
        </is>
      </c>
      <c r="W270" s="29" t="inlineStr">
        <is>
          <t>고위험</t>
        </is>
      </c>
      <c r="X270" s="29" t="inlineStr">
        <is>
          <t>HIGH_RISK</t>
        </is>
      </c>
      <c r="Y270" s="29" t="inlineStr">
        <is>
          <t>0.9310666121801914</t>
        </is>
      </c>
      <c r="Z270" s="29" t="inlineStr">
        <is>
          <t>HIGH</t>
        </is>
      </c>
      <c r="AA270" s="29" t="inlineStr">
        <is>
          <t>HIGH</t>
        </is>
      </c>
      <c r="AB270" s="29" t="inlineStr">
        <is>
          <t>0.07777762014388422</t>
        </is>
      </c>
      <c r="AC270" s="29" t="inlineStr">
        <is>
          <t>False</t>
        </is>
      </c>
      <c r="AD270" s="29" t="inlineStr">
        <is>
          <t>False</t>
        </is>
      </c>
      <c r="AE270" s="29" t="inlineStr">
        <is>
          <t>valuation_credit_ml_overlay_candidate.csv</t>
        </is>
      </c>
      <c r="AF270" s="29" t="inlineStr">
        <is>
          <t>208개 반도체 reference universe. Valuation Agent가 자체 intake 폴더로 복제해 Peer/ML/대시보드 비교에 사용.</t>
        </is>
      </c>
    </row>
    <row r="271" ht="24" customHeight="1">
      <c r="A271" s="24" t="inlineStr">
        <is>
          <t>159</t>
        </is>
      </c>
      <c r="B271" s="24" t="inlineStr">
        <is>
          <t>해당 없음</t>
        </is>
      </c>
      <c r="C271" s="24" t="inlineStr">
        <is>
          <t>두산테스나</t>
        </is>
      </c>
      <c r="D271" s="24" t="inlineStr">
        <is>
          <t>131970</t>
        </is>
      </c>
      <c r="E271" s="24" t="inlineStr">
        <is>
          <t>KOSDAQ GLOBAL</t>
        </is>
      </c>
      <c r="F271" s="24" t="inlineStr">
        <is>
          <t>후공정/패키징/테스트</t>
        </is>
      </c>
      <c r="G271" s="24" t="inlineStr">
        <is>
          <t>후공정/패키징/테스트</t>
        </is>
      </c>
      <c r="H271" s="24" t="inlineStr">
        <is>
          <t>False</t>
        </is>
      </c>
      <c r="I271" s="24" t="inlineStr">
        <is>
          <t>True</t>
        </is>
      </c>
      <c r="J271" s="24" t="inlineStr">
        <is>
          <t>OK</t>
        </is>
      </c>
      <c r="K271" s="24" t="inlineStr">
        <is>
          <t>데이터 사용 가능</t>
        </is>
      </c>
      <c r="L271" s="24" t="inlineStr">
        <is>
          <t>LOW</t>
        </is>
      </c>
      <c r="M271" s="24" t="inlineStr">
        <is>
          <t>LOW</t>
        </is>
      </c>
      <c r="N271" s="24" t="inlineStr">
        <is>
          <t>0.3217037037037037</t>
        </is>
      </c>
      <c r="O271" s="24" t="inlineStr">
        <is>
          <t>EXPENSIVE</t>
        </is>
      </c>
      <c r="P271" s="24" t="inlineStr">
        <is>
          <t>EXPENSIVE</t>
        </is>
      </c>
      <c r="Q271" s="24" t="inlineStr">
        <is>
          <t>EXPENSIVE</t>
        </is>
      </c>
      <c r="R271" s="24" t="inlineStr">
        <is>
          <t>0.5774876642912814</t>
        </is>
      </c>
      <c r="S271" s="24" t="inlineStr">
        <is>
          <t>MEDIUM</t>
        </is>
      </c>
      <c r="T271" s="24" t="inlineStr">
        <is>
          <t>MEDIUM</t>
        </is>
      </c>
      <c r="U271" s="24" t="inlineStr">
        <is>
          <t>0.1428571428571428</t>
        </is>
      </c>
      <c r="V271" s="24" t="inlineStr">
        <is>
          <t>LOW_RISK</t>
        </is>
      </c>
      <c r="W271" s="24" t="inlineStr">
        <is>
          <t>저위험</t>
        </is>
      </c>
      <c r="X271" s="24" t="inlineStr">
        <is>
          <t>LOW_RISK</t>
        </is>
      </c>
      <c r="Y271" s="24" t="inlineStr">
        <is>
          <t>0.5730698742411416</t>
        </is>
      </c>
      <c r="Z271" s="24" t="inlineStr">
        <is>
          <t>MEDIUM</t>
        </is>
      </c>
      <c r="AA271" s="24" t="inlineStr">
        <is>
          <t>MEDIUM</t>
        </is>
      </c>
      <c r="AB271" s="24" t="inlineStr">
        <is>
          <t>0.11339298523731103</t>
        </is>
      </c>
      <c r="AC271" s="24" t="inlineStr">
        <is>
          <t>False</t>
        </is>
      </c>
      <c r="AD271" s="24" t="inlineStr">
        <is>
          <t>False</t>
        </is>
      </c>
      <c r="AE271" s="24" t="inlineStr">
        <is>
          <t>valuation_credit_ml_overlay_candidate.csv</t>
        </is>
      </c>
      <c r="AF271" s="24" t="inlineStr">
        <is>
          <t>208개 반도체 reference universe. Valuation Agent가 자체 intake 폴더로 복제해 Peer/ML/대시보드 비교에 사용.</t>
        </is>
      </c>
    </row>
    <row r="272" ht="24" customHeight="1">
      <c r="A272" s="29" t="inlineStr">
        <is>
          <t>156</t>
        </is>
      </c>
      <c r="B272" s="29" t="inlineStr">
        <is>
          <t>해당 없음</t>
        </is>
      </c>
      <c r="C272" s="29" t="inlineStr">
        <is>
          <t>네오셈</t>
        </is>
      </c>
      <c r="D272" s="29" t="inlineStr">
        <is>
          <t>253590</t>
        </is>
      </c>
      <c r="E272" s="29" t="inlineStr">
        <is>
          <t>KOSDAQ</t>
        </is>
      </c>
      <c r="F272" s="29" t="inlineStr">
        <is>
          <t>후공정/패키징/테스트</t>
        </is>
      </c>
      <c r="G272" s="29" t="inlineStr">
        <is>
          <t>후공정/패키징/테스트</t>
        </is>
      </c>
      <c r="H272" s="29" t="inlineStr">
        <is>
          <t>False</t>
        </is>
      </c>
      <c r="I272" s="29" t="inlineStr">
        <is>
          <t>True</t>
        </is>
      </c>
      <c r="J272" s="29" t="inlineStr">
        <is>
          <t>OK</t>
        </is>
      </c>
      <c r="K272" s="29" t="inlineStr">
        <is>
          <t>데이터 사용 가능</t>
        </is>
      </c>
      <c r="L272" s="29" t="inlineStr">
        <is>
          <t>LOW</t>
        </is>
      </c>
      <c r="M272" s="29" t="inlineStr">
        <is>
          <t>LOW</t>
        </is>
      </c>
      <c r="N272" s="29" t="inlineStr">
        <is>
          <t>0.3059259259259259</t>
        </is>
      </c>
      <c r="O272" s="29" t="inlineStr">
        <is>
          <t>EXPENSIVE</t>
        </is>
      </c>
      <c r="P272" s="29" t="inlineStr">
        <is>
          <t>EXPENSIVE</t>
        </is>
      </c>
      <c r="Q272" s="29" t="inlineStr">
        <is>
          <t>EXPENSIVE</t>
        </is>
      </c>
      <c r="R272" s="29" t="inlineStr">
        <is>
          <t>0.7695353673338539</t>
        </is>
      </c>
      <c r="S272" s="29" t="inlineStr">
        <is>
          <t>HIGH</t>
        </is>
      </c>
      <c r="T272" s="29" t="inlineStr">
        <is>
          <t>HIGH</t>
        </is>
      </c>
      <c r="U272" s="29" t="inlineStr">
        <is>
          <t>0.0714285714285714</t>
        </is>
      </c>
      <c r="V272" s="29" t="inlineStr">
        <is>
          <t>LOW_RISK</t>
        </is>
      </c>
      <c r="W272" s="29" t="inlineStr">
        <is>
          <t>저위험</t>
        </is>
      </c>
      <c r="X272" s="29" t="inlineStr">
        <is>
          <t>LOW_RISK</t>
        </is>
      </c>
      <c r="Y272" s="29" t="inlineStr">
        <is>
          <t>0.7735591671201707</t>
        </is>
      </c>
      <c r="Z272" s="29" t="inlineStr">
        <is>
          <t>HIGH</t>
        </is>
      </c>
      <c r="AA272" s="29" t="inlineStr">
        <is>
          <t>HIGH</t>
        </is>
      </c>
      <c r="AB272" s="29" t="inlineStr">
        <is>
          <t>0.06887713556186657</t>
        </is>
      </c>
      <c r="AC272" s="29" t="inlineStr">
        <is>
          <t>False</t>
        </is>
      </c>
      <c r="AD272" s="29" t="inlineStr">
        <is>
          <t>False</t>
        </is>
      </c>
      <c r="AE272" s="29" t="inlineStr">
        <is>
          <t>valuation_credit_ml_overlay_candidate.csv</t>
        </is>
      </c>
      <c r="AF272" s="29" t="inlineStr">
        <is>
          <t>208개 반도체 reference universe. Valuation Agent가 자체 intake 폴더로 복제해 Peer/ML/대시보드 비교에 사용.</t>
        </is>
      </c>
    </row>
    <row r="273" ht="24" customHeight="1">
      <c r="A273" s="24" t="inlineStr">
        <is>
          <t>190</t>
        </is>
      </c>
      <c r="B273" s="24" t="inlineStr">
        <is>
          <t>해당 없음</t>
        </is>
      </c>
      <c r="C273" s="24" t="inlineStr">
        <is>
          <t>피엠티</t>
        </is>
      </c>
      <c r="D273" s="24" t="inlineStr">
        <is>
          <t>147760</t>
        </is>
      </c>
      <c r="E273" s="24" t="inlineStr">
        <is>
          <t>KOSDAQ</t>
        </is>
      </c>
      <c r="F273" s="24" t="inlineStr">
        <is>
          <t>후공정/패키징/테스트</t>
        </is>
      </c>
      <c r="G273" s="24" t="inlineStr">
        <is>
          <t>후공정/패키징/테스트</t>
        </is>
      </c>
      <c r="H273" s="24" t="inlineStr">
        <is>
          <t>False</t>
        </is>
      </c>
      <c r="I273" s="24" t="inlineStr">
        <is>
          <t>True</t>
        </is>
      </c>
      <c r="J273" s="24" t="inlineStr">
        <is>
          <t>OK</t>
        </is>
      </c>
      <c r="K273" s="24" t="inlineStr">
        <is>
          <t>데이터 사용 가능</t>
        </is>
      </c>
      <c r="L273" s="24" t="inlineStr">
        <is>
          <t>LOW</t>
        </is>
      </c>
      <c r="M273" s="24" t="inlineStr">
        <is>
          <t>LOW</t>
        </is>
      </c>
      <c r="N273" s="24" t="inlineStr">
        <is>
          <t>0.2471111111111111</t>
        </is>
      </c>
      <c r="O273" s="24" t="inlineStr">
        <is>
          <t>EXPENSIVE</t>
        </is>
      </c>
      <c r="P273" s="24" t="inlineStr">
        <is>
          <t>EXPENSIVE</t>
        </is>
      </c>
      <c r="Q273" s="24" t="inlineStr">
        <is>
          <t>EXPENSIVE</t>
        </is>
      </c>
      <c r="R273" s="24" t="inlineStr">
        <is>
          <t>0.952821790032095</t>
        </is>
      </c>
      <c r="S273" s="24" t="inlineStr">
        <is>
          <t>HIGH</t>
        </is>
      </c>
      <c r="T273" s="24" t="inlineStr">
        <is>
          <t>HIGH</t>
        </is>
      </c>
      <c r="U273" s="24" t="inlineStr">
        <is>
          <t>0.7857142857142857</t>
        </is>
      </c>
      <c r="V273" s="24" t="inlineStr">
        <is>
          <t>HIGH_RISK</t>
        </is>
      </c>
      <c r="W273" s="24" t="inlineStr">
        <is>
          <t>고위험</t>
        </is>
      </c>
      <c r="X273" s="24" t="inlineStr">
        <is>
          <t>HIGH_RISK</t>
        </is>
      </c>
      <c r="Y273" s="24" t="inlineStr">
        <is>
          <t>0.9374258948385606</t>
        </is>
      </c>
      <c r="Z273" s="24" t="inlineStr">
        <is>
          <t>HIGH</t>
        </is>
      </c>
      <c r="AA273" s="24" t="inlineStr">
        <is>
          <t>HIGH</t>
        </is>
      </c>
      <c r="AB273" s="24" t="inlineStr">
        <is>
          <t>0.45054632167168013</t>
        </is>
      </c>
      <c r="AC273" s="24" t="inlineStr">
        <is>
          <t>True</t>
        </is>
      </c>
      <c r="AD273" s="24" t="inlineStr">
        <is>
          <t>True</t>
        </is>
      </c>
      <c r="AE273" s="24" t="inlineStr">
        <is>
          <t>valuation_credit_ml_overlay_candidate.csv</t>
        </is>
      </c>
      <c r="AF273" s="24" t="inlineStr">
        <is>
          <t>208개 반도체 reference universe. Valuation Agent가 자체 intake 폴더로 복제해 Peer/ML/대시보드 비교에 사용.</t>
        </is>
      </c>
    </row>
    <row r="274" ht="24" customHeight="1">
      <c r="A274" s="29" t="inlineStr">
        <is>
          <t>186</t>
        </is>
      </c>
      <c r="B274" s="29" t="inlineStr">
        <is>
          <t>해당 없음</t>
        </is>
      </c>
      <c r="C274" s="29" t="inlineStr">
        <is>
          <t>테크윙</t>
        </is>
      </c>
      <c r="D274" s="29" t="inlineStr">
        <is>
          <t>089030</t>
        </is>
      </c>
      <c r="E274" s="29" t="inlineStr">
        <is>
          <t>KOSDAQ</t>
        </is>
      </c>
      <c r="F274" s="29" t="inlineStr">
        <is>
          <t>후공정/패키징/테스트</t>
        </is>
      </c>
      <c r="G274" s="29" t="inlineStr">
        <is>
          <t>후공정/패키징/테스트</t>
        </is>
      </c>
      <c r="H274" s="29" t="inlineStr">
        <is>
          <t>False</t>
        </is>
      </c>
      <c r="I274" s="29" t="inlineStr">
        <is>
          <t>True</t>
        </is>
      </c>
      <c r="J274" s="29" t="inlineStr">
        <is>
          <t>OK</t>
        </is>
      </c>
      <c r="K274" s="29" t="inlineStr">
        <is>
          <t>데이터 사용 가능</t>
        </is>
      </c>
      <c r="L274" s="29" t="inlineStr">
        <is>
          <t>LOW</t>
        </is>
      </c>
      <c r="M274" s="29" t="inlineStr">
        <is>
          <t>LOW</t>
        </is>
      </c>
      <c r="N274" s="29" t="inlineStr">
        <is>
          <t>0.2205925925925926</t>
        </is>
      </c>
      <c r="O274" s="29" t="inlineStr">
        <is>
          <t>EXPENSIVE</t>
        </is>
      </c>
      <c r="P274" s="29" t="inlineStr">
        <is>
          <t>EXPENSIVE</t>
        </is>
      </c>
      <c r="Q274" s="29" t="inlineStr">
        <is>
          <t>EXPENSIVE</t>
        </is>
      </c>
      <c r="R274" s="29" t="inlineStr">
        <is>
          <t>0.7946423848576873</t>
        </is>
      </c>
      <c r="S274" s="29" t="inlineStr">
        <is>
          <t>HIGH</t>
        </is>
      </c>
      <c r="T274" s="29" t="inlineStr">
        <is>
          <t>HIGH</t>
        </is>
      </c>
      <c r="U274" s="29" t="inlineStr">
        <is>
          <t>0.5714285714285714</t>
        </is>
      </c>
      <c r="V274" s="29" t="inlineStr">
        <is>
          <t>HIGH_RISK</t>
        </is>
      </c>
      <c r="W274" s="29" t="inlineStr">
        <is>
          <t>고위험</t>
        </is>
      </c>
      <c r="X274" s="29" t="inlineStr">
        <is>
          <t>MEDIUM_RISK</t>
        </is>
      </c>
      <c r="Y274" s="29" t="inlineStr">
        <is>
          <t>0.4396420822644243</t>
        </is>
      </c>
      <c r="Z274" s="29" t="inlineStr">
        <is>
          <t>LOW</t>
        </is>
      </c>
      <c r="AA274" s="29" t="inlineStr">
        <is>
          <t>LOW</t>
        </is>
      </c>
      <c r="AB274" s="29" t="inlineStr">
        <is>
          <t>0.13035438491081522</t>
        </is>
      </c>
      <c r="AC274" s="29" t="inlineStr">
        <is>
          <t>False</t>
        </is>
      </c>
      <c r="AD274" s="29" t="inlineStr">
        <is>
          <t>True</t>
        </is>
      </c>
      <c r="AE274" s="29" t="inlineStr">
        <is>
          <t>valuation_credit_ml_overlay_candidate.csv</t>
        </is>
      </c>
      <c r="AF274" s="29" t="inlineStr">
        <is>
          <t>208개 반도체 reference universe. Valuation Agent가 자체 intake 폴더로 복제해 Peer/ML/대시보드 비교에 사용.</t>
        </is>
      </c>
    </row>
  </sheetData>
  <autoFilter ref="A66:AF274"/>
  <mergeCells count="5">
    <mergeCell ref="A2:L2"/>
    <mergeCell ref="A1:L1"/>
    <mergeCell ref="A4:F4"/>
    <mergeCell ref="A21:F21"/>
    <mergeCell ref="A65:F65"/>
  </mergeCells>
  <pageMargins left="0.75" right="0.75" top="1" bottom="1" header="0.5" footer="0.5"/>
  <pageSetup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36" customWidth="1" min="2" max="2"/>
    <col width="17" customWidth="1" min="3" max="3"/>
    <col width="36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한미반도체 가치평가 브릿지</t>
        </is>
      </c>
    </row>
    <row r="2" ht="28" customHeight="1">
      <c r="A2" s="17" t="inlineStr">
        <is>
          <t>DCF · Peer P/S · 208개 Universe · 품질 ML · 유동성/리스크를 하나의 보조 점수로 연결</t>
        </is>
      </c>
    </row>
    <row r="3" ht="24" customHeight="1"/>
    <row r="4" ht="24" customHeight="1">
      <c r="A4" s="18" t="inlineStr">
        <is>
          <t>종합 점수</t>
        </is>
      </c>
      <c r="B4" s="19" t="n"/>
      <c r="C4" s="18" t="inlineStr">
        <is>
          <t>DCF 괴리율</t>
        </is>
      </c>
      <c r="D4" s="19" t="n"/>
      <c r="E4" s="18" t="inlineStr">
        <is>
          <t>P/S</t>
        </is>
      </c>
      <c r="F4" s="19" t="n"/>
      <c r="G4" s="18" t="inlineStr">
        <is>
          <t>Peer P/S 중앙값</t>
        </is>
      </c>
      <c r="H4" s="19" t="n"/>
      <c r="I4" s="18" t="inlineStr">
        <is>
          <t>208개 Universe</t>
        </is>
      </c>
      <c r="J4" s="19" t="n"/>
    </row>
    <row r="5" ht="24" customHeight="1">
      <c r="A5" s="20" t="inlineStr">
        <is>
          <t>36.9/100</t>
        </is>
      </c>
      <c r="B5" s="19" t="n"/>
      <c r="C5" s="20" t="inlineStr">
        <is>
          <t>-93.8%</t>
        </is>
      </c>
      <c r="D5" s="19" t="n"/>
      <c r="E5" s="20" t="inlineStr">
        <is>
          <t>48.18배</t>
        </is>
      </c>
      <c r="F5" s="19" t="n"/>
      <c r="G5" s="20" t="inlineStr">
        <is>
          <t>3.62배</t>
        </is>
      </c>
      <c r="H5" s="19" t="n"/>
      <c r="I5" s="20" t="inlineStr">
        <is>
          <t>208개</t>
        </is>
      </c>
      <c r="J5" s="19" t="n"/>
    </row>
    <row r="6" ht="24" customHeight="1">
      <c r="A6" s="21" t="inlineStr">
        <is>
          <t>밸류에이션 부담</t>
        </is>
      </c>
      <c r="B6" s="19" t="n"/>
      <c r="C6" s="21" t="inlineStr">
        <is>
          <t>내재주가/현재가-1</t>
        </is>
      </c>
      <c r="D6" s="19" t="n"/>
      <c r="E6" s="21" t="inlineStr">
        <is>
          <t>피어 대비 고PSR 구간: 성장 프리미엄 또는 밸류 부담 확인 필요</t>
        </is>
      </c>
      <c r="F6" s="19" t="n"/>
      <c r="G6" s="21" t="inlineStr">
        <is>
          <t>live peer 기준</t>
        </is>
      </c>
      <c r="H6" s="19" t="n"/>
      <c r="I6" s="21" t="inlineStr">
        <is>
          <t>후공정/패키징/테스트</t>
        </is>
      </c>
      <c r="J6" s="19" t="n"/>
    </row>
    <row r="7" ht="24" customHeight="1"/>
    <row r="8" ht="24" customHeight="1"/>
    <row r="9" ht="24" customHeight="1">
      <c r="A9" s="22" t="inlineStr">
        <is>
          <t>핵심 해석</t>
        </is>
      </c>
    </row>
    <row r="10" ht="24" customHeight="1">
      <c r="A10" s="25" t="inlineStr">
        <is>
          <t>구분</t>
        </is>
      </c>
      <c r="B10" s="25" t="inlineStr">
        <is>
          <t>내용</t>
        </is>
      </c>
    </row>
    <row r="11" ht="24" customHeight="1">
      <c r="A11" s="24" t="inlineStr">
        <is>
          <t>역할</t>
        </is>
      </c>
      <c r="B11" s="24" t="inlineStr">
        <is>
          <t>Chair 최종 가중합을 대체하지 않는 보조 밸류에이션 판단 근거</t>
        </is>
      </c>
    </row>
    <row r="12" ht="24" customHeight="1">
      <c r="A12" s="29" t="inlineStr">
        <is>
          <t>해석</t>
        </is>
      </c>
      <c r="B12" s="29" t="inlineStr">
        <is>
          <t>DCF·상대가치 또는 품질 지표의 보수적 확인이 필요합니다.</t>
        </is>
      </c>
    </row>
    <row r="13" ht="24" customHeight="1">
      <c r="A13" s="24" t="inlineStr">
        <is>
          <t>방법</t>
        </is>
      </c>
      <c r="B13" s="24" t="inlineStr">
        <is>
          <t>DCF 25% + Peer P/S 15% + 품질 ML 15% + 208개 Universe 10% + 가치범위표/역산 DCF/오너 이익 20% + 유동성/리스크 10% + 검증 5%</t>
        </is>
      </c>
    </row>
    <row r="14" ht="24" customHeight="1">
      <c r="A14" s="29" t="inlineStr">
        <is>
          <t>검증상태</t>
        </is>
      </c>
      <c r="B14" s="29" t="inlineStr">
        <is>
          <t>PASS</t>
        </is>
      </c>
    </row>
    <row r="15" ht="24" customHeight="1"/>
    <row r="16" ht="24" customHeight="1"/>
    <row r="17" ht="24" customHeight="1">
      <c r="A17" s="22" t="inlineStr">
        <is>
          <t>가중 점수 구성</t>
        </is>
      </c>
    </row>
    <row r="18" ht="24" customHeight="1">
      <c r="A18" s="25" t="inlineStr">
        <is>
          <t>요인 코드</t>
        </is>
      </c>
      <c r="B18" s="25" t="inlineStr">
        <is>
          <t>요인</t>
        </is>
      </c>
      <c r="C18" s="25" t="inlineStr">
        <is>
          <t>가중치</t>
        </is>
      </c>
      <c r="D18" s="25" t="inlineStr">
        <is>
          <t>원천값</t>
        </is>
      </c>
      <c r="E18" s="25" t="inlineStr">
        <is>
          <t>점수</t>
        </is>
      </c>
      <c r="F18" s="25" t="inlineStr">
        <is>
          <t>해석</t>
        </is>
      </c>
    </row>
    <row r="19" ht="24" customHeight="1">
      <c r="A19" s="24" t="inlineStr">
        <is>
          <t>DCF_UPSIDE</t>
        </is>
      </c>
      <c r="B19" s="24" t="inlineStr">
        <is>
          <t>DCF 현재가 대비 괴리율</t>
        </is>
      </c>
      <c r="C19" s="30" t="n">
        <v>0.25</v>
      </c>
      <c r="D19" s="30" t="n">
        <v>-0.9380099486919576</v>
      </c>
      <c r="E19" s="30" t="n">
        <v>0</v>
      </c>
      <c r="F19" s="24" t="inlineStr">
        <is>
          <t>내재주가가 현재가보다 높을수록 우호</t>
        </is>
      </c>
    </row>
    <row r="20" ht="24" customHeight="1">
      <c r="A20" s="29" t="inlineStr">
        <is>
          <t>PEER_PSR</t>
        </is>
      </c>
      <c r="B20" s="29" t="inlineStr">
        <is>
          <t>Peer P/S 상대 매력도</t>
        </is>
      </c>
      <c r="C20" s="31" t="n">
        <v>0.15</v>
      </c>
      <c r="D20" s="31" t="n">
        <v>48.17799081027719</v>
      </c>
      <c r="E20" s="31" t="n">
        <v>20</v>
      </c>
      <c r="F20" s="29" t="inlineStr">
        <is>
          <t>P/S가 동종 피어 대비 낮을수록 우호</t>
        </is>
      </c>
    </row>
    <row r="21" ht="24" customHeight="1">
      <c r="A21" s="24" t="inlineStr">
        <is>
          <t>QUALITY_ML</t>
        </is>
      </c>
      <c r="B21" s="24" t="inlineStr">
        <is>
          <t>수익성·현금흐름·안정성 ML 보조점수</t>
        </is>
      </c>
      <c r="C21" s="30" t="n">
        <v>0.15</v>
      </c>
      <c r="D21" s="30" t="n">
        <v>66.44</v>
      </c>
      <c r="E21" s="30" t="n">
        <v>66.44</v>
      </c>
      <c r="F21" s="24" t="inlineStr">
        <is>
          <t>Valuation Agent 자체 peer percentile composite</t>
        </is>
      </c>
    </row>
    <row r="22" ht="24" customHeight="1">
      <c r="A22" s="29" t="inlineStr">
        <is>
          <t>REFERENCE_UNIVERSE</t>
        </is>
      </c>
      <c r="B22" s="29" t="inlineStr">
        <is>
          <t>208개 반도체 Reference Universe 위치</t>
        </is>
      </c>
      <c r="C22" s="31" t="n">
        <v>0.1</v>
      </c>
      <c r="D22" s="31" t="n">
        <v>47.12592592592592</v>
      </c>
      <c r="E22" s="31" t="n">
        <v>47.12592592592592</v>
      </c>
      <c r="F22" s="29" t="inlineStr">
        <is>
          <t>업로드/기존 universe 후보 파일의 valuation proxy 기반 상대 위치</t>
        </is>
      </c>
    </row>
    <row r="23" ht="24" customHeight="1">
      <c r="A23" s="24" t="inlineStr">
        <is>
          <t>ADVANCED_VALUATION</t>
        </is>
      </c>
      <c r="B23" s="24" t="inlineStr">
        <is>
          <t>가치범위표·역산 DCF·오너 이익 교차검증</t>
        </is>
      </c>
      <c r="C23" s="30" t="n">
        <v>0.2</v>
      </c>
      <c r="D23" s="30" t="n">
        <v>38</v>
      </c>
      <c r="E23" s="30" t="n">
        <v>38</v>
      </c>
      <c r="F23" s="24" t="inlineStr">
        <is>
          <t>DCF 하나에 의존하지 않고 복수 가치평가 방법의 중앙값·안전마진·역산가정을 함께 평가</t>
        </is>
      </c>
    </row>
    <row r="24" ht="24" customHeight="1">
      <c r="A24" s="29" t="inlineStr">
        <is>
          <t>LIQUIDITY_RISK</t>
        </is>
      </c>
      <c r="B24" s="29" t="inlineStr">
        <is>
          <t>유동성·변동성 리스크</t>
        </is>
      </c>
      <c r="C24" s="31" t="n">
        <v>0.1</v>
      </c>
      <c r="D24" s="31" t="n">
        <v>513934339150</v>
      </c>
      <c r="E24" s="31" t="n">
        <v>66</v>
      </c>
      <c r="F24" s="29" t="inlineStr">
        <is>
          <t>거래대금은 높을수록, 변동성과 MDD는 낮을수록 우호</t>
        </is>
      </c>
    </row>
    <row r="25" ht="24" customHeight="1">
      <c r="A25" s="24" t="inlineStr">
        <is>
          <t>DATA_VALIDATION</t>
        </is>
      </c>
      <c r="B25" s="24" t="inlineStr">
        <is>
          <t>데이터 검증 상태</t>
        </is>
      </c>
      <c r="C25" s="30" t="n">
        <v>0.05</v>
      </c>
      <c r="D25" s="24" t="inlineStr">
        <is>
          <t>PASS</t>
        </is>
      </c>
      <c r="E25" s="30" t="n">
        <v>100</v>
      </c>
      <c r="F25" s="24" t="inlineStr">
        <is>
          <t>PASS이면 workbook/dashboard용 주요 데이터 준비 완료</t>
        </is>
      </c>
    </row>
    <row r="26" ht="24" customHeight="1"/>
    <row r="27" ht="24" customHeight="1"/>
    <row r="28" ht="24" customHeight="1">
      <c r="A28" s="22" t="inlineStr">
        <is>
          <t>데이터 연결 맵</t>
        </is>
      </c>
    </row>
    <row r="29" ht="24" customHeight="1">
      <c r="A29" s="25" t="inlineStr">
        <is>
          <t>데이터블록</t>
        </is>
      </c>
      <c r="B29" s="25" t="inlineStr">
        <is>
          <t>사용값</t>
        </is>
      </c>
      <c r="C29" s="25" t="inlineStr">
        <is>
          <t>출처</t>
        </is>
      </c>
    </row>
    <row r="30" ht="24" customHeight="1">
      <c r="A30" s="24" t="inlineStr">
        <is>
          <t>DCF</t>
        </is>
      </c>
      <c r="B30" s="24" t="inlineStr">
        <is>
          <t>18,039원</t>
        </is>
      </c>
      <c r="C30" s="24" t="inlineStr">
        <is>
          <t>valuation_metrics.json / 09_DCF_가치평가</t>
        </is>
      </c>
    </row>
    <row r="31" ht="24" customHeight="1">
      <c r="A31" s="29" t="inlineStr">
        <is>
          <t>Peer P/S</t>
        </is>
      </c>
      <c r="B31" s="29" t="inlineStr">
        <is>
          <t>48.18배</t>
        </is>
      </c>
      <c r="C31" s="29" t="inlineStr">
        <is>
          <t>valuation_peer_input.csv / 10_피어비교</t>
        </is>
      </c>
    </row>
    <row r="32" ht="24" customHeight="1">
      <c r="A32" s="24" t="inlineStr">
        <is>
          <t>208개 Universe</t>
        </is>
      </c>
      <c r="B32" s="24" t="inlineStr">
        <is>
          <t>208개</t>
        </is>
      </c>
      <c r="C32" s="24" t="inlineStr">
        <is>
          <t>valuation_reference_universe_208.csv</t>
        </is>
      </c>
    </row>
    <row r="33" ht="24" customHeight="1">
      <c r="A33" s="29" t="inlineStr">
        <is>
          <t>주가·유동성</t>
        </is>
      </c>
      <c r="B33" s="29" t="inlineStr">
        <is>
          <t>5,139.3억원</t>
        </is>
      </c>
      <c r="C33" s="29" t="inlineStr">
        <is>
          <t>valuation_price_history.csv / valuation_price_summary.json</t>
        </is>
      </c>
    </row>
    <row r="34" ht="24" customHeight="1">
      <c r="A34" s="24" t="inlineStr">
        <is>
          <t>ML 보조판단</t>
        </is>
      </c>
      <c r="B34" s="24" t="inlineStr">
        <is>
          <t>66.4/100</t>
        </is>
      </c>
      <c r="C34" s="24" t="inlineStr">
        <is>
          <t>valuation_agent 자체 peer percentile composite</t>
        </is>
      </c>
    </row>
  </sheetData>
  <autoFilter ref="A29:C34"/>
  <mergeCells count="20">
    <mergeCell ref="C6:D6"/>
    <mergeCell ref="I6:J6"/>
    <mergeCell ref="C5:D5"/>
    <mergeCell ref="E5:F5"/>
    <mergeCell ref="A1:K1"/>
    <mergeCell ref="A6:B6"/>
    <mergeCell ref="C4:D4"/>
    <mergeCell ref="E4:F4"/>
    <mergeCell ref="A17:F17"/>
    <mergeCell ref="G6:H6"/>
    <mergeCell ref="E6:F6"/>
    <mergeCell ref="A28:F28"/>
    <mergeCell ref="A9:F9"/>
    <mergeCell ref="A5:B5"/>
    <mergeCell ref="A2:K2"/>
    <mergeCell ref="G5:H5"/>
    <mergeCell ref="I5:J5"/>
    <mergeCell ref="A4:B4"/>
    <mergeCell ref="G4:H4"/>
    <mergeCell ref="I4:J4"/>
  </mergeCells>
  <pageMargins left="0.75" right="0.75" top="1" bottom="1" header="0.5" footer="0.5"/>
  <pageSetup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38" customWidth="1" min="6" max="6"/>
    <col width="17" customWidth="1" min="7" max="7"/>
    <col width="17" customWidth="1" min="8" max="8"/>
    <col width="17" customWidth="1" min="9" max="9"/>
    <col width="17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한미반도체 시나리오 요약</t>
        </is>
      </c>
    </row>
    <row r="2" ht="28" customHeight="1">
      <c r="A2" s="17" t="inlineStr">
        <is>
          <t>Base/Bull/Bear 가정을 한눈에 볼 수 있도록 대시보드 다운로드용으로 정리</t>
        </is>
      </c>
    </row>
    <row r="3" ht="24" customHeight="1"/>
    <row r="4" ht="24" customHeight="1">
      <c r="A4" s="22" t="inlineStr">
        <is>
          <t>3단계 시나리오 가정</t>
        </is>
      </c>
    </row>
    <row r="5" ht="24" customHeight="1">
      <c r="A5" s="25" t="inlineStr">
        <is>
          <t>시나리오</t>
        </is>
      </c>
      <c r="B5" s="25" t="inlineStr">
        <is>
          <t>매출성장률</t>
        </is>
      </c>
      <c r="C5" s="25" t="inlineStr">
        <is>
          <t>FCF마진</t>
        </is>
      </c>
      <c r="D5" s="25" t="inlineStr">
        <is>
          <t>WACC</t>
        </is>
      </c>
      <c r="E5" s="25" t="inlineStr">
        <is>
          <t>영구성장률</t>
        </is>
      </c>
      <c r="F5" s="25" t="inlineStr">
        <is>
          <t>해석</t>
        </is>
      </c>
    </row>
    <row r="6" ht="24" customHeight="1">
      <c r="A6" s="24" t="inlineStr">
        <is>
          <t>Bear</t>
        </is>
      </c>
      <c r="B6" s="30" t="n">
        <v>0.18</v>
      </c>
      <c r="C6" s="30" t="n">
        <v>0.23</v>
      </c>
      <c r="D6" s="30" t="n">
        <v>0.1525531756098363</v>
      </c>
      <c r="E6" s="30" t="n">
        <v>0.009999999999999998</v>
      </c>
      <c r="F6" s="24" t="inlineStr">
        <is>
          <t>보수적 수익성·할인율 가정</t>
        </is>
      </c>
    </row>
    <row r="7" ht="24" customHeight="1">
      <c r="A7" s="29" t="inlineStr">
        <is>
          <t>Base</t>
        </is>
      </c>
      <c r="B7" s="31" t="n">
        <v>0.2</v>
      </c>
      <c r="C7" s="31" t="n">
        <v>0.25</v>
      </c>
      <c r="D7" s="31" t="n">
        <v>0.1425531756098363</v>
      </c>
      <c r="E7" s="31" t="n">
        <v>0.015</v>
      </c>
      <c r="F7" s="29" t="inlineStr">
        <is>
          <t>현재 모델 기본 가정</t>
        </is>
      </c>
    </row>
    <row r="8" ht="24" customHeight="1">
      <c r="A8" s="24" t="inlineStr">
        <is>
          <t>Bull</t>
        </is>
      </c>
      <c r="B8" s="30" t="n">
        <v>0.22</v>
      </c>
      <c r="C8" s="30" t="n">
        <v>0.27</v>
      </c>
      <c r="D8" s="30" t="n">
        <v>0.1325531756098363</v>
      </c>
      <c r="E8" s="30" t="n">
        <v>0.02</v>
      </c>
      <c r="F8" s="24" t="inlineStr">
        <is>
          <t>성장·마진 개선 가정</t>
        </is>
      </c>
    </row>
    <row r="9" ht="24" customHeight="1"/>
    <row r="10" ht="24" customHeight="1"/>
    <row r="11" ht="24" customHeight="1">
      <c r="A11" s="22" t="inlineStr">
        <is>
          <t>대시보드 연결 가이드</t>
        </is>
      </c>
    </row>
    <row r="12" ht="24" customHeight="1">
      <c r="A12" s="25" t="inlineStr">
        <is>
          <t>항목</t>
        </is>
      </c>
      <c r="B12" s="25" t="inlineStr">
        <is>
          <t>내용</t>
        </is>
      </c>
    </row>
    <row r="13" ht="24" customHeight="1">
      <c r="A13" s="24" t="inlineStr">
        <is>
          <t>활용</t>
        </is>
      </c>
      <c r="B13" s="24" t="inlineStr">
        <is>
          <t>대시보드에서 WACC/성장률/마진 슬라이더를 만들 때 기본 입력값으로 사용</t>
        </is>
      </c>
    </row>
    <row r="14" ht="24" customHeight="1">
      <c r="A14" s="29" t="inlineStr">
        <is>
          <t>주의</t>
        </is>
      </c>
      <c r="B14" s="29" t="inlineStr">
        <is>
          <t>정식 투자 판단은 Chair의 6개 에이전트 종합과 별도 검토 필요</t>
        </is>
      </c>
    </row>
  </sheetData>
  <autoFilter ref="A12:B14"/>
  <mergeCells count="4">
    <mergeCell ref="A1:J1"/>
    <mergeCell ref="A11:F11"/>
    <mergeCell ref="A4:F4"/>
    <mergeCell ref="A2:J2"/>
  </mergeCells>
  <pageMargins left="0.75" right="0.75" top="1" bottom="1" header="0.5" footer="0.5"/>
  <pageSetup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18" customWidth="1" min="2" max="2"/>
    <col width="18" customWidth="1" min="3" max="3"/>
    <col width="3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데이터 품질·커버리지</t>
        </is>
      </c>
    </row>
    <row r="2" ht="28" customHeight="1">
      <c r="A2" s="17" t="inlineStr">
        <is>
          <t>공란/해당 없음/계산 제외 항목을 숨기지 않고 데이터 커버리지로 관리</t>
        </is>
      </c>
    </row>
    <row r="3" ht="24" customHeight="1"/>
    <row r="4" ht="24" customHeight="1">
      <c r="A4" s="22" t="inlineStr">
        <is>
          <t>커버리지 체크</t>
        </is>
      </c>
    </row>
    <row r="5" ht="24" customHeight="1">
      <c r="A5" s="25" t="inlineStr">
        <is>
          <t>데이터블록</t>
        </is>
      </c>
      <c r="B5" s="25" t="inlineStr">
        <is>
          <t>행수</t>
        </is>
      </c>
      <c r="C5" s="25" t="inlineStr">
        <is>
          <t>상태</t>
        </is>
      </c>
      <c r="D5" s="25" t="inlineStr">
        <is>
          <t>대시보드 영향</t>
        </is>
      </c>
    </row>
    <row r="6" ht="24" customHeight="1">
      <c r="A6" s="24" t="inlineStr">
        <is>
          <t>DART 정규화 재무제표</t>
        </is>
      </c>
      <c r="B6" s="30" t="n">
        <v>5</v>
      </c>
      <c r="C6" s="24" t="inlineStr">
        <is>
          <t>OK</t>
        </is>
      </c>
      <c r="D6" s="24" t="inlineStr">
        <is>
          <t>DCF/WACC/핵심비율</t>
        </is>
      </c>
    </row>
    <row r="7" ht="24" customHeight="1">
      <c r="A7" s="29" t="inlineStr">
        <is>
          <t>주가 이력</t>
        </is>
      </c>
      <c r="B7" s="31" t="n">
        <v>1222</v>
      </c>
      <c r="C7" s="29" t="inlineStr">
        <is>
          <t>OK</t>
        </is>
      </c>
      <c r="D7" s="29" t="inlineStr">
        <is>
          <t>현재가/변동성/MDD/차트</t>
        </is>
      </c>
    </row>
    <row r="8" ht="24" customHeight="1">
      <c r="A8" s="24" t="inlineStr">
        <is>
          <t>Live peer</t>
        </is>
      </c>
      <c r="B8" s="30" t="n">
        <v>5</v>
      </c>
      <c r="C8" s="24" t="inlineStr">
        <is>
          <t>OK</t>
        </is>
      </c>
      <c r="D8" s="24" t="inlineStr">
        <is>
          <t>P/S, PER, PBR</t>
        </is>
      </c>
    </row>
    <row r="9" ht="24" customHeight="1">
      <c r="A9" s="29" t="inlineStr">
        <is>
          <t>208개 Reference Universe</t>
        </is>
      </c>
      <c r="B9" s="31" t="n">
        <v>208</v>
      </c>
      <c r="C9" s="29" t="inlineStr">
        <is>
          <t>OK</t>
        </is>
      </c>
      <c r="D9" s="29" t="inlineStr">
        <is>
          <t>상대 위치/ML 보조</t>
        </is>
      </c>
    </row>
    <row r="10" ht="24" customHeight="1">
      <c r="A10" s="24" t="inlineStr">
        <is>
          <t>가치평가 스코어카드</t>
        </is>
      </c>
      <c r="B10" s="30" t="n">
        <v>7</v>
      </c>
      <c r="C10" s="24" t="inlineStr">
        <is>
          <t>OK</t>
        </is>
      </c>
      <c r="D10" s="24" t="inlineStr">
        <is>
          <t>투자자 요약/Chair 보조</t>
        </is>
      </c>
    </row>
    <row r="11" ht="24" customHeight="1">
      <c r="A11" s="29" t="inlineStr">
        <is>
          <t>Validation</t>
        </is>
      </c>
      <c r="B11" s="31" t="n">
        <v>1</v>
      </c>
      <c r="C11" s="29" t="inlineStr">
        <is>
          <t>PASS</t>
        </is>
      </c>
      <c r="D11" s="29" t="inlineStr">
        <is>
          <t>경고/품질 배지</t>
        </is>
      </c>
    </row>
    <row r="12" ht="24" customHeight="1"/>
    <row r="13" ht="24" customHeight="1"/>
    <row r="14" ht="24" customHeight="1">
      <c r="A14" s="22" t="inlineStr">
        <is>
          <t>Validation 이슈</t>
        </is>
      </c>
    </row>
    <row r="15" ht="24" customHeight="1">
      <c r="A15" s="25" t="inlineStr">
        <is>
          <t>중요도</t>
        </is>
      </c>
      <c r="B15" s="25" t="inlineStr">
        <is>
          <t>코드</t>
        </is>
      </c>
      <c r="C15" s="25" t="inlineStr">
        <is>
          <t>메시지</t>
        </is>
      </c>
    </row>
    <row r="16" ht="24" customHeight="1">
      <c r="A16" s="24" t="inlineStr">
        <is>
          <t>INFO</t>
        </is>
      </c>
      <c r="B16" s="24" t="inlineStr">
        <is>
          <t>NO_MAJOR_WARNINGS</t>
        </is>
      </c>
      <c r="C16" s="24" t="inlineStr">
        <is>
          <t>주요 validation warning 없음</t>
        </is>
      </c>
    </row>
  </sheetData>
  <autoFilter ref="A15:C16"/>
  <mergeCells count="4">
    <mergeCell ref="A14:F14"/>
    <mergeCell ref="A1:J1"/>
    <mergeCell ref="A4:F4"/>
    <mergeCell ref="A2:J2"/>
  </mergeCells>
  <pageMargins left="0.75" right="0.75" top="1" bottom="1" header="0.5" footer="0.5"/>
  <pageSetup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N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4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한미반도체 종합 가치평가 요약</t>
        </is>
      </c>
    </row>
    <row r="2" ht="28" customHeight="1">
      <c r="A2" s="17" t="inlineStr">
        <is>
          <t>DCF·상대가치·역산 DCF·오너 이익·EPV·Graham Number로 교차검증</t>
        </is>
      </c>
    </row>
    <row r="3" ht="24" customHeight="1"/>
    <row r="4" ht="24" customHeight="1">
      <c r="A4" s="18" t="inlineStr">
        <is>
          <t>종합 가치평가 점수</t>
        </is>
      </c>
      <c r="B4" s="19" t="n"/>
      <c r="C4" s="18" t="inlineStr">
        <is>
          <t>가치범위 중앙값</t>
        </is>
      </c>
      <c r="D4" s="19" t="n"/>
      <c r="E4" s="18" t="inlineStr">
        <is>
          <t>안전마진</t>
        </is>
      </c>
      <c r="F4" s="19" t="n"/>
      <c r="G4" s="18" t="inlineStr">
        <is>
          <t>역산 DCF</t>
        </is>
      </c>
      <c r="H4" s="19" t="n"/>
      <c r="I4" s="18" t="inlineStr">
        <is>
          <t>오너 이익</t>
        </is>
      </c>
      <c r="J4" s="19" t="n"/>
      <c r="K4" s="18" t="inlineStr">
        <is>
          <t>검증상태</t>
        </is>
      </c>
      <c r="L4" s="19" t="n"/>
    </row>
    <row r="5" ht="24" customHeight="1">
      <c r="A5" s="20" t="inlineStr">
        <is>
          <t>38.0/100</t>
        </is>
      </c>
      <c r="B5" s="19" t="n"/>
      <c r="C5" s="20" t="inlineStr">
        <is>
          <t>26,383원</t>
        </is>
      </c>
      <c r="D5" s="19" t="n"/>
      <c r="E5" s="20" t="inlineStr">
        <is>
          <t>-90.9%</t>
        </is>
      </c>
      <c r="F5" s="19" t="n"/>
      <c r="G5" s="20" t="inlineStr">
        <is>
          <t>8.0%</t>
        </is>
      </c>
      <c r="H5" s="19" t="n"/>
      <c r="I5" s="20" t="inlineStr">
        <is>
          <t>15,420원</t>
        </is>
      </c>
      <c r="J5" s="19" t="n"/>
      <c r="K5" s="20" t="inlineStr">
        <is>
          <t>PASS</t>
        </is>
      </c>
      <c r="L5" s="19" t="n"/>
    </row>
    <row r="6" ht="24" customHeight="1">
      <c r="A6" s="21" t="inlineStr">
        <is>
          <t>복수 방법 교차검증</t>
        </is>
      </c>
      <c r="B6" s="19" t="n"/>
      <c r="C6" s="21" t="inlineStr">
        <is>
          <t>밸류에이션 부담</t>
        </is>
      </c>
      <c r="D6" s="19" t="n"/>
      <c r="E6" s="21" t="inlineStr">
        <is>
          <t>중앙값/현재가-1</t>
        </is>
      </c>
      <c r="F6" s="19" t="n"/>
      <c r="G6" s="21" t="inlineStr">
        <is>
          <t>시장가격 내재 성장률</t>
        </is>
      </c>
      <c r="H6" s="19" t="n"/>
      <c r="I6" s="21" t="inlineStr">
        <is>
          <t>보수 현금창출 기준</t>
        </is>
      </c>
      <c r="J6" s="19" t="n"/>
      <c r="K6" s="21" t="inlineStr">
        <is>
          <t>PASS 권장</t>
        </is>
      </c>
      <c r="L6" s="19" t="n"/>
    </row>
    <row r="7" ht="24" customHeight="1"/>
    <row r="8" ht="24" customHeight="1"/>
    <row r="9" ht="24" customHeight="1">
      <c r="A9" s="22" t="inlineStr">
        <is>
          <t>투자자용 해석</t>
        </is>
      </c>
    </row>
    <row r="10" ht="24" customHeight="1">
      <c r="A10" s="25" t="inlineStr">
        <is>
          <t>구분</t>
        </is>
      </c>
      <c r="B10" s="25" t="inlineStr">
        <is>
          <t>내용</t>
        </is>
      </c>
    </row>
    <row r="11" ht="24" customHeight="1">
      <c r="A11" s="24" t="inlineStr">
        <is>
          <t>결론</t>
        </is>
      </c>
      <c r="B11" s="24" t="inlineStr">
        <is>
          <t>DCF·상대가치 또는 품질 지표의 보수적 확인이 필요합니다.</t>
        </is>
      </c>
    </row>
    <row r="12" ht="24" customHeight="1">
      <c r="A12" s="29" t="inlineStr">
        <is>
          <t>핵심 산식</t>
        </is>
      </c>
      <c r="B12" s="29" t="inlineStr">
        <is>
          <t>DCF + 피어 멀티플 가치범위표 + 역산 DCF + 오너 이익/EPV + 시장내재 배수 + 데이터 커버리지</t>
        </is>
      </c>
    </row>
    <row r="13" ht="24" customHeight="1">
      <c r="A13" s="24" t="inlineStr">
        <is>
          <t>사용 이유</t>
        </is>
      </c>
      <c r="B13" s="24" t="inlineStr">
        <is>
          <t>DCF는 가정 민감도가 크므로, 시장이 내재한 성장률과 상대가치·현금창출 가치가 같은 방향인지 확인합니다.</t>
        </is>
      </c>
    </row>
    <row r="14" ht="24" customHeight="1">
      <c r="A14" s="29" t="inlineStr">
        <is>
          <t>대시보드 활용</t>
        </is>
      </c>
      <c r="B14" s="29" t="inlineStr">
        <is>
          <t>summary_cards와 advanced_valuation 블록을 사용하면 Streamlit/React에서 가치범위 차트·민감도 카드·다운로드 버튼 구현 가능</t>
        </is>
      </c>
    </row>
    <row r="15" ht="24" customHeight="1"/>
    <row r="16" ht="24" customHeight="1"/>
    <row r="17" ht="24" customHeight="1">
      <c r="A17" s="22" t="inlineStr">
        <is>
          <t>방법별 내재가격 요약</t>
        </is>
      </c>
    </row>
    <row r="18" ht="24" customHeight="1">
      <c r="A18" s="25" t="inlineStr">
        <is>
          <t>방법 코드</t>
        </is>
      </c>
      <c r="B18" s="25" t="inlineStr">
        <is>
          <t>가치평가 방법</t>
        </is>
      </c>
      <c r="C18" s="25" t="inlineStr">
        <is>
          <t>하단 지분가치</t>
        </is>
      </c>
      <c r="D18" s="25" t="inlineStr">
        <is>
          <t>중앙 지분가치</t>
        </is>
      </c>
      <c r="E18" s="25" t="inlineStr">
        <is>
          <t>상단 지분가치</t>
        </is>
      </c>
      <c r="F18" s="25" t="inlineStr">
        <is>
          <t>하단 주당가치</t>
        </is>
      </c>
      <c r="G18" s="25" t="inlineStr">
        <is>
          <t>중앙 주당가치</t>
        </is>
      </c>
      <c r="H18" s="25" t="inlineStr">
        <is>
          <t>상단 주당가치</t>
        </is>
      </c>
      <c r="I18" s="25" t="inlineStr">
        <is>
          <t>현재가</t>
        </is>
      </c>
      <c r="J18" s="25" t="inlineStr">
        <is>
          <t>현재가 대비</t>
        </is>
      </c>
      <c r="K18" s="25" t="inlineStr">
        <is>
          <t>해석</t>
        </is>
      </c>
      <c r="L18" s="25" t="inlineStr">
        <is>
          <t>출처</t>
        </is>
      </c>
      <c r="M18" s="25" t="inlineStr">
        <is>
          <t>신뢰도</t>
        </is>
      </c>
    </row>
    <row r="19" ht="24" customHeight="1">
      <c r="A19" s="24" t="inlineStr">
        <is>
          <t>DCF_BASE</t>
        </is>
      </c>
      <c r="B19" s="24" t="inlineStr">
        <is>
          <t>DCF 기준가치</t>
        </is>
      </c>
      <c r="C19" s="30" t="n">
        <v>1461444760424.651</v>
      </c>
      <c r="D19" s="30" t="n">
        <v>1719346776970.177</v>
      </c>
      <c r="E19" s="30" t="n">
        <v>1977248793515.704</v>
      </c>
      <c r="F19" s="30" t="n">
        <v>15333.23919104428</v>
      </c>
      <c r="G19" s="30" t="n">
        <v>18039.10493064033</v>
      </c>
      <c r="H19" s="30" t="n">
        <v>20744.97067023638</v>
      </c>
      <c r="I19" s="30" t="n">
        <v>291000</v>
      </c>
      <c r="J19" s="35" t="n">
        <v>-0.9380099486919576</v>
      </c>
      <c r="K19" s="24" t="inlineStr">
        <is>
          <t>밸류에이션 부담</t>
        </is>
      </c>
      <c r="L19" s="24" t="inlineStr">
        <is>
          <t>Valuation Agent DCF</t>
        </is>
      </c>
      <c r="M19" s="24" t="inlineStr">
        <is>
          <t>핵심 모델</t>
        </is>
      </c>
    </row>
    <row r="20" ht="24" customHeight="1">
      <c r="A20" s="29" t="inlineStr">
        <is>
          <t>PSR_COMP</t>
        </is>
      </c>
      <c r="B20" s="29" t="inlineStr">
        <is>
          <t>P/S 상대가치</t>
        </is>
      </c>
      <c r="C20" s="31" t="n">
        <v>786093345830.276</v>
      </c>
      <c r="D20" s="31" t="n">
        <v>2085352986202.881</v>
      </c>
      <c r="E20" s="31" t="n">
        <v>2159860320863.334</v>
      </c>
      <c r="F20" s="31" t="n">
        <v>8247.562702678944</v>
      </c>
      <c r="G20" s="31" t="n">
        <v>21879.18216348884</v>
      </c>
      <c r="H20" s="31" t="n">
        <v>22660.90092205756</v>
      </c>
      <c r="I20" s="31" t="n">
        <v>291000</v>
      </c>
      <c r="J20" s="36" t="n">
        <v>-0.9248138069983202</v>
      </c>
      <c r="K20" s="29" t="inlineStr">
        <is>
          <t>밸류에이션 부담</t>
        </is>
      </c>
      <c r="L20" s="29" t="inlineStr">
        <is>
          <t>시가총액/매출 피어 비교</t>
        </is>
      </c>
      <c r="M20" s="29" t="inlineStr">
        <is>
          <t>피어 중앙값 기반</t>
        </is>
      </c>
    </row>
    <row r="21" ht="24" customHeight="1">
      <c r="A21" s="24" t="inlineStr">
        <is>
          <t>PBR_COMP</t>
        </is>
      </c>
      <c r="B21" s="24" t="inlineStr">
        <is>
          <t>P/B 상대가치</t>
        </is>
      </c>
      <c r="C21" s="30" t="n">
        <v>1744748711626.09</v>
      </c>
      <c r="D21" s="30" t="n">
        <v>1874383903750.685</v>
      </c>
      <c r="E21" s="30" t="n">
        <v>2721549947293.249</v>
      </c>
      <c r="F21" s="30" t="n">
        <v>18305.61787080867</v>
      </c>
      <c r="G21" s="30" t="n">
        <v>19665.7290855807</v>
      </c>
      <c r="H21" s="30" t="n">
        <v>28554.05653518908</v>
      </c>
      <c r="I21" s="30" t="n">
        <v>291000</v>
      </c>
      <c r="J21" s="35" t="n">
        <v>-0.9324201749636402</v>
      </c>
      <c r="K21" s="24" t="inlineStr">
        <is>
          <t>밸류에이션 부담</t>
        </is>
      </c>
      <c r="L21" s="24" t="inlineStr">
        <is>
          <t>시가총액/자본 피어 비교</t>
        </is>
      </c>
      <c r="M21" s="24" t="inlineStr">
        <is>
          <t>피어 중앙값 기반</t>
        </is>
      </c>
    </row>
    <row r="22" ht="24" customHeight="1">
      <c r="A22" s="29" t="inlineStr">
        <is>
          <t>PER_COMP</t>
        </is>
      </c>
      <c r="B22" s="29" t="inlineStr">
        <is>
          <t>PER 상대가치</t>
        </is>
      </c>
      <c r="C22" s="31" t="n">
        <v>4617958558538.919</v>
      </c>
      <c r="D22" s="31" t="n">
        <v>4977839379303.215</v>
      </c>
      <c r="E22" s="31" t="n">
        <v>6585071631640.564</v>
      </c>
      <c r="F22" s="31" t="n">
        <v>48450.86524641042</v>
      </c>
      <c r="G22" s="31" t="n">
        <v>52226.67590616117</v>
      </c>
      <c r="H22" s="31" t="n">
        <v>69089.4935972579</v>
      </c>
      <c r="I22" s="31" t="n">
        <v>291000</v>
      </c>
      <c r="J22" s="36" t="n">
        <v>-0.8205268869204083</v>
      </c>
      <c r="K22" s="29" t="inlineStr">
        <is>
          <t>밸류에이션 부담</t>
        </is>
      </c>
      <c r="L22" s="29" t="inlineStr">
        <is>
          <t>시가총액/순이익 피어 비교</t>
        </is>
      </c>
      <c r="M22" s="29" t="inlineStr">
        <is>
          <t>피어 중앙값 기반</t>
        </is>
      </c>
    </row>
    <row r="23" ht="24" customHeight="1">
      <c r="A23" s="24" t="inlineStr">
        <is>
          <t>PFCF_COMP</t>
        </is>
      </c>
      <c r="B23" s="24" t="inlineStr">
        <is>
          <t>P/FCF 상대가치</t>
        </is>
      </c>
      <c r="C23" s="30" t="n">
        <v>1260306236252.813</v>
      </c>
      <c r="D23" s="30" t="n">
        <v>3347444950000.797</v>
      </c>
      <c r="E23" s="30" t="n">
        <v>3587369542615.409</v>
      </c>
      <c r="F23" s="30" t="n">
        <v>13222.92672137263</v>
      </c>
      <c r="G23" s="30" t="n">
        <v>35120.84444594498</v>
      </c>
      <c r="H23" s="30" t="n">
        <v>37638.09399652309</v>
      </c>
      <c r="I23" s="30" t="n">
        <v>291000</v>
      </c>
      <c r="J23" s="35" t="n">
        <v>-0.8793098129005327</v>
      </c>
      <c r="K23" s="24" t="inlineStr">
        <is>
          <t>밸류에이션 부담</t>
        </is>
      </c>
      <c r="L23" s="24" t="inlineStr">
        <is>
          <t>시가총액/FCF 피어 비교</t>
        </is>
      </c>
      <c r="M23" s="24" t="inlineStr">
        <is>
          <t>피어 중앙값 기반</t>
        </is>
      </c>
    </row>
    <row r="24" ht="24" customHeight="1">
      <c r="A24" s="29" t="inlineStr">
        <is>
          <t>EV_SALES_COMP</t>
        </is>
      </c>
      <c r="B24" s="29" t="inlineStr">
        <is>
          <t>EV/Sales 상대가치</t>
        </is>
      </c>
      <c r="C24" s="31" t="n">
        <v>1337774288354.703</v>
      </c>
      <c r="D24" s="31" t="n">
        <v>2514594822844.485</v>
      </c>
      <c r="E24" s="31" t="n">
        <v>5092760771741.665</v>
      </c>
      <c r="F24" s="31" t="n">
        <v>14035.7088426739</v>
      </c>
      <c r="G24" s="31" t="n">
        <v>26382.71724757676</v>
      </c>
      <c r="H24" s="31" t="n">
        <v>53432.4123432432</v>
      </c>
      <c r="I24" s="31" t="n">
        <v>291000</v>
      </c>
      <c r="J24" s="36" t="n">
        <v>-0.909337741417262</v>
      </c>
      <c r="K24" s="29" t="inlineStr">
        <is>
          <t>밸류에이션 부담</t>
        </is>
      </c>
      <c r="L24" s="29" t="inlineStr">
        <is>
          <t>EV/매출 피어 비교</t>
        </is>
      </c>
      <c r="M24" s="29" t="inlineStr">
        <is>
          <t>EV 조정 피어 기준</t>
        </is>
      </c>
    </row>
    <row r="25" ht="24" customHeight="1">
      <c r="A25" s="24" t="inlineStr">
        <is>
          <t>EV_EBIT_COMP</t>
        </is>
      </c>
      <c r="B25" s="24" t="inlineStr">
        <is>
          <t>EV/EBIT 상대가치</t>
        </is>
      </c>
      <c r="C25" s="30" t="n">
        <v>5097490097329.422</v>
      </c>
      <c r="D25" s="30" t="n">
        <v>5977433488341.172</v>
      </c>
      <c r="E25" s="30" t="n">
        <v>11484993328618.08</v>
      </c>
      <c r="F25" s="30" t="n">
        <v>53482.03165312963</v>
      </c>
      <c r="G25" s="30" t="n">
        <v>62714.25366680416</v>
      </c>
      <c r="H25" s="30" t="n">
        <v>120498.6699354131</v>
      </c>
      <c r="I25" s="30" t="n">
        <v>291000</v>
      </c>
      <c r="J25" s="35" t="n">
        <v>-0.7844871008013603</v>
      </c>
      <c r="K25" s="24" t="inlineStr">
        <is>
          <t>밸류에이션 부담</t>
        </is>
      </c>
      <c r="L25" s="24" t="inlineStr">
        <is>
          <t>EV/영업이익 피어 비교</t>
        </is>
      </c>
      <c r="M25" s="24" t="inlineStr">
        <is>
          <t>EV 조정 피어 기준</t>
        </is>
      </c>
    </row>
    <row r="26" ht="24" customHeight="1"/>
    <row r="27" ht="24" customHeight="1"/>
    <row r="28" ht="24" customHeight="1">
      <c r="A28" s="22" t="inlineStr">
        <is>
          <t>시장내재 배수 자동산출</t>
        </is>
      </c>
    </row>
    <row r="29" ht="24" customHeight="1">
      <c r="A29" s="25" t="inlineStr">
        <is>
          <t>latest_close</t>
        </is>
      </c>
      <c r="B29" s="25" t="inlineStr">
        <is>
          <t>시가총액</t>
        </is>
      </c>
      <c r="C29" s="25" t="inlineStr">
        <is>
          <t>EV proxy</t>
        </is>
      </c>
      <c r="D29" s="25" t="inlineStr">
        <is>
          <t>psr_market</t>
        </is>
      </c>
      <c r="E29" s="25" t="inlineStr">
        <is>
          <t>pbr_market</t>
        </is>
      </c>
      <c r="F29" s="25" t="inlineStr">
        <is>
          <t>per_market</t>
        </is>
      </c>
      <c r="G29" s="25" t="inlineStr">
        <is>
          <t>p_fcf_market</t>
        </is>
      </c>
      <c r="H29" s="25" t="inlineStr">
        <is>
          <t>ev_sales_market</t>
        </is>
      </c>
      <c r="I29" s="25" t="inlineStr">
        <is>
          <t>ev_ebit_market</t>
        </is>
      </c>
      <c r="J29" s="25" t="inlineStr">
        <is>
          <t>eps_derived</t>
        </is>
      </c>
      <c r="K29" s="25" t="inlineStr">
        <is>
          <t>bps_derived</t>
        </is>
      </c>
      <c r="L29" s="25" t="inlineStr">
        <is>
          <t>fcf_yield_market</t>
        </is>
      </c>
      <c r="M29" s="25" t="inlineStr">
        <is>
          <t>sales_yield_market</t>
        </is>
      </c>
      <c r="N29" s="25" t="inlineStr">
        <is>
          <t>source_kr</t>
        </is>
      </c>
    </row>
    <row r="30" ht="24" customHeight="1">
      <c r="A30" s="30" t="n">
        <v>291000</v>
      </c>
      <c r="B30" s="30" t="n">
        <v>27735850200000</v>
      </c>
      <c r="C30" s="30" t="n">
        <v>27582618929054</v>
      </c>
      <c r="D30" s="42" t="n">
        <v>48.09535274713777</v>
      </c>
      <c r="E30" s="42" t="n">
        <v>40.17781330607004</v>
      </c>
      <c r="F30" s="42" t="n">
        <v>129.6022051835924</v>
      </c>
      <c r="G30" s="42" t="n">
        <v>132.382542823974</v>
      </c>
      <c r="H30" s="42" t="n">
        <v>47.82964205231868</v>
      </c>
      <c r="I30" s="42" t="n">
        <v>109.7203680861667</v>
      </c>
      <c r="J30" s="30" t="n">
        <v>2245.332165357635</v>
      </c>
      <c r="K30" s="30" t="n">
        <v>7242.80332986753</v>
      </c>
      <c r="L30" s="35" t="n">
        <v>0.007553866081343344</v>
      </c>
      <c r="M30" s="35" t="n">
        <v>0.02079202964281225</v>
      </c>
      <c r="N30" s="24" t="inlineStr">
        <is>
          <t>DART 정규화 재무제표 + Valuation Agent 주가/발행주식 수 intake로 자동 산출</t>
        </is>
      </c>
    </row>
    <row r="31" ht="24" customHeight="1"/>
    <row r="32" ht="24" customHeight="1"/>
    <row r="33" ht="24" customHeight="1">
      <c r="A33" s="22" t="inlineStr">
        <is>
          <t>품질 진단 체크</t>
        </is>
      </c>
    </row>
    <row r="34" ht="24" customHeight="1">
      <c r="A34" s="25" t="inlineStr">
        <is>
          <t>진단항목</t>
        </is>
      </c>
      <c r="B34" s="25" t="inlineStr">
        <is>
          <t>상태</t>
        </is>
      </c>
      <c r="C34" s="25" t="inlineStr">
        <is>
          <t>근거값</t>
        </is>
      </c>
      <c r="D34" s="25" t="inlineStr">
        <is>
          <t>해석</t>
        </is>
      </c>
    </row>
    <row r="35" ht="24" customHeight="1">
      <c r="A35" s="24" t="inlineStr">
        <is>
          <t>재무제표 기간</t>
        </is>
      </c>
      <c r="B35" s="24" t="inlineStr">
        <is>
          <t>충분</t>
        </is>
      </c>
      <c r="C35" s="30" t="n">
        <v>5</v>
      </c>
      <c r="D35" s="24" t="inlineStr">
        <is>
          <t>5개년이면 DCF 추세 가정과 CAGR 산정에 충분합니다.</t>
        </is>
      </c>
    </row>
    <row r="36" ht="24" customHeight="1">
      <c r="A36" s="29" t="inlineStr">
        <is>
          <t>주가 이력</t>
        </is>
      </c>
      <c r="B36" s="29" t="inlineStr">
        <is>
          <t>충분</t>
        </is>
      </c>
      <c r="C36" s="31" t="n">
        <v>1222</v>
      </c>
      <c r="D36" s="29" t="inlineStr">
        <is>
          <t>현재가, 52주 범위, MDD, 변동성, 거래대금 지표 품질을 좌우합니다.</t>
        </is>
      </c>
    </row>
    <row r="37" ht="24" customHeight="1">
      <c r="A37" s="24" t="inlineStr">
        <is>
          <t>가치평가 방법 수</t>
        </is>
      </c>
      <c r="B37" s="24" t="inlineStr">
        <is>
          <t>충분</t>
        </is>
      </c>
      <c r="C37" s="30" t="n">
        <v>7</v>
      </c>
      <c r="D37" s="24" t="inlineStr">
        <is>
          <t>DCF 하나가 아니라 상대가치·EV 멀티플·현금창출 지표까지 교차검증합니다.</t>
        </is>
      </c>
    </row>
    <row r="38" ht="24" customHeight="1">
      <c r="A38" s="29" t="inlineStr">
        <is>
          <t>수익성</t>
        </is>
      </c>
      <c r="B38" s="29" t="inlineStr">
        <is>
          <t>우호</t>
        </is>
      </c>
      <c r="C38" s="31" t="n">
        <v>0.4359230914606178</v>
      </c>
      <c r="D38" s="29" t="inlineStr">
        <is>
          <t>영업이익률이 높을수록 DCF의 현금흐름 안정성이 높습니다.</t>
        </is>
      </c>
    </row>
    <row r="39" ht="24" customHeight="1">
      <c r="A39" s="24" t="inlineStr">
        <is>
          <t>현금창출</t>
        </is>
      </c>
      <c r="B39" s="24" t="inlineStr">
        <is>
          <t>우호</t>
        </is>
      </c>
      <c r="C39" s="30" t="n">
        <v>0.3633058537868474</v>
      </c>
      <c r="D39" s="24" t="inlineStr">
        <is>
          <t>FCF margin과 오너 이익 수익률이 DCF 품질의 핵심입니다.</t>
        </is>
      </c>
    </row>
    <row r="40" ht="24" customHeight="1">
      <c r="A40" s="29" t="inlineStr">
        <is>
          <t>재무 레버리지</t>
        </is>
      </c>
      <c r="B40" s="29" t="inlineStr">
        <is>
          <t>보수적</t>
        </is>
      </c>
      <c r="C40" s="31" t="n">
        <v>0.1781822440824876</v>
      </c>
      <c r="D40" s="29" t="inlineStr">
        <is>
          <t>부채/자본이 높으면 WACC와 지분가치 산정에 보수 가정을 적용합니다.</t>
        </is>
      </c>
    </row>
    <row r="41" ht="24" customHeight="1">
      <c r="A41" s="24" t="inlineStr">
        <is>
          <t>시장 내재가정</t>
        </is>
      </c>
      <c r="B41" s="24" t="inlineStr">
        <is>
          <t>계산 완료</t>
        </is>
      </c>
      <c r="C41" s="30" t="n">
        <v>0.08</v>
      </c>
      <c r="D41" s="24" t="inlineStr">
        <is>
          <t>현재 시가총액이 요구하는 영구성장률을 역산해 과도한 기대가 반영됐는지 확인합니다.</t>
        </is>
      </c>
    </row>
    <row r="42" ht="24" customHeight="1">
      <c r="A42" s="29" t="inlineStr">
        <is>
          <t>오너 이익</t>
        </is>
      </c>
      <c r="B42" s="29" t="inlineStr">
        <is>
          <t>계산 완료</t>
        </is>
      </c>
      <c r="C42" s="31" t="n">
        <v>15420.03550792338</v>
      </c>
      <c r="D42" s="29" t="inlineStr">
        <is>
          <t>CFO-CAPEX 또는 FCF 기반 보수 가치가 DCF와 같은 방향인지 확인합니다.</t>
        </is>
      </c>
    </row>
  </sheetData>
  <autoFilter ref="A34:D42"/>
  <mergeCells count="24">
    <mergeCell ref="C6:D6"/>
    <mergeCell ref="I6:J6"/>
    <mergeCell ref="C5:D5"/>
    <mergeCell ref="E5:F5"/>
    <mergeCell ref="K5:L5"/>
    <mergeCell ref="A6:B6"/>
    <mergeCell ref="C4:D4"/>
    <mergeCell ref="A33:F33"/>
    <mergeCell ref="A2:L2"/>
    <mergeCell ref="E4:F4"/>
    <mergeCell ref="A17:F17"/>
    <mergeCell ref="G6:H6"/>
    <mergeCell ref="E6:F6"/>
    <mergeCell ref="A28:F28"/>
    <mergeCell ref="A9:F9"/>
    <mergeCell ref="A5:B5"/>
    <mergeCell ref="G5:H5"/>
    <mergeCell ref="K6:L6"/>
    <mergeCell ref="I5:J5"/>
    <mergeCell ref="A4:B4"/>
    <mergeCell ref="G4:H4"/>
    <mergeCell ref="I4:J4"/>
    <mergeCell ref="A1:L1"/>
    <mergeCell ref="K4:L4"/>
  </mergeCells>
  <pageMargins left="0.75" right="0.75" top="1" bottom="1" header="0.5" footer="0.5"/>
  <pageSetup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M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2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4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한미반도체 가치범위표</t>
        </is>
      </c>
    </row>
    <row r="2" ht="28" customHeight="1">
      <c r="A2" s="17" t="inlineStr">
        <is>
          <t>DCF, P/S, P/B, PER, P/FCF, EV/Sales, EV/EBIT 기준 내재가격 범위를 한 화면에서 비교</t>
        </is>
      </c>
    </row>
    <row r="3" ht="24" customHeight="1"/>
    <row r="4" ht="24" customHeight="1">
      <c r="A4" s="18" t="inlineStr">
        <is>
          <t>현재가</t>
        </is>
      </c>
      <c r="B4" s="19" t="n"/>
      <c r="C4" s="18" t="inlineStr">
        <is>
          <t>하단값</t>
        </is>
      </c>
      <c r="D4" s="19" t="n"/>
      <c r="E4" s="18" t="inlineStr">
        <is>
          <t>중앙값</t>
        </is>
      </c>
      <c r="F4" s="19" t="n"/>
      <c r="G4" s="18" t="inlineStr">
        <is>
          <t>상단값</t>
        </is>
      </c>
      <c r="H4" s="19" t="n"/>
      <c r="I4" s="18" t="inlineStr">
        <is>
          <t>방법 수</t>
        </is>
      </c>
      <c r="J4" s="19" t="n"/>
      <c r="K4" s="18" t="inlineStr">
        <is>
          <t>안전마진</t>
        </is>
      </c>
      <c r="L4" s="19" t="n"/>
    </row>
    <row r="5" ht="24" customHeight="1">
      <c r="A5" s="20" t="inlineStr">
        <is>
          <t>291,000원</t>
        </is>
      </c>
      <c r="B5" s="19" t="n"/>
      <c r="C5" s="20" t="inlineStr">
        <is>
          <t>20,772원</t>
        </is>
      </c>
      <c r="D5" s="19" t="n"/>
      <c r="E5" s="20" t="inlineStr">
        <is>
          <t>26,383원</t>
        </is>
      </c>
      <c r="F5" s="19" t="n"/>
      <c r="G5" s="20" t="inlineStr">
        <is>
          <t>43,674원</t>
        </is>
      </c>
      <c r="H5" s="19" t="n"/>
      <c r="I5" s="20" t="inlineStr">
        <is>
          <t>7</t>
        </is>
      </c>
      <c r="J5" s="19" t="n"/>
      <c r="K5" s="20" t="inlineStr">
        <is>
          <t>-90.9%</t>
        </is>
      </c>
      <c r="L5" s="19" t="n"/>
    </row>
    <row r="6" ht="24" customHeight="1">
      <c r="A6" s="21" t="inlineStr">
        <is>
          <t>시장 기준</t>
        </is>
      </c>
      <c r="B6" s="19" t="n"/>
      <c r="C6" s="21" t="inlineStr">
        <is>
          <t>25% 분위</t>
        </is>
      </c>
      <c r="D6" s="19" t="n"/>
      <c r="E6" s="21" t="inlineStr">
        <is>
          <t>50% 분위</t>
        </is>
      </c>
      <c r="F6" s="19" t="n"/>
      <c r="G6" s="21" t="inlineStr">
        <is>
          <t>75% 분위</t>
        </is>
      </c>
      <c r="H6" s="19" t="n"/>
      <c r="I6" s="21" t="inlineStr">
        <is>
          <t>산출 가능한 방법</t>
        </is>
      </c>
      <c r="J6" s="19" t="n"/>
      <c r="K6" s="21" t="inlineStr">
        <is>
          <t>중앙값 기준</t>
        </is>
      </c>
      <c r="L6" s="19" t="n"/>
    </row>
    <row r="7" ht="24" customHeight="1"/>
    <row r="8" ht="24" customHeight="1"/>
    <row r="9" ht="24" customHeight="1">
      <c r="A9" s="22" t="inlineStr">
        <is>
          <t>가치평가 방법별 Low/Base/High</t>
        </is>
      </c>
    </row>
    <row r="10" ht="24" customHeight="1">
      <c r="A10" s="25" t="inlineStr">
        <is>
          <t>방법 코드</t>
        </is>
      </c>
      <c r="B10" s="25" t="inlineStr">
        <is>
          <t>가치평가 방법</t>
        </is>
      </c>
      <c r="C10" s="25" t="inlineStr">
        <is>
          <t>하단 지분가치</t>
        </is>
      </c>
      <c r="D10" s="25" t="inlineStr">
        <is>
          <t>중앙 지분가치</t>
        </is>
      </c>
      <c r="E10" s="25" t="inlineStr">
        <is>
          <t>상단 지분가치</t>
        </is>
      </c>
      <c r="F10" s="25" t="inlineStr">
        <is>
          <t>하단 주당가치</t>
        </is>
      </c>
      <c r="G10" s="25" t="inlineStr">
        <is>
          <t>중앙 주당가치</t>
        </is>
      </c>
      <c r="H10" s="25" t="inlineStr">
        <is>
          <t>상단 주당가치</t>
        </is>
      </c>
      <c r="I10" s="25" t="inlineStr">
        <is>
          <t>현재가</t>
        </is>
      </c>
      <c r="J10" s="25" t="inlineStr">
        <is>
          <t>현재가 대비</t>
        </is>
      </c>
      <c r="K10" s="25" t="inlineStr">
        <is>
          <t>해석</t>
        </is>
      </c>
      <c r="L10" s="25" t="inlineStr">
        <is>
          <t>출처</t>
        </is>
      </c>
      <c r="M10" s="25" t="inlineStr">
        <is>
          <t>신뢰도</t>
        </is>
      </c>
    </row>
    <row r="11" ht="24" customHeight="1">
      <c r="A11" s="24" t="inlineStr">
        <is>
          <t>DCF_BASE</t>
        </is>
      </c>
      <c r="B11" s="24" t="inlineStr">
        <is>
          <t>DCF 기준가치</t>
        </is>
      </c>
      <c r="C11" s="30" t="n">
        <v>1461444760424.651</v>
      </c>
      <c r="D11" s="30" t="n">
        <v>1719346776970.177</v>
      </c>
      <c r="E11" s="30" t="n">
        <v>1977248793515.704</v>
      </c>
      <c r="F11" s="30" t="n">
        <v>15333.23919104428</v>
      </c>
      <c r="G11" s="30" t="n">
        <v>18039.10493064033</v>
      </c>
      <c r="H11" s="30" t="n">
        <v>20744.97067023638</v>
      </c>
      <c r="I11" s="30" t="n">
        <v>291000</v>
      </c>
      <c r="J11" s="35" t="n">
        <v>-0.9380099486919576</v>
      </c>
      <c r="K11" s="24" t="inlineStr">
        <is>
          <t>밸류에이션 부담</t>
        </is>
      </c>
      <c r="L11" s="24" t="inlineStr">
        <is>
          <t>Valuation Agent DCF</t>
        </is>
      </c>
      <c r="M11" s="24" t="inlineStr">
        <is>
          <t>핵심 모델</t>
        </is>
      </c>
    </row>
    <row r="12" ht="24" customHeight="1">
      <c r="A12" s="29" t="inlineStr">
        <is>
          <t>PSR_COMP</t>
        </is>
      </c>
      <c r="B12" s="29" t="inlineStr">
        <is>
          <t>P/S 상대가치</t>
        </is>
      </c>
      <c r="C12" s="31" t="n">
        <v>786093345830.276</v>
      </c>
      <c r="D12" s="31" t="n">
        <v>2085352986202.881</v>
      </c>
      <c r="E12" s="31" t="n">
        <v>2159860320863.334</v>
      </c>
      <c r="F12" s="31" t="n">
        <v>8247.562702678944</v>
      </c>
      <c r="G12" s="31" t="n">
        <v>21879.18216348884</v>
      </c>
      <c r="H12" s="31" t="n">
        <v>22660.90092205756</v>
      </c>
      <c r="I12" s="31" t="n">
        <v>291000</v>
      </c>
      <c r="J12" s="36" t="n">
        <v>-0.9248138069983202</v>
      </c>
      <c r="K12" s="29" t="inlineStr">
        <is>
          <t>밸류에이션 부담</t>
        </is>
      </c>
      <c r="L12" s="29" t="inlineStr">
        <is>
          <t>시가총액/매출 피어 비교</t>
        </is>
      </c>
      <c r="M12" s="29" t="inlineStr">
        <is>
          <t>피어 중앙값 기반</t>
        </is>
      </c>
    </row>
    <row r="13" ht="24" customHeight="1">
      <c r="A13" s="24" t="inlineStr">
        <is>
          <t>PBR_COMP</t>
        </is>
      </c>
      <c r="B13" s="24" t="inlineStr">
        <is>
          <t>P/B 상대가치</t>
        </is>
      </c>
      <c r="C13" s="30" t="n">
        <v>1744748711626.09</v>
      </c>
      <c r="D13" s="30" t="n">
        <v>1874383903750.685</v>
      </c>
      <c r="E13" s="30" t="n">
        <v>2721549947293.249</v>
      </c>
      <c r="F13" s="30" t="n">
        <v>18305.61787080867</v>
      </c>
      <c r="G13" s="30" t="n">
        <v>19665.7290855807</v>
      </c>
      <c r="H13" s="30" t="n">
        <v>28554.05653518908</v>
      </c>
      <c r="I13" s="30" t="n">
        <v>291000</v>
      </c>
      <c r="J13" s="35" t="n">
        <v>-0.9324201749636402</v>
      </c>
      <c r="K13" s="24" t="inlineStr">
        <is>
          <t>밸류에이션 부담</t>
        </is>
      </c>
      <c r="L13" s="24" t="inlineStr">
        <is>
          <t>시가총액/자본 피어 비교</t>
        </is>
      </c>
      <c r="M13" s="24" t="inlineStr">
        <is>
          <t>피어 중앙값 기반</t>
        </is>
      </c>
    </row>
    <row r="14" ht="24" customHeight="1">
      <c r="A14" s="29" t="inlineStr">
        <is>
          <t>PER_COMP</t>
        </is>
      </c>
      <c r="B14" s="29" t="inlineStr">
        <is>
          <t>PER 상대가치</t>
        </is>
      </c>
      <c r="C14" s="31" t="n">
        <v>4617958558538.919</v>
      </c>
      <c r="D14" s="31" t="n">
        <v>4977839379303.215</v>
      </c>
      <c r="E14" s="31" t="n">
        <v>6585071631640.564</v>
      </c>
      <c r="F14" s="31" t="n">
        <v>48450.86524641042</v>
      </c>
      <c r="G14" s="31" t="n">
        <v>52226.67590616117</v>
      </c>
      <c r="H14" s="31" t="n">
        <v>69089.4935972579</v>
      </c>
      <c r="I14" s="31" t="n">
        <v>291000</v>
      </c>
      <c r="J14" s="36" t="n">
        <v>-0.8205268869204083</v>
      </c>
      <c r="K14" s="29" t="inlineStr">
        <is>
          <t>밸류에이션 부담</t>
        </is>
      </c>
      <c r="L14" s="29" t="inlineStr">
        <is>
          <t>시가총액/순이익 피어 비교</t>
        </is>
      </c>
      <c r="M14" s="29" t="inlineStr">
        <is>
          <t>피어 중앙값 기반</t>
        </is>
      </c>
    </row>
    <row r="15" ht="24" customHeight="1">
      <c r="A15" s="24" t="inlineStr">
        <is>
          <t>PFCF_COMP</t>
        </is>
      </c>
      <c r="B15" s="24" t="inlineStr">
        <is>
          <t>P/FCF 상대가치</t>
        </is>
      </c>
      <c r="C15" s="30" t="n">
        <v>1260306236252.813</v>
      </c>
      <c r="D15" s="30" t="n">
        <v>3347444950000.797</v>
      </c>
      <c r="E15" s="30" t="n">
        <v>3587369542615.409</v>
      </c>
      <c r="F15" s="30" t="n">
        <v>13222.92672137263</v>
      </c>
      <c r="G15" s="30" t="n">
        <v>35120.84444594498</v>
      </c>
      <c r="H15" s="30" t="n">
        <v>37638.09399652309</v>
      </c>
      <c r="I15" s="30" t="n">
        <v>291000</v>
      </c>
      <c r="J15" s="35" t="n">
        <v>-0.8793098129005327</v>
      </c>
      <c r="K15" s="24" t="inlineStr">
        <is>
          <t>밸류에이션 부담</t>
        </is>
      </c>
      <c r="L15" s="24" t="inlineStr">
        <is>
          <t>시가총액/FCF 피어 비교</t>
        </is>
      </c>
      <c r="M15" s="24" t="inlineStr">
        <is>
          <t>피어 중앙값 기반</t>
        </is>
      </c>
    </row>
    <row r="16" ht="24" customHeight="1">
      <c r="A16" s="29" t="inlineStr">
        <is>
          <t>EV_SALES_COMP</t>
        </is>
      </c>
      <c r="B16" s="29" t="inlineStr">
        <is>
          <t>EV/Sales 상대가치</t>
        </is>
      </c>
      <c r="C16" s="31" t="n">
        <v>1337774288354.703</v>
      </c>
      <c r="D16" s="31" t="n">
        <v>2514594822844.485</v>
      </c>
      <c r="E16" s="31" t="n">
        <v>5092760771741.665</v>
      </c>
      <c r="F16" s="31" t="n">
        <v>14035.7088426739</v>
      </c>
      <c r="G16" s="31" t="n">
        <v>26382.71724757676</v>
      </c>
      <c r="H16" s="31" t="n">
        <v>53432.4123432432</v>
      </c>
      <c r="I16" s="31" t="n">
        <v>291000</v>
      </c>
      <c r="J16" s="36" t="n">
        <v>-0.909337741417262</v>
      </c>
      <c r="K16" s="29" t="inlineStr">
        <is>
          <t>밸류에이션 부담</t>
        </is>
      </c>
      <c r="L16" s="29" t="inlineStr">
        <is>
          <t>EV/매출 피어 비교</t>
        </is>
      </c>
      <c r="M16" s="29" t="inlineStr">
        <is>
          <t>EV 조정 피어 기준</t>
        </is>
      </c>
    </row>
    <row r="17" ht="24" customHeight="1">
      <c r="A17" s="24" t="inlineStr">
        <is>
          <t>EV_EBIT_COMP</t>
        </is>
      </c>
      <c r="B17" s="24" t="inlineStr">
        <is>
          <t>EV/EBIT 상대가치</t>
        </is>
      </c>
      <c r="C17" s="30" t="n">
        <v>5097490097329.422</v>
      </c>
      <c r="D17" s="30" t="n">
        <v>5977433488341.172</v>
      </c>
      <c r="E17" s="30" t="n">
        <v>11484993328618.08</v>
      </c>
      <c r="F17" s="30" t="n">
        <v>53482.03165312963</v>
      </c>
      <c r="G17" s="30" t="n">
        <v>62714.25366680416</v>
      </c>
      <c r="H17" s="30" t="n">
        <v>120498.6699354131</v>
      </c>
      <c r="I17" s="30" t="n">
        <v>291000</v>
      </c>
      <c r="J17" s="35" t="n">
        <v>-0.7844871008013603</v>
      </c>
      <c r="K17" s="24" t="inlineStr">
        <is>
          <t>밸류에이션 부담</t>
        </is>
      </c>
      <c r="L17" s="24" t="inlineStr">
        <is>
          <t>EV/영업이익 피어 비교</t>
        </is>
      </c>
      <c r="M17" s="24" t="inlineStr">
        <is>
          <t>EV 조정 피어 기준</t>
        </is>
      </c>
    </row>
    <row r="18" ht="24" customHeight="1"/>
    <row r="19" ht="24" customHeight="1"/>
    <row r="20" ht="24" customHeight="1">
      <c r="A20" s="22" t="inlineStr">
        <is>
          <t>사용 가이드</t>
        </is>
      </c>
    </row>
    <row r="21" ht="24" customHeight="1">
      <c r="A21" s="25" t="inlineStr">
        <is>
          <t>항목</t>
        </is>
      </c>
      <c r="B21" s="25" t="inlineStr">
        <is>
          <t>내용</t>
        </is>
      </c>
    </row>
    <row r="22" ht="24" customHeight="1">
      <c r="A22" s="24" t="inlineStr">
        <is>
          <t>해석 방법</t>
        </is>
      </c>
      <c r="B22" s="24" t="inlineStr">
        <is>
          <t>한 방법만 우호적이면 확신도가 낮고, 여러 방법의 중앙값이 현재가보다 높으면 상대적으로 우호적입니다.</t>
        </is>
      </c>
    </row>
    <row r="23" ht="24" customHeight="1">
      <c r="A23" s="29" t="inlineStr">
        <is>
          <t>주의</t>
        </is>
      </c>
      <c r="B23" s="29" t="inlineStr">
        <is>
          <t>PER/PBR/EV/EBIT는 적자·음수 지표에서 자동 제외됩니다. 제외 사유는 빈칸이 아니라 해당 없음으로 표시됩니다.</t>
        </is>
      </c>
    </row>
  </sheetData>
  <autoFilter ref="A21:B23"/>
  <mergeCells count="22">
    <mergeCell ref="C6:D6"/>
    <mergeCell ref="I6:J6"/>
    <mergeCell ref="C5:D5"/>
    <mergeCell ref="E5:F5"/>
    <mergeCell ref="K5:L5"/>
    <mergeCell ref="A6:B6"/>
    <mergeCell ref="C4:D4"/>
    <mergeCell ref="A2:L2"/>
    <mergeCell ref="E4:F4"/>
    <mergeCell ref="G6:H6"/>
    <mergeCell ref="A20:F20"/>
    <mergeCell ref="E6:F6"/>
    <mergeCell ref="A9:F9"/>
    <mergeCell ref="A5:B5"/>
    <mergeCell ref="G5:H5"/>
    <mergeCell ref="K6:L6"/>
    <mergeCell ref="I5:J5"/>
    <mergeCell ref="A4:B4"/>
    <mergeCell ref="G4:H4"/>
    <mergeCell ref="I4:J4"/>
    <mergeCell ref="A1:L1"/>
    <mergeCell ref="K4:L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0" customWidth="1" min="1" max="1"/>
    <col width="4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한미반도체 역산 DCF·오너 이익</t>
        </is>
      </c>
    </row>
    <row r="2" ht="28" customHeight="1">
      <c r="A2" s="17" t="inlineStr">
        <is>
          <t>현재 주가가 요구하는 성장률과 현금창출 기준 보수 가치를 점검</t>
        </is>
      </c>
    </row>
    <row r="3" ht="24" customHeight="1"/>
    <row r="4" ht="24" customHeight="1">
      <c r="A4" s="18" t="inlineStr">
        <is>
          <t>시장 내재 EV</t>
        </is>
      </c>
      <c r="B4" s="19" t="n"/>
      <c r="C4" s="18" t="inlineStr">
        <is>
          <t>모델 EV</t>
        </is>
      </c>
      <c r="D4" s="19" t="n"/>
      <c r="E4" s="18" t="inlineStr">
        <is>
          <t>EV 괴리</t>
        </is>
      </c>
      <c r="F4" s="19" t="n"/>
      <c r="G4" s="18" t="inlineStr">
        <is>
          <t>요구 FCF 수익률</t>
        </is>
      </c>
      <c r="H4" s="19" t="n"/>
      <c r="I4" s="18" t="inlineStr">
        <is>
          <t>역산 성장률</t>
        </is>
      </c>
      <c r="J4" s="19" t="n"/>
    </row>
    <row r="5" ht="24" customHeight="1">
      <c r="A5" s="20" t="inlineStr">
        <is>
          <t>275,826.2억원</t>
        </is>
      </c>
      <c r="B5" s="19" t="n"/>
      <c r="C5" s="20" t="inlineStr">
        <is>
          <t>15,661.2억원</t>
        </is>
      </c>
      <c r="D5" s="19" t="n"/>
      <c r="E5" s="20" t="inlineStr">
        <is>
          <t>1661.2%</t>
        </is>
      </c>
      <c r="F5" s="19" t="n"/>
      <c r="G5" s="20" t="inlineStr">
        <is>
          <t>0.8%</t>
        </is>
      </c>
      <c r="H5" s="19" t="n"/>
      <c r="I5" s="20" t="inlineStr">
        <is>
          <t>8.0%</t>
        </is>
      </c>
      <c r="J5" s="19" t="n"/>
    </row>
    <row r="6" ht="24" customHeight="1">
      <c r="A6" s="21" t="inlineStr">
        <is>
          <t>시가총액+부채-현금</t>
        </is>
      </c>
      <c r="B6" s="19" t="n"/>
      <c r="C6" s="21" t="inlineStr">
        <is>
          <t>DCF 산출 EV</t>
        </is>
      </c>
      <c r="D6" s="19" t="n"/>
      <c r="E6" s="21" t="inlineStr">
        <is>
          <t>시장/모델-1</t>
        </is>
      </c>
      <c r="F6" s="19" t="n"/>
      <c r="G6" s="21" t="inlineStr">
        <is>
          <t>FCF/시장내재 EV</t>
        </is>
      </c>
      <c r="H6" s="19" t="n"/>
      <c r="I6" s="21" t="inlineStr">
        <is>
          <t>시장가격 내재</t>
        </is>
      </c>
      <c r="J6" s="19" t="n"/>
    </row>
    <row r="7" ht="24" customHeight="1"/>
    <row r="8" ht="24" customHeight="1"/>
    <row r="9" ht="24" customHeight="1">
      <c r="A9" s="22" t="inlineStr">
        <is>
          <t>역산 DCF 핵심값</t>
        </is>
      </c>
    </row>
    <row r="10" ht="24" customHeight="1">
      <c r="A10" s="25" t="inlineStr">
        <is>
          <t>현재가</t>
        </is>
      </c>
      <c r="B10" s="25" t="inlineStr">
        <is>
          <t>시가총액</t>
        </is>
      </c>
      <c r="C10" s="25" t="inlineStr">
        <is>
          <t>시장 내재 EV</t>
        </is>
      </c>
      <c r="D10" s="25" t="inlineStr">
        <is>
          <t>모델 EV</t>
        </is>
      </c>
      <c r="E10" s="25" t="inlineStr">
        <is>
          <t>시장/모델 EV 괴리</t>
        </is>
      </c>
      <c r="F10" s="25" t="inlineStr">
        <is>
          <t>요구 FCF 수익률</t>
        </is>
      </c>
      <c r="G10" s="25" t="inlineStr">
        <is>
          <t>역산 영구성장률</t>
        </is>
      </c>
      <c r="H10" s="25" t="inlineStr">
        <is>
          <t>wacc_used</t>
        </is>
      </c>
      <c r="I10" s="25" t="inlineStr">
        <is>
          <t>해석</t>
        </is>
      </c>
    </row>
    <row r="11" ht="24" customHeight="1">
      <c r="A11" s="30" t="n">
        <v>291000</v>
      </c>
      <c r="B11" s="30" t="n">
        <v>27735850200000</v>
      </c>
      <c r="C11" s="30" t="n">
        <v>27582618929054</v>
      </c>
      <c r="D11" s="30" t="n">
        <v>1566115506024.177</v>
      </c>
      <c r="E11" s="35" t="n">
        <v>16.61212300303231</v>
      </c>
      <c r="F11" s="35" t="n">
        <v>0.007595830497527946</v>
      </c>
      <c r="G11" s="35" t="n">
        <v>0.08</v>
      </c>
      <c r="H11" s="30" t="n">
        <v>0.1425531756098363</v>
      </c>
      <c r="I11" s="24" t="inlineStr">
        <is>
          <t>현재 주가가 요구하는 FCF yield와 영구성장률을 역산해 DCF 가정의 현실성을 점검합니다.</t>
        </is>
      </c>
    </row>
    <row r="12" ht="24" customHeight="1"/>
    <row r="13" ht="24" customHeight="1"/>
    <row r="14" ht="24" customHeight="1">
      <c r="A14" s="22" t="inlineStr">
        <is>
          <t>오너 이익 / EPV / Graham Number</t>
        </is>
      </c>
    </row>
    <row r="15" ht="24" customHeight="1">
      <c r="A15" s="25" t="inlineStr">
        <is>
          <t>오너 이익</t>
        </is>
      </c>
      <c r="B15" s="25" t="inlineStr">
        <is>
          <t>owner_earnings_method_kr</t>
        </is>
      </c>
      <c r="C15" s="25" t="inlineStr">
        <is>
          <t>오너 이익 수익률</t>
        </is>
      </c>
      <c r="D15" s="25" t="inlineStr">
        <is>
          <t>owner_earnings_value</t>
        </is>
      </c>
      <c r="E15" s="25" t="inlineStr">
        <is>
          <t>오너 이익 주당가치</t>
        </is>
      </c>
      <c r="F15" s="25" t="inlineStr">
        <is>
          <t>epv_equity_value</t>
        </is>
      </c>
      <c r="G15" s="25" t="inlineStr">
        <is>
          <t>EPV 주당가치</t>
        </is>
      </c>
      <c r="H15" s="25" t="inlineStr">
        <is>
          <t>eps</t>
        </is>
      </c>
      <c r="I15" s="25" t="inlineStr">
        <is>
          <t>bps</t>
        </is>
      </c>
      <c r="J15" s="25" t="inlineStr">
        <is>
          <t>Graham Number</t>
        </is>
      </c>
      <c r="K15" s="25" t="inlineStr">
        <is>
          <t>method_note_kr</t>
        </is>
      </c>
    </row>
    <row r="16" ht="24" customHeight="1">
      <c r="A16" s="30" t="n">
        <v>209512898063</v>
      </c>
      <c r="B16" s="24" t="inlineStr">
        <is>
          <t>FCF = CFO - CAPEX</t>
        </is>
      </c>
      <c r="C16" s="35" t="n">
        <v>0.007553866081343344</v>
      </c>
      <c r="D16" s="30" t="n">
        <v>1469717508338.295</v>
      </c>
      <c r="E16" s="30" t="n">
        <v>15420.03550792338</v>
      </c>
      <c r="F16" s="30" t="n">
        <v>1493478566108.585</v>
      </c>
      <c r="G16" s="30" t="n">
        <v>15669.33263641574</v>
      </c>
      <c r="H16" s="30" t="n">
        <v>2245.332165357635</v>
      </c>
      <c r="I16" s="30" t="n">
        <v>7242.80332986753</v>
      </c>
      <c r="J16" s="30" t="n">
        <v>19128.67569613737</v>
      </c>
      <c r="K16" s="24" t="inlineStr">
        <is>
          <t>오너 이익, EPV, Graham Number는 DCF를 보완하는 보수적 교차검증 지표입니다.</t>
        </is>
      </c>
    </row>
    <row r="17" ht="24" customHeight="1"/>
    <row r="18" ht="24" customHeight="1"/>
    <row r="19" ht="24" customHeight="1">
      <c r="A19" s="22" t="inlineStr">
        <is>
          <t>해석 가이드</t>
        </is>
      </c>
    </row>
    <row r="20" ht="24" customHeight="1">
      <c r="A20" s="25" t="inlineStr">
        <is>
          <t>항목</t>
        </is>
      </c>
      <c r="B20" s="25" t="inlineStr">
        <is>
          <t>내용</t>
        </is>
      </c>
    </row>
    <row r="21" ht="24" customHeight="1">
      <c r="A21" s="24" t="inlineStr">
        <is>
          <t>역산 DCF</t>
        </is>
      </c>
      <c r="B21" s="24" t="inlineStr">
        <is>
          <t>현재 주가를 정당화하려면 어떤 영구성장률·FCF 수익률이 필요한지 역산합니다.</t>
        </is>
      </c>
    </row>
    <row r="22" ht="24" customHeight="1">
      <c r="A22" s="29" t="inlineStr">
        <is>
          <t>오너 이익</t>
        </is>
      </c>
      <c r="B22" s="29" t="inlineStr">
        <is>
          <t>CFO-CAPEX 또는 FCF를 기반으로 보수적 현금창출 가치를 계산합니다.</t>
        </is>
      </c>
    </row>
    <row r="23" ht="24" customHeight="1">
      <c r="A23" s="24" t="inlineStr">
        <is>
          <t>EPV</t>
        </is>
      </c>
      <c r="B23" s="24" t="inlineStr">
        <is>
          <t>영업이익의 지속가능성을 가정해 현재 수익력 기준 기업가치를 확인합니다.</t>
        </is>
      </c>
    </row>
  </sheetData>
  <autoFilter ref="A20:B23"/>
  <mergeCells count="20">
    <mergeCell ref="C6:D6"/>
    <mergeCell ref="I6:J6"/>
    <mergeCell ref="C5:D5"/>
    <mergeCell ref="E5:F5"/>
    <mergeCell ref="A6:B6"/>
    <mergeCell ref="C4:D4"/>
    <mergeCell ref="E4:F4"/>
    <mergeCell ref="A14:F14"/>
    <mergeCell ref="G6:H6"/>
    <mergeCell ref="A1:J1"/>
    <mergeCell ref="E6:F6"/>
    <mergeCell ref="A19:F19"/>
    <mergeCell ref="A9:F9"/>
    <mergeCell ref="A5:B5"/>
    <mergeCell ref="G5:H5"/>
    <mergeCell ref="I5:J5"/>
    <mergeCell ref="A4:B4"/>
    <mergeCell ref="G4:H4"/>
    <mergeCell ref="I4:J4"/>
    <mergeCell ref="A2:J2"/>
  </mergeCells>
  <pageMargins left="0.75" right="0.75" top="1" bottom="1" header="0.5" footer="0.5"/>
  <pageSetup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30" customWidth="1" min="2" max="2"/>
    <col width="4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한미반도체 데이터 수집현황·보강경로</t>
        </is>
      </c>
    </row>
    <row r="2" ht="28" customHeight="1">
      <c r="A2" s="17" t="inlineStr">
        <is>
          <t>원천 제공 여부와 대체 산출 경로를 분리해 Chair·대시보드에서 그대로 확인</t>
        </is>
      </c>
    </row>
    <row r="3" ht="24" customHeight="1"/>
    <row r="4" ht="24" customHeight="1">
      <c r="A4" s="22" t="inlineStr">
        <is>
          <t>데이터 블록별 확보 상태</t>
        </is>
      </c>
    </row>
    <row r="5" ht="24" customHeight="1">
      <c r="A5" s="25" t="inlineStr">
        <is>
          <t>데이터블록</t>
        </is>
      </c>
      <c r="B5" s="25" t="inlineStr">
        <is>
          <t>상태</t>
        </is>
      </c>
      <c r="C5" s="25" t="inlineStr">
        <is>
          <t>수집경로</t>
        </is>
      </c>
      <c r="D5" s="25" t="inlineStr">
        <is>
          <t>가치평가 활용</t>
        </is>
      </c>
      <c r="E5" s="25" t="inlineStr">
        <is>
          <t>대시보드 표시</t>
        </is>
      </c>
    </row>
    <row r="6" ht="24" customHeight="1">
      <c r="A6" s="24" t="inlineStr">
        <is>
          <t>DART 재무제표</t>
        </is>
      </c>
      <c r="B6" s="24" t="inlineStr">
        <is>
          <t>확보</t>
        </is>
      </c>
      <c r="C6" s="24" t="inlineStr">
        <is>
          <t>OpenDART fnlttSinglAcntAll/fnlttSinglAcnt</t>
        </is>
      </c>
      <c r="D6" s="24" t="inlineStr">
        <is>
          <t>매출·자본·순이익·현금흐름 확보</t>
        </is>
      </c>
      <c r="E6" s="24" t="inlineStr">
        <is>
          <t>표시 가능</t>
        </is>
      </c>
    </row>
    <row r="7" ht="24" customHeight="1">
      <c r="A7" s="29" t="inlineStr">
        <is>
          <t>주가 이력</t>
        </is>
      </c>
      <c r="B7" s="29" t="inlineStr">
        <is>
          <t>확보</t>
        </is>
      </c>
      <c r="C7" s="29" t="inlineStr">
        <is>
          <t>yfinance → Yahoo chart → Naver 일별시세 fallback</t>
        </is>
      </c>
      <c r="D7" s="29" t="inlineStr">
        <is>
          <t>현재가·변동성·MDD·거래대금 확보</t>
        </is>
      </c>
      <c r="E7" s="29" t="inlineStr">
        <is>
          <t>표시 가능</t>
        </is>
      </c>
    </row>
    <row r="8" ht="24" customHeight="1">
      <c r="A8" s="24" t="inlineStr">
        <is>
          <t>발행주식 수</t>
        </is>
      </c>
      <c r="B8" s="24" t="inlineStr">
        <is>
          <t>확보</t>
        </is>
      </c>
      <c r="C8" s="24" t="inlineStr">
        <is>
          <t>OpenDART stockTotqySttus</t>
        </is>
      </c>
      <c r="D8" s="24" t="inlineStr">
        <is>
          <t>내재주가·시가총액 계산</t>
        </is>
      </c>
      <c r="E8" s="24" t="inlineStr">
        <is>
          <t>표시 가능</t>
        </is>
      </c>
    </row>
    <row r="9" ht="24" customHeight="1">
      <c r="A9" s="29" t="inlineStr">
        <is>
          <t>피어 멀티플</t>
        </is>
      </c>
      <c r="B9" s="29" t="inlineStr">
        <is>
          <t>확보</t>
        </is>
      </c>
      <c r="C9" s="29" t="inlineStr">
        <is>
          <t>Valuation 전용 live peer intake</t>
        </is>
      </c>
      <c r="D9" s="29" t="inlineStr">
        <is>
          <t>P/S·PER·PBR·EV/Sales 비교</t>
        </is>
      </c>
      <c r="E9" s="29" t="inlineStr">
        <is>
          <t>표시 가능</t>
        </is>
      </c>
    </row>
    <row r="10" ht="24" customHeight="1">
      <c r="A10" s="24" t="inlineStr">
        <is>
          <t>208개 Universe</t>
        </is>
      </c>
      <c r="B10" s="24" t="inlineStr">
        <is>
          <t>확보</t>
        </is>
      </c>
      <c r="C10" s="24" t="inlineStr">
        <is>
          <t>Tech universe 축 복제 + valuation proxy</t>
        </is>
      </c>
      <c r="D10" s="24" t="inlineStr">
        <is>
          <t>대규모 상대 위치 비교</t>
        </is>
      </c>
      <c r="E10" s="24" t="inlineStr">
        <is>
          <t>표시 가능</t>
        </is>
      </c>
    </row>
    <row r="11" ht="24" customHeight="1">
      <c r="A11" s="29" t="inlineStr">
        <is>
          <t>보조 투자지표</t>
        </is>
      </c>
      <c r="B11" s="29" t="inlineStr">
        <is>
          <t>확보</t>
        </is>
      </c>
      <c r="C11" s="29" t="inlineStr">
        <is>
          <t>Naver finance live + DART/주가 자동 산출 fallback</t>
        </is>
      </c>
      <c r="D11" s="29" t="inlineStr">
        <is>
          <t>외부 표시 PER/PBR/EPS/BPS 또는 자체 산출값</t>
        </is>
      </c>
      <c r="E11" s="29" t="inlineStr">
        <is>
          <t>표시 가능</t>
        </is>
      </c>
    </row>
    <row r="12" ht="24" customHeight="1"/>
    <row r="13" ht="24" customHeight="1"/>
    <row r="14" ht="24" customHeight="1">
      <c r="A14" s="22" t="inlineStr">
        <is>
          <t>자동 생성/참조 파일 경로</t>
        </is>
      </c>
    </row>
    <row r="15" ht="24" customHeight="1">
      <c r="A15" s="25" t="inlineStr">
        <is>
          <t>파일구분</t>
        </is>
      </c>
      <c r="B15" s="25" t="inlineStr">
        <is>
          <t>경로</t>
        </is>
      </c>
      <c r="C15" s="25" t="inlineStr">
        <is>
          <t>활용</t>
        </is>
      </c>
    </row>
    <row r="16" ht="24" customHeight="1">
      <c r="A16" s="24" t="inlineStr">
        <is>
          <t>template_catalog_csv</t>
        </is>
      </c>
      <c r="B16" s="24" t="inlineStr">
        <is>
          <t>data/반도체/한미반도체/valuation/intake/valuation_modeling_template_catalog.csv</t>
        </is>
      </c>
      <c r="C16" s="24" t="inlineStr">
        <is>
          <t>Valuation Agent intake/output</t>
        </is>
      </c>
    </row>
    <row r="17" ht="24" customHeight="1">
      <c r="A17" s="29" t="inlineStr">
        <is>
          <t>template_catalog_json</t>
        </is>
      </c>
      <c r="B17" s="29" t="inlineStr">
        <is>
          <t>data/반도체/한미반도체/valuation/intake/valuation_modeling_template_catalog.json</t>
        </is>
      </c>
      <c r="C17" s="29" t="inlineStr">
        <is>
          <t>Valuation Agent intake/output</t>
        </is>
      </c>
    </row>
    <row r="18" ht="24" customHeight="1">
      <c r="A18" s="24" t="inlineStr">
        <is>
          <t>raw_dart_accounts_csv</t>
        </is>
      </c>
      <c r="B18" s="24" t="inlineStr">
        <is>
          <t>data/반도체/한미반도체/valuation/intake/valuation_raw_dart_accounts.csv</t>
        </is>
      </c>
      <c r="C18" s="24" t="inlineStr">
        <is>
          <t>Valuation Agent intake/output</t>
        </is>
      </c>
    </row>
    <row r="19" ht="24" customHeight="1">
      <c r="A19" s="29" t="inlineStr">
        <is>
          <t>normalized_financials_csv</t>
        </is>
      </c>
      <c r="B19" s="29" t="inlineStr">
        <is>
          <t>data/반도체/한미반도체/valuation/intake/valuation_normalized_financials.csv</t>
        </is>
      </c>
      <c r="C19" s="29" t="inlineStr">
        <is>
          <t>Valuation Agent intake/output</t>
        </is>
      </c>
    </row>
    <row r="20" ht="24" customHeight="1">
      <c r="A20" s="24" t="inlineStr">
        <is>
          <t>price_history_csv</t>
        </is>
      </c>
      <c r="B20" s="24" t="inlineStr">
        <is>
          <t>data/반도체/한미반도체/valuation/intake/valuation_price_history.csv</t>
        </is>
      </c>
      <c r="C20" s="24" t="inlineStr">
        <is>
          <t>Valuation Agent intake/output</t>
        </is>
      </c>
    </row>
    <row r="21" ht="24" customHeight="1">
      <c r="A21" s="29" t="inlineStr">
        <is>
          <t>share_count_csv</t>
        </is>
      </c>
      <c r="B21" s="29" t="inlineStr">
        <is>
          <t>data/반도체/한미반도체/valuation/intake/valuation_share_count.csv</t>
        </is>
      </c>
      <c r="C21" s="29" t="inlineStr">
        <is>
          <t>Valuation Agent intake/output</t>
        </is>
      </c>
    </row>
    <row r="22" ht="24" customHeight="1">
      <c r="A22" s="24" t="inlineStr">
        <is>
          <t>price_summary_json</t>
        </is>
      </c>
      <c r="B22" s="24" t="inlineStr">
        <is>
          <t>data/반도체/한미반도체/valuation/intake/valuation_price_summary.json</t>
        </is>
      </c>
      <c r="C22" s="24" t="inlineStr">
        <is>
          <t>Valuation Agent intake/output</t>
        </is>
      </c>
    </row>
    <row r="23" ht="24" customHeight="1">
      <c r="A23" s="29" t="inlineStr">
        <is>
          <t>market_snapshot_json</t>
        </is>
      </c>
      <c r="B23" s="29" t="inlineStr">
        <is>
          <t>data/반도체/한미반도체/valuation/intake/valuation_market_snapshot.json</t>
        </is>
      </c>
      <c r="C23" s="29" t="inlineStr">
        <is>
          <t>Valuation Agent intake/output</t>
        </is>
      </c>
    </row>
    <row r="24" ht="24" customHeight="1">
      <c r="A24" s="24" t="inlineStr">
        <is>
          <t>market_snapshot_csv</t>
        </is>
      </c>
      <c r="B24" s="24" t="inlineStr">
        <is>
          <t>data/반도체/한미반도체/valuation/intake/valuation_market_snapshot.csv</t>
        </is>
      </c>
      <c r="C24" s="24" t="inlineStr">
        <is>
          <t>Valuation Agent intake/output</t>
        </is>
      </c>
    </row>
    <row r="25" ht="24" customHeight="1">
      <c r="A25" s="29" t="inlineStr">
        <is>
          <t>peer_input_csv</t>
        </is>
      </c>
      <c r="B25" s="29" t="inlineStr">
        <is>
          <t>data/반도체/한미반도체/valuation/intake/valuation_peer_input.csv</t>
        </is>
      </c>
      <c r="C25" s="29" t="inlineStr">
        <is>
          <t>Valuation Agent intake/output</t>
        </is>
      </c>
    </row>
    <row r="26" ht="24" customHeight="1">
      <c r="A26" s="24" t="inlineStr">
        <is>
          <t>assumptions_json</t>
        </is>
      </c>
      <c r="B26" s="24" t="inlineStr">
        <is>
          <t>data/반도체/한미반도체/valuation/intake/valuation_assumptions.json</t>
        </is>
      </c>
      <c r="C26" s="24" t="inlineStr">
        <is>
          <t>Valuation Agent intake/output</t>
        </is>
      </c>
    </row>
    <row r="27" ht="24" customHeight="1">
      <c r="A27" s="29" t="inlineStr">
        <is>
          <t>reference_universe_208_csv</t>
        </is>
      </c>
      <c r="B27" s="29" t="inlineStr">
        <is>
          <t>data/반도체/한미반도체/valuation/intake/valuation_reference_universe_208.csv</t>
        </is>
      </c>
      <c r="C27" s="29" t="inlineStr">
        <is>
          <t>Valuation Agent intake/output</t>
        </is>
      </c>
    </row>
    <row r="28" ht="24" customHeight="1">
      <c r="A28" s="24" t="inlineStr">
        <is>
          <t>reference_universe_focus_csv</t>
        </is>
      </c>
      <c r="B28" s="24" t="inlineStr">
        <is>
          <t>data/반도체/한미반도체/valuation/intake/valuation_reference_universe_focus.csv</t>
        </is>
      </c>
      <c r="C28" s="24" t="inlineStr">
        <is>
          <t>Valuation Agent intake/output</t>
        </is>
      </c>
    </row>
    <row r="29" ht="24" customHeight="1">
      <c r="A29" s="29" t="inlineStr">
        <is>
          <t>reference_universe_summary_json</t>
        </is>
      </c>
      <c r="B29" s="29" t="inlineStr">
        <is>
          <t>data/반도체/한미반도체/valuation/intake/valuation_reference_universe_summary.json</t>
        </is>
      </c>
      <c r="C29" s="29" t="inlineStr">
        <is>
          <t>Valuation Agent intake/output</t>
        </is>
      </c>
    </row>
  </sheetData>
  <autoFilter ref="A15:C29"/>
  <mergeCells count="4">
    <mergeCell ref="A14:F14"/>
    <mergeCell ref="A1:J1"/>
    <mergeCell ref="A4:F4"/>
    <mergeCell ref="A2:J2"/>
  </mergeCells>
  <pageMargins left="0.75" right="0.75" top="1" bottom="1" header="0.5" footer="0.5"/>
  <pageSetup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한미반도체 투자판단 요약</t>
        </is>
      </c>
      <c r="B1" t="inlineStr"/>
      <c r="C1" t="inlineStr"/>
      <c r="D1" t="inlineStr"/>
      <c r="E1" t="inlineStr"/>
      <c r="F1" t="inlineStr"/>
    </row>
    <row r="2">
      <c r="A2" t="inlineStr">
        <is>
          <t>목적</t>
        </is>
      </c>
      <c r="B2" t="inlineStr">
        <is>
          <t>DCF·상대가치·주가역산·오너이익·208개 기준 비교군을 한 장에서 확인하는 투자자용 요약입니다.</t>
        </is>
      </c>
      <c r="C2" t="inlineStr"/>
      <c r="D2" t="inlineStr"/>
      <c r="E2" t="inlineStr"/>
      <c r="F2" t="inlineStr"/>
    </row>
    <row r="3">
      <c r="A3" t="inlineStr">
        <is>
          <t>최종 가치평가 관점</t>
        </is>
      </c>
      <c r="B3" t="inlineStr">
        <is>
          <t>가치평가 관점 보수</t>
        </is>
      </c>
      <c r="C3" t="inlineStr">
        <is>
          <t>근거</t>
        </is>
      </c>
      <c r="D3" t="inlineStr">
        <is>
          <t>DCF 기준 현재가 부담이 큽니다. 보조 가치평가 점수가 45점 미만으로 보수적 해석이 필요합니다. 종합 가치평가 점수가 45점 미만으로 보수적 해석이 필요합니다.</t>
        </is>
      </c>
      <c r="E3" t="inlineStr">
        <is>
          <t>검증 상태</t>
        </is>
      </c>
      <c r="F3" t="inlineStr">
        <is>
          <t>통과</t>
        </is>
      </c>
    </row>
    <row r="4">
      <c r="A4" t="inlineStr">
        <is>
          <t>핵심 지표</t>
        </is>
      </c>
      <c r="B4" t="inlineStr">
        <is>
          <t>값</t>
        </is>
      </c>
      <c r="C4" t="inlineStr">
        <is>
          <t>해석</t>
        </is>
      </c>
      <c r="D4" t="inlineStr">
        <is>
          <t>원천/산식</t>
        </is>
      </c>
      <c r="E4" t="inlineStr">
        <is>
          <t>대시보드 활용</t>
        </is>
      </c>
      <c r="F4" t="inlineStr">
        <is>
          <t>주의사항</t>
        </is>
      </c>
    </row>
    <row r="5">
      <c r="A5" t="inlineStr">
        <is>
          <t>현재가</t>
        </is>
      </c>
      <c r="B5" t="inlineStr">
        <is>
          <t>291,000원</t>
        </is>
      </c>
      <c r="C5" t="inlineStr">
        <is>
          <t>시장 기준점</t>
        </is>
      </c>
      <c r="D5" t="inlineStr">
        <is>
          <t>가치평가 전용 주가 수집</t>
        </is>
      </c>
      <c r="E5" t="inlineStr">
        <is>
          <t>주가 카드</t>
        </is>
      </c>
      <c r="F5" t="inlineStr">
        <is>
          <t>수집일 기준 변동 가능</t>
        </is>
      </c>
    </row>
    <row r="6">
      <c r="A6" t="inlineStr">
        <is>
          <t>DCF 내재주가</t>
        </is>
      </c>
      <c r="B6" t="inlineStr">
        <is>
          <t>18,039원</t>
        </is>
      </c>
      <c r="C6" t="inlineStr">
        <is>
          <t>절대가치 기준</t>
        </is>
      </c>
      <c r="D6" t="inlineStr">
        <is>
          <t>FCF 추정 + WACC + 영구성장률</t>
        </is>
      </c>
      <c r="E6" t="inlineStr">
        <is>
          <t>DCF 카드</t>
        </is>
      </c>
      <c r="F6" t="inlineStr">
        <is>
          <t>가정 민감도 확인 필요</t>
        </is>
      </c>
    </row>
    <row r="7">
      <c r="A7" t="inlineStr">
        <is>
          <t>현재가 대비 괴리율</t>
        </is>
      </c>
      <c r="B7" t="inlineStr">
        <is>
          <t>-93.8%</t>
        </is>
      </c>
      <c r="C7" t="inlineStr">
        <is>
          <t>안전마진 확인</t>
        </is>
      </c>
      <c r="D7" t="inlineStr">
        <is>
          <t>내재주가/현재가 - 1</t>
        </is>
      </c>
      <c r="E7" t="inlineStr">
        <is>
          <t>안전마진 배지</t>
        </is>
      </c>
      <c r="F7" t="inlineStr">
        <is>
          <t>절대 투자판단 단독 사용 금지</t>
        </is>
      </c>
    </row>
    <row r="8">
      <c r="A8" t="inlineStr">
        <is>
          <t>WACC</t>
        </is>
      </c>
      <c r="B8" t="inlineStr">
        <is>
          <t>14.3%</t>
        </is>
      </c>
      <c r="C8" t="inlineStr">
        <is>
          <t>할인율</t>
        </is>
      </c>
      <c r="D8" t="inlineStr">
        <is>
          <t>무위험이자율·시장위험프리미엄·베타·타인자본비용</t>
        </is>
      </c>
      <c r="E8" t="inlineStr">
        <is>
          <t>가정 슬라이더</t>
        </is>
      </c>
      <c r="F8" t="inlineStr">
        <is>
          <t>금리 변화 민감</t>
        </is>
      </c>
    </row>
    <row r="9">
      <c r="A9" t="inlineStr">
        <is>
          <t>P/S</t>
        </is>
      </c>
      <c r="B9" t="inlineStr">
        <is>
          <t>48.18배</t>
        </is>
      </c>
      <c r="C9" t="inlineStr">
        <is>
          <t>매출 대비 시장가치</t>
        </is>
      </c>
      <c r="D9" t="inlineStr">
        <is>
          <t>시가총액/매출액</t>
        </is>
      </c>
      <c r="E9" t="inlineStr">
        <is>
          <t>상대가치 카드</t>
        </is>
      </c>
      <c r="F9" t="inlineStr">
        <is>
          <t>적자기업에도 활용 가능</t>
        </is>
      </c>
    </row>
    <row r="10">
      <c r="A10" t="inlineStr">
        <is>
          <t>비교기업 P/S 중앙값</t>
        </is>
      </c>
      <c r="B10" t="inlineStr">
        <is>
          <t>3.62배</t>
        </is>
      </c>
      <c r="C10" t="inlineStr">
        <is>
          <t>5개 비교기업 기준</t>
        </is>
      </c>
      <c r="D10" t="inlineStr">
        <is>
          <t>피어 입력 자동 생성</t>
        </is>
      </c>
      <c r="E10" t="inlineStr">
        <is>
          <t>비교기업 차트</t>
        </is>
      </c>
      <c r="F10" t="inlineStr">
        <is>
          <t>비교기업 품질 확인 필요</t>
        </is>
      </c>
    </row>
    <row r="11">
      <c r="A11" t="inlineStr">
        <is>
          <t>가치범위 중앙값</t>
        </is>
      </c>
      <c r="B11" t="inlineStr">
        <is>
          <t>26,383원</t>
        </is>
      </c>
      <c r="C11" t="inlineStr">
        <is>
          <t>여러 방식의 교차검증</t>
        </is>
      </c>
      <c r="D11" t="inlineStr">
        <is>
          <t>DCF·P/S·P/B·PER·P/FCF 등</t>
        </is>
      </c>
      <c r="E11" t="inlineStr">
        <is>
          <t>가치범위표</t>
        </is>
      </c>
      <c r="F11" t="inlineStr">
        <is>
          <t>일부 방식은 손실기업에서 제외</t>
        </is>
      </c>
    </row>
    <row r="12">
      <c r="A12" t="inlineStr">
        <is>
          <t>주가역산 영구성장률</t>
        </is>
      </c>
      <c r="B12" t="inlineStr">
        <is>
          <t>8.0%</t>
        </is>
      </c>
      <c r="C12" t="inlineStr">
        <is>
          <t>현재 주가가 요구하는 장기 성장률</t>
        </is>
      </c>
      <c r="D12" t="inlineStr">
        <is>
          <t>현재가 기준 역산</t>
        </is>
      </c>
      <c r="E12" t="inlineStr">
        <is>
          <t>역산 DCF</t>
        </is>
      </c>
      <c r="F12" t="inlineStr">
        <is>
          <t>음수/과도한 값은 보수 해석</t>
        </is>
      </c>
    </row>
    <row r="13">
      <c r="A13" t="inlineStr">
        <is>
          <t>오너이익 주당가치</t>
        </is>
      </c>
      <c r="B13" t="inlineStr">
        <is>
          <t>15,420원</t>
        </is>
      </c>
      <c r="C13" t="inlineStr">
        <is>
          <t>현금창출력 기반 교차검증</t>
        </is>
      </c>
      <c r="D13" t="inlineStr">
        <is>
          <t>CFO - CAPEX 또는 FCF</t>
        </is>
      </c>
      <c r="E13" t="inlineStr">
        <is>
          <t>오너이익 카드</t>
        </is>
      </c>
      <c r="F13" t="inlineStr">
        <is>
          <t>CAPEX 변동성 반영 필요</t>
        </is>
      </c>
    </row>
    <row r="14">
      <c r="A14" t="inlineStr">
        <is>
          <t>시장내재 P/S</t>
        </is>
      </c>
      <c r="B14" t="inlineStr">
        <is>
          <t>48.10배</t>
        </is>
      </c>
      <c r="C14" t="inlineStr">
        <is>
          <t>현재 시장이 부여한 매출 배수</t>
        </is>
      </c>
      <c r="D14" t="inlineStr">
        <is>
          <t>시가총액/매출</t>
        </is>
      </c>
      <c r="E14" t="inlineStr">
        <is>
          <t>시장내재 배수</t>
        </is>
      </c>
      <c r="F14" t="inlineStr">
        <is>
          <t>순환 업종에서는 변동 가능</t>
        </is>
      </c>
    </row>
    <row r="15">
      <c r="A15" t="inlineStr">
        <is>
          <t>208개 비교군</t>
        </is>
      </c>
      <c r="B15" t="inlineStr">
        <is>
          <t>208개 기준</t>
        </is>
      </c>
      <c r="C15" t="inlineStr">
        <is>
          <t>섹터 내부 상대 위치</t>
        </is>
      </c>
      <c r="D15" t="inlineStr">
        <is>
          <t>Tech 기준 비교군 파일 활용</t>
        </is>
      </c>
      <c r="E15" t="inlineStr">
        <is>
          <t>분포/랭킹</t>
        </is>
      </c>
      <c r="F15" t="inlineStr">
        <is>
          <t>데이터 원천 업데이트 필요</t>
        </is>
      </c>
    </row>
    <row r="16">
      <c r="A16" t="inlineStr">
        <is>
          <t>검증 결과</t>
        </is>
      </c>
      <c r="B16" t="inlineStr">
        <is>
          <t>통과</t>
        </is>
      </c>
      <c r="C16" t="inlineStr">
        <is>
          <t>모델 완성도</t>
        </is>
      </c>
      <c r="D16" t="inlineStr">
        <is>
          <t>검증 JSON</t>
        </is>
      </c>
      <c r="E16" t="inlineStr">
        <is>
          <t>검증 배지</t>
        </is>
      </c>
      <c r="F16" t="inlineStr">
        <is>
          <t>경고 발생 시 점검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한미반도체 데이터 보강 내역</t>
        </is>
      </c>
      <c r="B1" t="inlineStr"/>
      <c r="C1" t="inlineStr"/>
      <c r="D1" t="inlineStr"/>
      <c r="E1" t="inlineStr"/>
      <c r="F1" t="inlineStr"/>
    </row>
    <row r="2">
      <c r="A2" t="inlineStr">
        <is>
          <t>원칙</t>
        </is>
      </c>
      <c r="B2" t="inlineStr">
        <is>
          <t>공란을 반복 문구로 채우지 않고, DART·주가·발행주식 수·네이버금융·208개 기준 비교군 중 확인 가능한 원천 또는 명시적 대체 산식만 표시합니다.</t>
        </is>
      </c>
      <c r="C2" t="inlineStr"/>
      <c r="D2" t="inlineStr"/>
      <c r="E2" t="inlineStr"/>
      <c r="F2" t="inlineStr"/>
    </row>
    <row r="3">
      <c r="A3" t="inlineStr">
        <is>
          <t>항목</t>
        </is>
      </c>
      <c r="B3" t="inlineStr">
        <is>
          <t>보강 방식</t>
        </is>
      </c>
      <c r="C3" t="inlineStr">
        <is>
          <t>현재 값</t>
        </is>
      </c>
      <c r="D3" t="inlineStr">
        <is>
          <t>사용 원천</t>
        </is>
      </c>
      <c r="E3" t="inlineStr">
        <is>
          <t>계산/확인 방식</t>
        </is>
      </c>
      <c r="F3" t="inlineStr">
        <is>
          <t>비고</t>
        </is>
      </c>
    </row>
    <row r="4">
      <c r="A4" t="inlineStr">
        <is>
          <t>PER</t>
        </is>
      </c>
      <c r="B4" t="inlineStr">
        <is>
          <t>네이버금융 값 우선, 없으면 DART 순이익과 시가총액으로 자동 산출</t>
        </is>
      </c>
      <c r="C4" t="inlineStr">
        <is>
          <t>129.65배</t>
        </is>
      </c>
      <c r="D4" t="inlineStr">
        <is>
          <t>네이버금융 / DART / 주가</t>
        </is>
      </c>
      <c r="E4" t="inlineStr">
        <is>
          <t>시가총액 ÷ 순이익</t>
        </is>
      </c>
      <c r="F4" t="inlineStr">
        <is>
          <t>순손실이면 계산 제외</t>
        </is>
      </c>
    </row>
    <row r="5">
      <c r="A5" t="inlineStr">
        <is>
          <t>PBR</t>
        </is>
      </c>
      <c r="B5" t="inlineStr">
        <is>
          <t>네이버금융 값 우선, 없으면 DART 자본총계와 시가총액으로 자동 산출</t>
        </is>
      </c>
      <c r="C5" t="inlineStr">
        <is>
          <t>39.78배</t>
        </is>
      </c>
      <c r="D5" t="inlineStr">
        <is>
          <t>네이버금융 / DART / 주가</t>
        </is>
      </c>
      <c r="E5" t="inlineStr">
        <is>
          <t>시가총액 ÷ 자본총계</t>
        </is>
      </c>
      <c r="F5" t="inlineStr">
        <is>
          <t>자본잠식이면 보수 해석</t>
        </is>
      </c>
    </row>
    <row r="6">
      <c r="A6" t="inlineStr">
        <is>
          <t>PSR</t>
        </is>
      </c>
      <c r="B6" t="inlineStr">
        <is>
          <t>주가와 매출액으로 자동 산출</t>
        </is>
      </c>
      <c r="C6" t="inlineStr">
        <is>
          <t>48.18배</t>
        </is>
      </c>
      <c r="D6" t="inlineStr">
        <is>
          <t>DART 매출액 / 주가 / 발행주식 수</t>
        </is>
      </c>
      <c r="E6" t="inlineStr">
        <is>
          <t>시가총액 ÷ 매출액</t>
        </is>
      </c>
      <c r="F6" t="inlineStr">
        <is>
          <t>적자기업 비교에 유용</t>
        </is>
      </c>
    </row>
    <row r="7">
      <c r="A7" t="inlineStr">
        <is>
          <t>P/FCF</t>
        </is>
      </c>
      <c r="B7" t="inlineStr">
        <is>
          <t>FCF가 양수이면 자동 산출</t>
        </is>
      </c>
      <c r="C7" t="inlineStr">
        <is>
          <t>132.38배</t>
        </is>
      </c>
      <c r="D7" t="inlineStr">
        <is>
          <t>DART 영업현금흐름·CAPEX / 주가</t>
        </is>
      </c>
      <c r="E7" t="inlineStr">
        <is>
          <t>시가총액 ÷ FCF</t>
        </is>
      </c>
      <c r="F7" t="inlineStr">
        <is>
          <t>FCF 음수이면 계산 제외</t>
        </is>
      </c>
    </row>
    <row r="8">
      <c r="A8" t="inlineStr">
        <is>
          <t>EV/Sales</t>
        </is>
      </c>
      <c r="B8" t="inlineStr">
        <is>
          <t>기업가치와 매출액으로 자동 산출</t>
        </is>
      </c>
      <c r="C8" t="inlineStr">
        <is>
          <t>47.83배</t>
        </is>
      </c>
      <c r="D8" t="inlineStr">
        <is>
          <t>DART 현금·부채 / 주가</t>
        </is>
      </c>
      <c r="E8" t="inlineStr">
        <is>
          <t>EV ÷ 매출액</t>
        </is>
      </c>
      <c r="F8" t="inlineStr">
        <is>
          <t>현금/부채 원천계정 확인</t>
        </is>
      </c>
    </row>
    <row r="9">
      <c r="A9" t="inlineStr">
        <is>
          <t>EV/EBIT</t>
        </is>
      </c>
      <c r="B9" t="inlineStr">
        <is>
          <t>영업이익이 양수이면 자동 산출</t>
        </is>
      </c>
      <c r="C9" t="inlineStr">
        <is>
          <t>109.72배</t>
        </is>
      </c>
      <c r="D9" t="inlineStr">
        <is>
          <t>DART 영업이익 / 주가</t>
        </is>
      </c>
      <c r="E9" t="inlineStr">
        <is>
          <t>EV ÷ 영업이익</t>
        </is>
      </c>
      <c r="F9" t="inlineStr">
        <is>
          <t>적자이면 계산 제외</t>
        </is>
      </c>
    </row>
    <row r="10">
      <c r="A10" t="inlineStr">
        <is>
          <t>발행주식 수</t>
        </is>
      </c>
      <c r="B10" t="inlineStr">
        <is>
          <t>DART 주식총수 현황에서 보강</t>
        </is>
      </c>
      <c r="C10" t="inlineStr">
        <is>
          <t>95,312,200주</t>
        </is>
      </c>
      <c r="D10" t="inlineStr">
        <is>
          <t>OpenDART stockTotqySttus</t>
        </is>
      </c>
      <c r="E10" t="inlineStr">
        <is>
          <t>최신 보고서 기준</t>
        </is>
      </c>
      <c r="F10" t="inlineStr">
        <is>
          <t>자기주식/증자 반영 필요</t>
        </is>
      </c>
    </row>
    <row r="11">
      <c r="A11" t="inlineStr">
        <is>
          <t>시가총액</t>
        </is>
      </c>
      <c r="B11" t="inlineStr">
        <is>
          <t>현재가와 발행주식 수로 자동 산출</t>
        </is>
      </c>
      <c r="C11" t="inlineStr">
        <is>
          <t>277,358.5억원</t>
        </is>
      </c>
      <c r="D11" t="inlineStr">
        <is>
          <t>주가 provider / DART 발행주식 수</t>
        </is>
      </c>
      <c r="E11" t="inlineStr">
        <is>
          <t>현재가 × 발행주식 수</t>
        </is>
      </c>
      <c r="F11" t="inlineStr">
        <is>
          <t>주가 기준일 확인</t>
        </is>
      </c>
    </row>
    <row r="12">
      <c r="A12" t="inlineStr">
        <is>
          <t>유동성</t>
        </is>
      </c>
      <c r="B12" t="inlineStr">
        <is>
          <t>거래대금·거래회전율로 보강</t>
        </is>
      </c>
      <c r="C12" t="inlineStr">
        <is>
          <t>5,139.3억원</t>
        </is>
      </c>
      <c r="D12" t="inlineStr">
        <is>
          <t>주가 데이터</t>
        </is>
      </c>
      <c r="E12" t="inlineStr">
        <is>
          <t>20일 평균 거래대금</t>
        </is>
      </c>
      <c r="F12" t="inlineStr">
        <is>
          <t>대시보드 필터 활용</t>
        </is>
      </c>
    </row>
    <row r="13">
      <c r="A13" t="inlineStr">
        <is>
          <t>208개 기준 비교군</t>
        </is>
      </c>
      <c r="B13" t="inlineStr">
        <is>
          <t>Tech 기준 비교군 파일을 Valuation 비교군으로 재활용</t>
        </is>
      </c>
      <c r="C13" t="inlineStr">
        <is>
          <t>208</t>
        </is>
      </c>
      <c r="D13" t="inlineStr">
        <is>
          <t>valuation_기준_비교군_208.csv</t>
        </is>
      </c>
      <c r="E13" t="inlineStr">
        <is>
          <t>동일 섹터 상대 위치</t>
        </is>
      </c>
      <c r="F13" t="inlineStr">
        <is>
          <t>상대가치 확장용</t>
        </is>
      </c>
    </row>
    <row r="14">
      <c r="A14" t="inlineStr">
        <is>
          <t>후속 보강 계획</t>
        </is>
      </c>
      <c r="B14" t="inlineStr">
        <is>
          <t>항목</t>
        </is>
      </c>
      <c r="C14" t="inlineStr">
        <is>
          <t>현재 처리</t>
        </is>
      </c>
      <c r="D14" t="inlineStr">
        <is>
          <t>권장 원천</t>
        </is>
      </c>
      <c r="E14" t="inlineStr">
        <is>
          <t>목적</t>
        </is>
      </c>
      <c r="F14" t="inlineStr">
        <is>
          <t>비고</t>
        </is>
      </c>
    </row>
    <row r="15">
      <c r="A15" t="inlineStr">
        <is>
          <t>후속 보강 계획</t>
        </is>
      </c>
      <c r="B15" t="inlineStr">
        <is>
          <t>항목</t>
        </is>
      </c>
      <c r="C15" t="inlineStr">
        <is>
          <t>보조 산출</t>
        </is>
      </c>
      <c r="D15" t="inlineStr">
        <is>
          <t>DART/주가/공시</t>
        </is>
      </c>
      <c r="E15" t="inlineStr">
        <is>
          <t>가치평가 정확도 개선</t>
        </is>
      </c>
      <c r="F15" t="inlineStr">
        <is>
          <t>대체 산식 유지</t>
        </is>
      </c>
    </row>
    <row r="16">
      <c r="A16" t="inlineStr">
        <is>
          <t>후속 보강 계획</t>
        </is>
      </c>
      <c r="B16" t="inlineStr">
        <is>
          <t>항목</t>
        </is>
      </c>
      <c r="C16" t="inlineStr">
        <is>
          <t>보조 산출</t>
        </is>
      </c>
      <c r="D16" t="inlineStr">
        <is>
          <t>DART/주가/공시</t>
        </is>
      </c>
      <c r="E16" t="inlineStr">
        <is>
          <t>가치평가 정확도 개선</t>
        </is>
      </c>
      <c r="F16" t="inlineStr">
        <is>
          <t>대체 산식 유지</t>
        </is>
      </c>
    </row>
    <row r="17">
      <c r="A17" t="inlineStr">
        <is>
          <t>후속 보강 계획</t>
        </is>
      </c>
      <c r="B17" t="inlineStr">
        <is>
          <t>항목</t>
        </is>
      </c>
      <c r="C17" t="inlineStr">
        <is>
          <t>보조 산출</t>
        </is>
      </c>
      <c r="D17" t="inlineStr">
        <is>
          <t>DART/주가/공시</t>
        </is>
      </c>
      <c r="E17" t="inlineStr">
        <is>
          <t>가치평가 정확도 개선</t>
        </is>
      </c>
      <c r="F17" t="inlineStr">
        <is>
          <t>대체 산식 유지</t>
        </is>
      </c>
    </row>
    <row r="18">
      <c r="A18" t="inlineStr">
        <is>
          <t>후속 보강 계획</t>
        </is>
      </c>
      <c r="B18" t="inlineStr">
        <is>
          <t>항목</t>
        </is>
      </c>
      <c r="C18" t="inlineStr">
        <is>
          <t>보조 산출</t>
        </is>
      </c>
      <c r="D18" t="inlineStr">
        <is>
          <t>DART/주가/공시</t>
        </is>
      </c>
      <c r="E18" t="inlineStr">
        <is>
          <t>가치평가 정확도 개선</t>
        </is>
      </c>
      <c r="F18" t="inlineStr">
        <is>
          <t>대체 산식 유지</t>
        </is>
      </c>
    </row>
    <row r="19">
      <c r="A19" t="inlineStr">
        <is>
          <t>후속 보강 계획</t>
        </is>
      </c>
      <c r="B19" t="inlineStr">
        <is>
          <t>항목</t>
        </is>
      </c>
      <c r="C19" t="inlineStr">
        <is>
          <t>보조 산출</t>
        </is>
      </c>
      <c r="D19" t="inlineStr">
        <is>
          <t>DART/주가/공시</t>
        </is>
      </c>
      <c r="E19" t="inlineStr">
        <is>
          <t>가치평가 정확도 개선</t>
        </is>
      </c>
      <c r="F19" t="inlineStr">
        <is>
          <t>대체 산식 유지</t>
        </is>
      </c>
    </row>
    <row r="20">
      <c r="A20" t="inlineStr">
        <is>
          <t>후속 보강 계획</t>
        </is>
      </c>
      <c r="B20" t="inlineStr">
        <is>
          <t>항목</t>
        </is>
      </c>
      <c r="C20" t="inlineStr">
        <is>
          <t>보조 산출</t>
        </is>
      </c>
      <c r="D20" t="inlineStr">
        <is>
          <t>DART/주가/공시</t>
        </is>
      </c>
      <c r="E20" t="inlineStr">
        <is>
          <t>가치평가 정확도 개선</t>
        </is>
      </c>
      <c r="F20" t="inlineStr">
        <is>
          <t>대체 산식 유지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대시보드 연동키</t>
        </is>
      </c>
      <c r="B1" t="inlineStr"/>
      <c r="C1" t="inlineStr"/>
      <c r="D1" t="inlineStr"/>
      <c r="E1" t="inlineStr"/>
    </row>
    <row r="2">
      <c r="A2" t="inlineStr">
        <is>
          <t>설명</t>
        </is>
      </c>
      <c r="B2" t="inlineStr">
        <is>
          <t>React/Streamlit 대시보드에서 바로 사용할 수 있는 주요 JSON 키와 표시명을 정리합니다.</t>
        </is>
      </c>
      <c r="C2" t="inlineStr"/>
      <c r="D2" t="inlineStr"/>
      <c r="E2" t="inlineStr"/>
    </row>
    <row r="3">
      <c r="A3" t="inlineStr">
        <is>
          <t>JSON 키</t>
        </is>
      </c>
      <c r="B3" t="inlineStr">
        <is>
          <t>표시명</t>
        </is>
      </c>
      <c r="C3" t="inlineStr">
        <is>
          <t>값</t>
        </is>
      </c>
      <c r="D3" t="inlineStr">
        <is>
          <t>형식</t>
        </is>
      </c>
      <c r="E3" t="inlineStr">
        <is>
          <t>활용 위치</t>
        </is>
      </c>
    </row>
    <row r="4">
      <c r="A4" t="inlineStr">
        <is>
          <t>wacc</t>
        </is>
      </c>
      <c r="B4" t="inlineStr">
        <is>
          <t>WACC</t>
        </is>
      </c>
      <c r="C4" t="n">
        <v>0.1425531756098363</v>
      </c>
      <c r="D4" t="inlineStr">
        <is>
          <t>percent</t>
        </is>
      </c>
      <c r="E4" t="inlineStr">
        <is>
          <t>핵심 카드</t>
        </is>
      </c>
    </row>
    <row r="5">
      <c r="A5" t="inlineStr">
        <is>
          <t>enterprise_value</t>
        </is>
      </c>
      <c r="B5" t="inlineStr">
        <is>
          <t>DCF 기업가치</t>
        </is>
      </c>
      <c r="C5" t="n">
        <v>1566115506024.177</v>
      </c>
      <c r="D5" t="inlineStr">
        <is>
          <t>krw</t>
        </is>
      </c>
      <c r="E5" t="inlineStr">
        <is>
          <t>핵심 카드</t>
        </is>
      </c>
    </row>
    <row r="6">
      <c r="A6" t="inlineStr">
        <is>
          <t>equity_value</t>
        </is>
      </c>
      <c r="B6" t="inlineStr">
        <is>
          <t>DCF 지분가치</t>
        </is>
      </c>
      <c r="C6" t="n">
        <v>1719346776970.177</v>
      </c>
      <c r="D6" t="inlineStr">
        <is>
          <t>krw</t>
        </is>
      </c>
      <c r="E6" t="inlineStr">
        <is>
          <t>핵심 카드</t>
        </is>
      </c>
    </row>
    <row r="7">
      <c r="A7" t="inlineStr">
        <is>
          <t>latest_close</t>
        </is>
      </c>
      <c r="B7" t="inlineStr">
        <is>
          <t>현재가</t>
        </is>
      </c>
      <c r="C7" t="n">
        <v>291000</v>
      </c>
      <c r="D7" t="inlineStr">
        <is>
          <t>krw_per_share</t>
        </is>
      </c>
      <c r="E7" t="inlineStr">
        <is>
          <t>핵심 카드</t>
        </is>
      </c>
    </row>
    <row r="8">
      <c r="A8" t="inlineStr">
        <is>
          <t>implied_price</t>
        </is>
      </c>
      <c r="B8" t="inlineStr">
        <is>
          <t>DCF 내재주가</t>
        </is>
      </c>
      <c r="C8" t="n">
        <v>18039.10493064033</v>
      </c>
      <c r="D8" t="inlineStr">
        <is>
          <t>krw_per_share</t>
        </is>
      </c>
      <c r="E8" t="inlineStr">
        <is>
          <t>핵심 카드</t>
        </is>
      </c>
    </row>
    <row r="9">
      <c r="A9" t="inlineStr">
        <is>
          <t>upside_downside_pct</t>
        </is>
      </c>
      <c r="B9" t="inlineStr">
        <is>
          <t>현재가 대비 괴리율</t>
        </is>
      </c>
      <c r="C9" t="n">
        <v>-0.9380099486919576</v>
      </c>
      <c r="D9" t="inlineStr">
        <is>
          <t>percent</t>
        </is>
      </c>
      <c r="E9" t="inlineStr">
        <is>
          <t>핵심 카드</t>
        </is>
      </c>
    </row>
    <row r="10">
      <c r="A10" t="inlineStr">
        <is>
          <t>target_psr</t>
        </is>
      </c>
      <c r="B10" t="inlineStr">
        <is>
          <t>P/S</t>
        </is>
      </c>
      <c r="C10" t="n">
        <v>48.17799081027719</v>
      </c>
      <c r="D10" t="inlineStr">
        <is>
          <t>multiple</t>
        </is>
      </c>
      <c r="E10" t="inlineStr">
        <is>
          <t>핵심 카드</t>
        </is>
      </c>
    </row>
    <row r="11">
      <c r="A11" t="inlineStr">
        <is>
          <t>median_psr</t>
        </is>
      </c>
      <c r="B11" t="inlineStr">
        <is>
          <t>비교기업 P/S 중앙값</t>
        </is>
      </c>
      <c r="C11" t="n">
        <v>3.616106474130175</v>
      </c>
      <c r="D11" t="inlineStr">
        <is>
          <t>multiple</t>
        </is>
      </c>
      <c r="E11" t="inlineStr">
        <is>
          <t>핵심 카드</t>
        </is>
      </c>
    </row>
    <row r="12">
      <c r="A12" t="inlineStr">
        <is>
          <t>psr_gap</t>
        </is>
      </c>
      <c r="B12" t="inlineStr">
        <is>
          <t>P/S 중앙값 대비</t>
        </is>
      </c>
      <c r="C12" t="n">
        <v>12.32316710111972</v>
      </c>
      <c r="D12" t="inlineStr">
        <is>
          <t>percent</t>
        </is>
      </c>
      <c r="E12" t="inlineStr">
        <is>
          <t>핵심 카드</t>
        </is>
      </c>
    </row>
    <row r="13">
      <c r="A13" t="inlineStr">
        <is>
          <t>기준_rows</t>
        </is>
      </c>
      <c r="B13" t="inlineStr">
        <is>
          <t>208개 반도체 비교군</t>
        </is>
      </c>
      <c r="C13" t="n">
        <v>208</v>
      </c>
      <c r="D13" t="inlineStr">
        <is>
          <t>count</t>
        </is>
      </c>
      <c r="E13" t="inlineStr">
        <is>
          <t>핵심 카드</t>
        </is>
      </c>
    </row>
    <row r="14">
      <c r="A14" t="inlineStr">
        <is>
          <t>기준_비교기업_group</t>
        </is>
      </c>
      <c r="B14" t="inlineStr">
        <is>
          <t>기준 비교군 그룹</t>
        </is>
      </c>
      <c r="C14" t="inlineStr">
        <is>
          <t>후공정/패키징/테스트</t>
        </is>
      </c>
      <c r="D14" t="inlineStr">
        <is>
          <t>text</t>
        </is>
      </c>
      <c r="E14" t="inlineStr">
        <is>
          <t>핵심 카드</t>
        </is>
      </c>
    </row>
    <row r="15">
      <c r="A15" t="inlineStr">
        <is>
          <t>return_1y</t>
        </is>
      </c>
      <c r="B15" t="inlineStr">
        <is>
          <t>1년 수익률</t>
        </is>
      </c>
      <c r="C15" t="n">
        <v>2.553113553113553</v>
      </c>
      <c r="D15" t="inlineStr">
        <is>
          <t>percent</t>
        </is>
      </c>
      <c r="E15" t="inlineStr">
        <is>
          <t>핵심 카드</t>
        </is>
      </c>
    </row>
    <row r="16">
      <c r="A16" t="inlineStr">
        <is>
          <t>mdd</t>
        </is>
      </c>
      <c r="B16" t="inlineStr">
        <is>
          <t>MDD</t>
        </is>
      </c>
      <c r="C16" t="n">
        <v>-0.6814814814814815</v>
      </c>
      <c r="D16" t="inlineStr">
        <is>
          <t>percent</t>
        </is>
      </c>
      <c r="E16" t="inlineStr">
        <is>
          <t>핵심 카드</t>
        </is>
      </c>
    </row>
    <row r="17">
      <c r="A17" t="inlineStr">
        <is>
          <t>volatility</t>
        </is>
      </c>
      <c r="B17" t="inlineStr">
        <is>
          <t>연환산 변동성</t>
        </is>
      </c>
      <c r="C17" t="n">
        <v>0.662250533231738</v>
      </c>
      <c r="D17" t="inlineStr">
        <is>
          <t>percent</t>
        </is>
      </c>
      <c r="E17" t="inlineStr">
        <is>
          <t>핵심 카드</t>
        </is>
      </c>
    </row>
    <row r="18">
      <c r="A18" t="inlineStr">
        <is>
          <t>market_cap</t>
        </is>
      </c>
      <c r="B18" t="inlineStr">
        <is>
          <t>시가총액</t>
        </is>
      </c>
      <c r="C18" t="n">
        <v>27735850200000</v>
      </c>
      <c r="D18" t="inlineStr">
        <is>
          <t>krw</t>
        </is>
      </c>
      <c r="E18" t="inlineStr">
        <is>
          <t>핵심 카드</t>
        </is>
      </c>
    </row>
    <row r="19">
      <c r="A19" t="inlineStr">
        <is>
          <t>shares_outstanding</t>
        </is>
      </c>
      <c r="B19" t="inlineStr">
        <is>
          <t>발행주식 수</t>
        </is>
      </c>
      <c r="C19" t="n">
        <v>95312200</v>
      </c>
      <c r="D19" t="inlineStr">
        <is>
          <t>shares</t>
        </is>
      </c>
      <c r="E19" t="inlineStr">
        <is>
          <t>핵심 카드</t>
        </is>
      </c>
    </row>
    <row r="20">
      <c r="A20" t="inlineStr">
        <is>
          <t>avg_trading_value_20d</t>
        </is>
      </c>
      <c r="B20" t="inlineStr">
        <is>
          <t>20일 평균 거래대금</t>
        </is>
      </c>
      <c r="C20" t="n">
        <v>513934339150</v>
      </c>
      <c r="D20" t="inlineStr">
        <is>
          <t>krw</t>
        </is>
      </c>
      <c r="E20" t="inlineStr">
        <is>
          <t>핵심 카드</t>
        </is>
      </c>
    </row>
    <row r="21">
      <c r="A21" t="inlineStr">
        <is>
          <t>turnover_latest</t>
        </is>
      </c>
      <c r="B21" t="inlineStr">
        <is>
          <t>최근 거래회전율</t>
        </is>
      </c>
      <c r="C21" t="n">
        <v>0.004748772979744461</v>
      </c>
      <c r="D21" t="inlineStr">
        <is>
          <t>percent</t>
        </is>
      </c>
      <c r="E21" t="inlineStr">
        <is>
          <t>핵심 카드</t>
        </is>
      </c>
    </row>
    <row r="22">
      <c r="A22" t="inlineStr">
        <is>
          <t>ml_composite_score</t>
        </is>
      </c>
      <c r="B22" t="inlineStr">
        <is>
          <t>ML 보조 품질점수</t>
        </is>
      </c>
      <c r="C22" t="n">
        <v>66.44</v>
      </c>
      <c r="D22" t="inlineStr">
        <is>
          <t>score</t>
        </is>
      </c>
      <c r="E22" t="inlineStr">
        <is>
          <t>핵심 카드</t>
        </is>
      </c>
    </row>
    <row r="23">
      <c r="A23" t="inlineStr">
        <is>
          <t>ml_label</t>
        </is>
      </c>
      <c r="B23" t="inlineStr">
        <is>
          <t>ML 보조 라벨</t>
        </is>
      </c>
      <c r="C23" t="inlineStr">
        <is>
          <t>가치평가 보조근거 중립</t>
        </is>
      </c>
      <c r="D23" t="inlineStr">
        <is>
          <t>text</t>
        </is>
      </c>
      <c r="E23" t="inlineStr">
        <is>
          <t>핵심 카드</t>
        </is>
      </c>
    </row>
    <row r="24">
      <c r="A24" t="inlineStr">
        <is>
          <t>valuation_점수판</t>
        </is>
      </c>
      <c r="B24" t="inlineStr">
        <is>
          <t>보조 가치평가 점수</t>
        </is>
      </c>
      <c r="C24" t="n">
        <v>36.88</v>
      </c>
      <c r="D24" t="inlineStr">
        <is>
          <t>score</t>
        </is>
      </c>
      <c r="E24" t="inlineStr">
        <is>
          <t>핵심 카드</t>
        </is>
      </c>
    </row>
    <row r="25">
      <c r="A25" t="inlineStr">
        <is>
          <t>valuation_점수판_label</t>
        </is>
      </c>
      <c r="B25" t="inlineStr">
        <is>
          <t>보조 가치평가 라벨</t>
        </is>
      </c>
      <c r="C25" t="inlineStr">
        <is>
          <t>밸류에이션 부담</t>
        </is>
      </c>
      <c r="D25" t="inlineStr">
        <is>
          <t>text</t>
        </is>
      </c>
      <c r="E25" t="inlineStr">
        <is>
          <t>핵심 카드</t>
        </is>
      </c>
    </row>
    <row r="26">
      <c r="A26" t="inlineStr">
        <is>
          <t>advanced_valuation_score</t>
        </is>
      </c>
      <c r="B26" t="inlineStr">
        <is>
          <t>종합 가치평가 점수</t>
        </is>
      </c>
      <c r="C26" t="n">
        <v>38</v>
      </c>
      <c r="D26" t="inlineStr">
        <is>
          <t>score</t>
        </is>
      </c>
      <c r="E26" t="inlineStr">
        <is>
          <t>핵심 카드</t>
        </is>
      </c>
    </row>
    <row r="27">
      <c r="A27" t="inlineStr">
        <is>
          <t>valuation_range_base_price</t>
        </is>
      </c>
      <c r="B27" t="inlineStr">
        <is>
          <t>가치범위 중앙값</t>
        </is>
      </c>
      <c r="C27" t="n">
        <v>26382.71724757676</v>
      </c>
      <c r="D27" t="inlineStr">
        <is>
          <t>krw_per_share</t>
        </is>
      </c>
      <c r="E27" t="inlineStr">
        <is>
          <t>핵심 카드</t>
        </is>
      </c>
    </row>
    <row r="28">
      <c r="A28" t="inlineStr">
        <is>
          <t>valuation_range_margin</t>
        </is>
      </c>
      <c r="B28" t="inlineStr">
        <is>
          <t>가치범위 안전마진</t>
        </is>
      </c>
      <c r="C28" t="n">
        <v>-0.909337741417262</v>
      </c>
      <c r="D28" t="inlineStr">
        <is>
          <t>percent</t>
        </is>
      </c>
      <c r="E28" t="inlineStr">
        <is>
          <t>핵심 카드</t>
        </is>
      </c>
    </row>
    <row r="29">
      <c r="A29" t="inlineStr">
        <is>
          <t>reverse_dcf_growth</t>
        </is>
      </c>
      <c r="B29" t="inlineStr">
        <is>
          <t>역산 영구성장률</t>
        </is>
      </c>
      <c r="C29" t="n">
        <v>0.08</v>
      </c>
      <c r="D29" t="inlineStr">
        <is>
          <t>percent</t>
        </is>
      </c>
      <c r="E29" t="inlineStr">
        <is>
          <t>핵심 카드</t>
        </is>
      </c>
    </row>
    <row r="30">
      <c r="A30" t="inlineStr">
        <is>
          <t>owner_earnings_price</t>
        </is>
      </c>
      <c r="B30" t="inlineStr">
        <is>
          <t>오너 이익 주당가치</t>
        </is>
      </c>
      <c r="C30" t="n">
        <v>15420.03550792338</v>
      </c>
      <c r="D30" t="inlineStr">
        <is>
          <t>krw_per_share</t>
        </is>
      </c>
      <c r="E30" t="inlineStr">
        <is>
          <t>핵심 카드</t>
        </is>
      </c>
    </row>
    <row r="31">
      <c r="A31" t="inlineStr">
        <is>
          <t>market_psr</t>
        </is>
      </c>
      <c r="B31" t="inlineStr">
        <is>
          <t>시장내재 P/S</t>
        </is>
      </c>
      <c r="C31" t="n">
        <v>48.09535274713777</v>
      </c>
      <c r="D31" t="inlineStr">
        <is>
          <t>multiple</t>
        </is>
      </c>
      <c r="E31" t="inlineStr">
        <is>
          <t>핵심 카드</t>
        </is>
      </c>
    </row>
    <row r="32">
      <c r="A32" t="inlineStr">
        <is>
          <t>market_pbr</t>
        </is>
      </c>
      <c r="B32" t="inlineStr">
        <is>
          <t>시장내재 P/B</t>
        </is>
      </c>
      <c r="C32" t="n">
        <v>40.17781330607004</v>
      </c>
      <c r="D32" t="inlineStr">
        <is>
          <t>multiple</t>
        </is>
      </c>
      <c r="E32" t="inlineStr">
        <is>
          <t>핵심 카드</t>
        </is>
      </c>
    </row>
    <row r="33">
      <c r="A33" t="inlineStr">
        <is>
          <t>market_fcf_yield</t>
        </is>
      </c>
      <c r="B33" t="inlineStr">
        <is>
          <t>시장내재 FCF 수익률</t>
        </is>
      </c>
      <c r="C33" t="n">
        <v>0.007553866081343344</v>
      </c>
      <c r="D33" t="inlineStr">
        <is>
          <t>percent</t>
        </is>
      </c>
      <c r="E33" t="inlineStr">
        <is>
          <t>핵심 카드</t>
        </is>
      </c>
    </row>
    <row r="34">
      <c r="A34" t="inlineStr">
        <is>
          <t>검증_status</t>
        </is>
      </c>
      <c r="B34" t="inlineStr">
        <is>
          <t>검증 상태</t>
        </is>
      </c>
      <c r="C34" t="inlineStr">
        <is>
          <t>PASS</t>
        </is>
      </c>
      <c r="D34" t="inlineStr">
        <is>
          <t>text</t>
        </is>
      </c>
      <c r="E34" t="inlineStr">
        <is>
          <t>핵심 카드</t>
        </is>
      </c>
    </row>
    <row r="35">
      <c r="A35" t="inlineStr">
        <is>
          <t>price_history</t>
        </is>
      </c>
      <c r="B35" t="inlineStr">
        <is>
          <t>주가 차트</t>
        </is>
      </c>
      <c r="C35" t="inlineStr">
        <is>
          <t>최근 250거래일</t>
        </is>
      </c>
      <c r="D35" t="inlineStr">
        <is>
          <t>list</t>
        </is>
      </c>
      <c r="E35" t="inlineStr">
        <is>
          <t>라인차트</t>
        </is>
      </c>
    </row>
    <row r="36">
      <c r="A36" t="inlineStr">
        <is>
          <t>historical_ficials</t>
        </is>
      </c>
      <c r="B36" t="inlineStr">
        <is>
          <t>재무 추이</t>
        </is>
      </c>
      <c r="C36" t="inlineStr">
        <is>
          <t>최근 5개년</t>
        </is>
      </c>
      <c r="D36" t="inlineStr">
        <is>
          <t>list</t>
        </is>
      </c>
      <c r="E36" t="inlineStr">
        <is>
          <t>막대/라인 혼합</t>
        </is>
      </c>
    </row>
    <row r="37">
      <c r="A37" t="inlineStr">
        <is>
          <t>비교기업_multiples</t>
        </is>
      </c>
      <c r="B37" t="inlineStr">
        <is>
          <t>비교기업 배수</t>
        </is>
      </c>
      <c r="C37" t="inlineStr">
        <is>
          <t>5개 기업 + 확장 비교군</t>
        </is>
      </c>
      <c r="D37" t="inlineStr">
        <is>
          <t>list</t>
        </is>
      </c>
      <c r="E37" t="inlineStr">
        <is>
          <t>상대가치 표</t>
        </is>
      </c>
    </row>
    <row r="38">
      <c r="A38" t="inlineStr">
        <is>
          <t>기준_비교군_focus</t>
        </is>
      </c>
      <c r="B38" t="inlineStr">
        <is>
          <t>208개 비교군 상대위치</t>
        </is>
      </c>
      <c r="C38" t="inlineStr">
        <is>
          <t>선택기업/동일 세부군/전체 평균</t>
        </is>
      </c>
      <c r="D38" t="inlineStr">
        <is>
          <t>list</t>
        </is>
      </c>
      <c r="E38" t="inlineStr">
        <is>
          <t>시장위치 맵</t>
        </is>
      </c>
    </row>
    <row r="39">
      <c r="A39" t="inlineStr">
        <is>
          <t>advanced_valuation</t>
        </is>
      </c>
      <c r="B39" t="inlineStr">
        <is>
          <t>종합 가치평가</t>
        </is>
      </c>
      <c r="C39" t="inlineStr">
        <is>
          <t>가치범위·역산 DCF·오너이익</t>
        </is>
      </c>
      <c r="D39" t="inlineStr">
        <is>
          <t>object</t>
        </is>
      </c>
      <c r="E39" t="inlineStr">
        <is>
          <t>상세 패널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6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2" customWidth="1" min="4" max="4"/>
    <col width="18" customWidth="1" min="5" max="5"/>
    <col width="14" customWidth="1" min="6" max="6"/>
    <col width="14" customWidth="1" min="7" max="7"/>
    <col width="15" customWidth="1" min="8" max="8"/>
    <col width="13" customWidth="1" min="9" max="9"/>
    <col width="10" customWidth="1" min="10" max="10"/>
    <col width="10" customWidth="1" min="11" max="11"/>
    <col width="10" customWidth="1" min="12" max="12"/>
    <col width="13" customWidth="1" min="13" max="13"/>
    <col width="18" customWidth="1" min="14" max="14"/>
  </cols>
  <sheetData>
    <row r="1" ht="34" customHeight="1">
      <c r="A1" s="44" t="inlineStr">
        <is>
          <t>한미반도체 반도체 시장 내 상대 위치 맵</t>
        </is>
      </c>
    </row>
    <row r="2" ht="22" customHeight="1">
      <c r="A2" s="2" t="inlineStr">
        <is>
          <t>기업 선택값을 바꾸면 선택기업·동일 세부군·208개 전체 평균 비교와 TAM/SAM/SOM 범위가 함께 갱신됩니다.</t>
        </is>
      </c>
    </row>
    <row r="3" ht="22" customHeight="1"/>
    <row r="4" ht="22" customHeight="1">
      <c r="A4" s="3" t="inlineStr">
        <is>
          <t>기업 선택</t>
        </is>
      </c>
      <c r="B4" s="45" t="inlineStr">
        <is>
          <t>한미반도체</t>
        </is>
      </c>
      <c r="C4" t="inlineStr"/>
      <c r="D4" s="3" t="inlineStr">
        <is>
          <t>동일 세부군</t>
        </is>
      </c>
      <c r="E4" s="45">
        <f>IFERROR(XLOOKUP($B$4,$A$59:$A$266,$E$59:$E$266),"")</f>
        <v/>
      </c>
      <c r="F4" t="inlineStr"/>
      <c r="G4" s="3" t="inlineStr">
        <is>
          <t>선택기업 점수</t>
        </is>
      </c>
      <c r="H4" s="46">
        <f>IFERROR(XLOOKUP($B$4,$A$59:$A$266,$F$59:$F$266),"")</f>
        <v/>
      </c>
      <c r="I4" t="inlineStr"/>
      <c r="J4" s="3" t="inlineStr">
        <is>
          <t>208개 내 백분위</t>
        </is>
      </c>
      <c r="K4" s="47">
        <f>IFERROR(PERCENTRANK.INC($F$59:$F$266,$H$4),"")</f>
        <v/>
      </c>
      <c r="L4" t="inlineStr"/>
      <c r="M4" s="3" t="inlineStr">
        <is>
          <t>라벨</t>
        </is>
      </c>
      <c r="N4" s="45">
        <f>IFERROR(XLOOKUP($B$4,$A$59:$A$266,$H$59:$H$266),"")</f>
        <v/>
      </c>
    </row>
    <row r="5" ht="22" customHeight="1"/>
    <row r="6" ht="22" customHeight="1"/>
    <row r="7" ht="22" customHeight="1"/>
    <row r="8" ht="22" customHeight="1">
      <c r="A8" s="5" t="inlineStr">
        <is>
          <t>비교 기준</t>
        </is>
      </c>
      <c r="B8" s="5" t="inlineStr">
        <is>
          <t>밸류에이션 점수</t>
        </is>
      </c>
      <c r="C8" s="5" t="inlineStr">
        <is>
          <t>신용위험 점수</t>
        </is>
      </c>
      <c r="D8" s="5" t="inlineStr">
        <is>
          <t>기업 수</t>
        </is>
      </c>
    </row>
    <row r="9" ht="22" customHeight="1">
      <c r="A9" s="48" t="inlineStr">
        <is>
          <t>선택기업</t>
        </is>
      </c>
      <c r="B9" s="48">
        <f>IFERROR(XLOOKUP($B$4,$A$59:$A$266,$F$59:$F$266),"")</f>
        <v/>
      </c>
      <c r="C9" s="48">
        <f>IFERROR(XLOOKUP($B$4,$A$59:$A$266,$G$59:$G$266),"")</f>
        <v/>
      </c>
      <c r="D9" s="48" t="n">
        <v>1</v>
      </c>
    </row>
    <row r="10" ht="22" customHeight="1">
      <c r="A10" s="49" t="inlineStr">
        <is>
          <t>동일 세부군 평균</t>
        </is>
      </c>
      <c r="B10" s="49">
        <f>IFERROR(AVERAGEIF($E$59:$E$266,$E$4,$F$59:$F$266),"")</f>
        <v/>
      </c>
      <c r="C10" s="49">
        <f>IFERROR(AVERAGEIF($E$59:$E$266,$E$4,$G$59:$G$266),"")</f>
        <v/>
      </c>
      <c r="D10" s="49">
        <f>IFERROR(COUNTIF($E$59:$E$266,$E$4),"")</f>
        <v/>
      </c>
    </row>
    <row r="11" ht="22" customHeight="1">
      <c r="A11" s="50" t="inlineStr">
        <is>
          <t>208개 전체 평균</t>
        </is>
      </c>
      <c r="B11" s="50">
        <f>IFERROR(AVERAGE($F$59:$F$266),"")</f>
        <v/>
      </c>
      <c r="C11" s="50">
        <f>IFERROR(AVERAGE($G$59:$G$266),"")</f>
        <v/>
      </c>
      <c r="D11" s="50" t="n">
        <v>208</v>
      </c>
    </row>
    <row r="12" ht="22" customHeight="1"/>
    <row r="13" ht="22" customHeight="1"/>
    <row r="14" ht="22" customHeight="1"/>
    <row r="15" ht="22" customHeight="1"/>
    <row r="16" ht="22" customHeight="1">
      <c r="A16" s="5" t="inlineStr">
        <is>
          <t>범위</t>
        </is>
      </c>
      <c r="B16" s="5" t="inlineStr">
        <is>
          <t>기업 수</t>
        </is>
      </c>
      <c r="C16" s="5" t="inlineStr">
        <is>
          <t>해석</t>
        </is>
      </c>
    </row>
    <row r="17" ht="22" customHeight="1">
      <c r="A17" s="48" t="inlineStr">
        <is>
          <t>TAM: 반도체 전체 비교군</t>
        </is>
      </c>
      <c r="B17" s="48" t="n">
        <v>208</v>
      </c>
      <c r="C17" s="48" t="inlineStr">
        <is>
          <t>현재 가치평가 에이전트가 비교 가능한 전체 반도체 기준군</t>
        </is>
      </c>
    </row>
    <row r="18" ht="22" customHeight="1">
      <c r="A18" s="49" t="inlineStr">
        <is>
          <t>SAM: 선택기업 세부군</t>
        </is>
      </c>
      <c r="B18" s="49">
        <f>IFERROR(COUNTIF($E$59:$E$266,$E$4),"")</f>
        <v/>
      </c>
      <c r="C18" s="49" t="inlineStr">
        <is>
          <t>동일 사업축 안에서 상대가치 비교가 더 직접적인 집단</t>
        </is>
      </c>
    </row>
    <row r="19" ht="22" customHeight="1">
      <c r="A19" s="51" t="inlineStr">
        <is>
          <t>SOM: 선택기업</t>
        </is>
      </c>
      <c r="B19" s="51" t="n">
        <v>1</v>
      </c>
      <c r="C19" s="51" t="inlineStr">
        <is>
          <t>현재 선택한 분석 대상 기업</t>
        </is>
      </c>
    </row>
    <row r="20" ht="22" customHeight="1"/>
    <row r="21" ht="22" customHeight="1"/>
    <row r="22" ht="22" customHeight="1"/>
    <row r="23" ht="22" customHeight="1"/>
    <row r="24" ht="22" customHeight="1">
      <c r="A24" s="15" t="inlineStr">
        <is>
          <t>5개 핵심기업 비교</t>
        </is>
      </c>
      <c r="B24" t="inlineStr"/>
      <c r="C24" t="inlineStr"/>
      <c r="D24" t="inlineStr"/>
      <c r="E24" t="inlineStr"/>
      <c r="F24" t="inlineStr"/>
    </row>
    <row r="25" ht="22" customHeight="1">
      <c r="A25" s="5" t="inlineStr">
        <is>
          <t>기업명</t>
        </is>
      </c>
      <c r="B25" s="5" t="inlineStr">
        <is>
          <t>세부군</t>
        </is>
      </c>
      <c r="C25" s="5" t="inlineStr">
        <is>
          <t>밸류에이션 점수</t>
        </is>
      </c>
      <c r="D25" s="5" t="inlineStr">
        <is>
          <t>신용위험 점수</t>
        </is>
      </c>
      <c r="E25" s="5" t="inlineStr">
        <is>
          <t>라벨</t>
        </is>
      </c>
      <c r="F25" s="5" t="inlineStr">
        <is>
          <t>P/S</t>
        </is>
      </c>
    </row>
    <row r="26" ht="22" customHeight="1">
      <c r="A26" s="15" t="inlineStr">
        <is>
          <t>네패스</t>
        </is>
      </c>
      <c r="B26" s="15" t="inlineStr">
        <is>
          <t>후공정/패키징/테스트</t>
        </is>
      </c>
      <c r="C26" s="15" t="n">
        <v>63.85</v>
      </c>
      <c r="D26" s="15" t="n">
        <v>28.57</v>
      </c>
      <c r="E26" s="15" t="inlineStr">
        <is>
          <t>가치 매력</t>
        </is>
      </c>
      <c r="F26" t="inlineStr"/>
    </row>
    <row r="27" ht="22" customHeight="1">
      <c r="A27" s="15" t="inlineStr">
        <is>
          <t>한솔케미칼</t>
        </is>
      </c>
      <c r="B27" s="15" t="inlineStr">
        <is>
          <t>소재</t>
        </is>
      </c>
      <c r="C27" s="15" t="n">
        <v>63.31</v>
      </c>
      <c r="D27" s="15" t="n">
        <v>0</v>
      </c>
      <c r="E27" s="15" t="inlineStr">
        <is>
          <t>가치 매력</t>
        </is>
      </c>
      <c r="F27" t="inlineStr"/>
    </row>
    <row r="28" ht="22" customHeight="1">
      <c r="A28" s="15" t="inlineStr">
        <is>
          <t>엘티씨</t>
        </is>
      </c>
      <c r="B28" s="15" t="inlineStr">
        <is>
          <t>소재</t>
        </is>
      </c>
      <c r="C28" s="15" t="n">
        <v>58.38</v>
      </c>
      <c r="D28" s="15" t="n">
        <v>0</v>
      </c>
      <c r="E28" s="15" t="inlineStr">
        <is>
          <t>중립</t>
        </is>
      </c>
      <c r="F28" t="inlineStr"/>
    </row>
    <row r="29" ht="22" customHeight="1">
      <c r="A29" s="15" t="inlineStr">
        <is>
          <t>한미반도체</t>
        </is>
      </c>
      <c r="B29" s="15" t="inlineStr">
        <is>
          <t>후공정/패키징/테스트</t>
        </is>
      </c>
      <c r="C29" s="15" t="n">
        <v>47.13</v>
      </c>
      <c r="D29" s="15" t="n">
        <v>0</v>
      </c>
      <c r="E29" s="15" t="inlineStr">
        <is>
          <t>중립</t>
        </is>
      </c>
      <c r="F29" t="inlineStr"/>
    </row>
    <row r="30" ht="22" customHeight="1">
      <c r="A30" s="15" t="inlineStr">
        <is>
          <t>덕산테코피아</t>
        </is>
      </c>
      <c r="B30" s="15" t="inlineStr">
        <is>
          <t>소재</t>
        </is>
      </c>
      <c r="C30" s="15" t="n">
        <v>25.1</v>
      </c>
      <c r="D30" s="15" t="n">
        <v>71.43000000000001</v>
      </c>
      <c r="E30" s="15" t="inlineStr">
        <is>
          <t>고평가 부담</t>
        </is>
      </c>
      <c r="F30" t="inlineStr"/>
    </row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>
      <c r="A57" s="3" t="inlineStr">
        <is>
          <t>선택/차트 원천 데이터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 ht="22" customHeight="1">
      <c r="A58" s="5" t="inlineStr">
        <is>
          <t>기업명</t>
        </is>
      </c>
      <c r="B58" s="5" t="inlineStr">
        <is>
          <t>기업코드</t>
        </is>
      </c>
      <c r="C58" s="5" t="inlineStr">
        <is>
          <t>종목코드</t>
        </is>
      </c>
      <c r="D58" s="5" t="inlineStr">
        <is>
          <t>시장</t>
        </is>
      </c>
      <c r="E58" s="5" t="inlineStr">
        <is>
          <t>세부군</t>
        </is>
      </c>
      <c r="F58" s="5" t="inlineStr">
        <is>
          <t>밸류에이션 점수</t>
        </is>
      </c>
      <c r="G58" s="5" t="inlineStr">
        <is>
          <t>신용위험 점수</t>
        </is>
      </c>
      <c r="H58" s="5" t="inlineStr">
        <is>
          <t>라벨</t>
        </is>
      </c>
      <c r="I58" s="5" t="inlineStr">
        <is>
          <t>신뢰도</t>
        </is>
      </c>
      <c r="J58" s="5" t="inlineStr">
        <is>
          <t>5개 핵심</t>
        </is>
      </c>
      <c r="K58" s="5" t="inlineStr">
        <is>
          <t>분석대상</t>
        </is>
      </c>
      <c r="L58" s="5" t="inlineStr">
        <is>
          <t>P/S</t>
        </is>
      </c>
    </row>
    <row r="59" ht="22" customHeight="1">
      <c r="A59" s="15" t="inlineStr">
        <is>
          <t>엔투텍</t>
        </is>
      </c>
      <c r="B59" t="inlineStr"/>
      <c r="C59" s="15" t="inlineStr">
        <is>
          <t>227950</t>
        </is>
      </c>
      <c r="D59" s="15" t="inlineStr">
        <is>
          <t>KOSDAQ</t>
        </is>
      </c>
      <c r="E59" s="15" t="inlineStr">
        <is>
          <t>장비</t>
        </is>
      </c>
      <c r="F59" s="15" t="n">
        <v>81.29000000000001</v>
      </c>
      <c r="G59" s="15" t="n">
        <v>21.43</v>
      </c>
      <c r="H59" s="15" t="inlineStr">
        <is>
          <t>가치 매력</t>
        </is>
      </c>
      <c r="I59" s="15" t="inlineStr">
        <is>
          <t>0.8347222629406851</t>
        </is>
      </c>
      <c r="J59" t="inlineStr"/>
      <c r="K59" t="inlineStr"/>
      <c r="L59" t="inlineStr"/>
    </row>
    <row r="60" ht="22" customHeight="1">
      <c r="A60" s="15" t="inlineStr">
        <is>
          <t>에스에이엠티</t>
        </is>
      </c>
      <c r="B60" t="inlineStr"/>
      <c r="C60" s="15" t="inlineStr">
        <is>
          <t>031330</t>
        </is>
      </c>
      <c r="D60" s="15" t="inlineStr">
        <is>
          <t>KOSDAQ</t>
        </is>
      </c>
      <c r="E60" s="15" t="inlineStr">
        <is>
          <t>팹리스/설계</t>
        </is>
      </c>
      <c r="F60" s="15" t="n">
        <v>78.38</v>
      </c>
      <c r="G60" s="15" t="n">
        <v>50</v>
      </c>
      <c r="H60" s="15" t="inlineStr">
        <is>
          <t>중립</t>
        </is>
      </c>
      <c r="I60" s="15" t="inlineStr">
        <is>
          <t>0.8575928985222669</t>
        </is>
      </c>
      <c r="J60" t="inlineStr"/>
      <c r="K60" t="inlineStr"/>
      <c r="L60" t="inlineStr"/>
    </row>
    <row r="61" ht="22" customHeight="1">
      <c r="A61" s="15" t="inlineStr">
        <is>
          <t>성우테크론</t>
        </is>
      </c>
      <c r="B61" t="inlineStr"/>
      <c r="C61" s="15" t="inlineStr">
        <is>
          <t>045300</t>
        </is>
      </c>
      <c r="D61" s="15" t="inlineStr">
        <is>
          <t>KOSDAQ</t>
        </is>
      </c>
      <c r="E61" s="15" t="inlineStr">
        <is>
          <t>후공정/패키징/테스트</t>
        </is>
      </c>
      <c r="F61" s="15" t="n">
        <v>77.64</v>
      </c>
      <c r="G61" s="15" t="n">
        <v>7.14</v>
      </c>
      <c r="H61" s="15" t="inlineStr">
        <is>
          <t>가치 매력</t>
        </is>
      </c>
      <c r="I61" s="15" t="inlineStr">
        <is>
          <t>0.9526864248076319</t>
        </is>
      </c>
      <c r="J61" t="inlineStr"/>
      <c r="K61" t="inlineStr"/>
      <c r="L61" t="inlineStr"/>
    </row>
    <row r="62" ht="22" customHeight="1">
      <c r="A62" s="15" t="inlineStr">
        <is>
          <t>미래산업</t>
        </is>
      </c>
      <c r="B62" t="inlineStr"/>
      <c r="C62" s="15" t="inlineStr">
        <is>
          <t>025560</t>
        </is>
      </c>
      <c r="D62" s="15" t="inlineStr">
        <is>
          <t>KOSPI</t>
        </is>
      </c>
      <c r="E62" s="15" t="inlineStr">
        <is>
          <t>후공정/패키징/테스트</t>
        </is>
      </c>
      <c r="F62" s="15" t="n">
        <v>77.48</v>
      </c>
      <c r="G62" s="15" t="n">
        <v>28.57</v>
      </c>
      <c r="H62" s="15" t="inlineStr">
        <is>
          <t>중립</t>
        </is>
      </c>
      <c r="I62" s="15" t="inlineStr">
        <is>
          <t>0.883291104654336</t>
        </is>
      </c>
      <c r="J62" t="inlineStr"/>
      <c r="K62" t="inlineStr"/>
      <c r="L62" t="inlineStr"/>
    </row>
    <row r="63" ht="22" customHeight="1">
      <c r="A63" s="15" t="inlineStr">
        <is>
          <t>미코</t>
        </is>
      </c>
      <c r="B63" t="inlineStr"/>
      <c r="C63" s="15" t="inlineStr">
        <is>
          <t>059090</t>
        </is>
      </c>
      <c r="D63" s="15" t="inlineStr">
        <is>
          <t>KOSDAQ</t>
        </is>
      </c>
      <c r="E63" s="15" t="inlineStr">
        <is>
          <t>IDM/제조/메모리</t>
        </is>
      </c>
      <c r="F63" s="15" t="n">
        <v>77.33</v>
      </c>
      <c r="G63" s="15" t="n">
        <v>21.43</v>
      </c>
      <c r="H63" s="15" t="inlineStr">
        <is>
          <t>중립</t>
        </is>
      </c>
      <c r="I63" s="15" t="inlineStr">
        <is>
          <t>0.9066669659525092</t>
        </is>
      </c>
      <c r="J63" t="inlineStr"/>
      <c r="K63" t="inlineStr"/>
      <c r="L63" t="inlineStr"/>
    </row>
    <row r="64" ht="22" customHeight="1">
      <c r="A64" s="15" t="inlineStr">
        <is>
          <t>링크제니시스</t>
        </is>
      </c>
      <c r="B64" t="inlineStr"/>
      <c r="C64" s="15" t="inlineStr">
        <is>
          <t>219420</t>
        </is>
      </c>
      <c r="D64" s="15" t="inlineStr">
        <is>
          <t>KOSDAQ</t>
        </is>
      </c>
      <c r="E64" s="15" t="inlineStr">
        <is>
          <t>후공정/패키징/테스트</t>
        </is>
      </c>
      <c r="F64" s="15" t="n">
        <v>75.23</v>
      </c>
      <c r="G64" s="15" t="n">
        <v>7.14</v>
      </c>
      <c r="H64" s="15" t="inlineStr">
        <is>
          <t>가치 매력</t>
        </is>
      </c>
      <c r="I64" s="15" t="inlineStr">
        <is>
          <t>0.8724992666433111</t>
        </is>
      </c>
      <c r="J64" t="inlineStr"/>
      <c r="K64" t="inlineStr"/>
      <c r="L64" t="inlineStr"/>
    </row>
    <row r="65" ht="22" customHeight="1">
      <c r="A65" s="15" t="inlineStr">
        <is>
          <t>엘디티</t>
        </is>
      </c>
      <c r="B65" t="inlineStr"/>
      <c r="C65" s="15" t="inlineStr">
        <is>
          <t>096870</t>
        </is>
      </c>
      <c r="D65" s="15" t="inlineStr">
        <is>
          <t>KOSDAQ</t>
        </is>
      </c>
      <c r="E65" s="15" t="inlineStr">
        <is>
          <t>IDM/제조/메모리</t>
        </is>
      </c>
      <c r="F65" s="15" t="n">
        <v>75.18000000000001</v>
      </c>
      <c r="G65" s="15" t="n">
        <v>7.14</v>
      </c>
      <c r="H65" s="15" t="inlineStr">
        <is>
          <t>가치 매력</t>
        </is>
      </c>
      <c r="I65" s="15" t="inlineStr">
        <is>
          <t>0.8817908899004964</t>
        </is>
      </c>
      <c r="J65" t="inlineStr"/>
      <c r="K65" t="inlineStr"/>
      <c r="L65" t="inlineStr"/>
    </row>
    <row r="66" ht="22" customHeight="1">
      <c r="A66" s="15" t="inlineStr">
        <is>
          <t>유니트론텍</t>
        </is>
      </c>
      <c r="B66" t="inlineStr"/>
      <c r="C66" s="15" t="inlineStr">
        <is>
          <t>142210</t>
        </is>
      </c>
      <c r="D66" s="15" t="inlineStr">
        <is>
          <t>KOSDAQ</t>
        </is>
      </c>
      <c r="E66" s="15" t="inlineStr">
        <is>
          <t>팹리스/설계</t>
        </is>
      </c>
      <c r="F66" s="15" t="n">
        <v>74.79000000000001</v>
      </c>
      <c r="G66" s="15" t="n">
        <v>35.71</v>
      </c>
      <c r="H66" s="15" t="inlineStr">
        <is>
          <t>중립</t>
        </is>
      </c>
      <c r="I66" s="15" t="inlineStr">
        <is>
          <t>0.8593164302034415</t>
        </is>
      </c>
      <c r="J66" t="inlineStr"/>
      <c r="K66" t="inlineStr"/>
      <c r="L66" t="inlineStr"/>
    </row>
    <row r="67" ht="22" customHeight="1">
      <c r="A67" s="15" t="inlineStr">
        <is>
          <t>메카로</t>
        </is>
      </c>
      <c r="B67" t="inlineStr"/>
      <c r="C67" s="15" t="inlineStr">
        <is>
          <t>241770</t>
        </is>
      </c>
      <c r="D67" s="15" t="inlineStr">
        <is>
          <t>KOSDAQ</t>
        </is>
      </c>
      <c r="E67" s="15" t="inlineStr">
        <is>
          <t>IDM/제조/메모리</t>
        </is>
      </c>
      <c r="F67" s="15" t="n">
        <v>74.77</v>
      </c>
      <c r="G67" s="15" t="n">
        <v>0</v>
      </c>
      <c r="H67" s="15" t="inlineStr">
        <is>
          <t>가치 매력</t>
        </is>
      </c>
      <c r="I67" s="15" t="inlineStr">
        <is>
          <t>0.9154158498128573</t>
        </is>
      </c>
      <c r="J67" t="inlineStr"/>
      <c r="K67" t="inlineStr"/>
      <c r="L67" t="inlineStr"/>
    </row>
    <row r="68" ht="22" customHeight="1">
      <c r="A68" s="15" t="inlineStr">
        <is>
          <t>월덱스</t>
        </is>
      </c>
      <c r="B68" t="inlineStr"/>
      <c r="C68" s="15" t="inlineStr">
        <is>
          <t>101160</t>
        </is>
      </c>
      <c r="D68" s="15" t="inlineStr">
        <is>
          <t>KOSDAQ</t>
        </is>
      </c>
      <c r="E68" s="15" t="inlineStr">
        <is>
          <t>소재</t>
        </is>
      </c>
      <c r="F68" s="15" t="n">
        <v>74.59</v>
      </c>
      <c r="G68" s="15" t="n">
        <v>0</v>
      </c>
      <c r="H68" s="15" t="inlineStr">
        <is>
          <t>가치 매력</t>
        </is>
      </c>
      <c r="I68" s="15" t="inlineStr">
        <is>
          <t>0.9476922450763601</t>
        </is>
      </c>
      <c r="J68" t="inlineStr"/>
      <c r="K68" t="inlineStr"/>
      <c r="L68" t="inlineStr"/>
    </row>
    <row r="69" ht="22" customHeight="1">
      <c r="A69" s="15" t="inlineStr">
        <is>
          <t>앤씨앤</t>
        </is>
      </c>
      <c r="B69" t="inlineStr"/>
      <c r="C69" s="15" t="inlineStr">
        <is>
          <t>092600</t>
        </is>
      </c>
      <c r="D69" s="15" t="inlineStr">
        <is>
          <t>KOSDAQ</t>
        </is>
      </c>
      <c r="E69" s="15" t="inlineStr">
        <is>
          <t>팹리스/설계</t>
        </is>
      </c>
      <c r="F69" s="15" t="n">
        <v>74.51000000000001</v>
      </c>
      <c r="G69" s="15" t="n">
        <v>50</v>
      </c>
      <c r="H69" s="15" t="inlineStr">
        <is>
          <t>중립</t>
        </is>
      </c>
      <c r="I69" s="15" t="inlineStr">
        <is>
          <t>0.8450252323777523</t>
        </is>
      </c>
      <c r="J69" t="inlineStr"/>
      <c r="K69" t="inlineStr"/>
      <c r="L69" t="inlineStr"/>
    </row>
    <row r="70" ht="22" customHeight="1">
      <c r="A70" s="15" t="inlineStr">
        <is>
          <t>퓨릿</t>
        </is>
      </c>
      <c r="B70" t="inlineStr"/>
      <c r="C70" s="15" t="inlineStr">
        <is>
          <t>445180</t>
        </is>
      </c>
      <c r="D70" s="15" t="inlineStr">
        <is>
          <t>KOSDAQ</t>
        </is>
      </c>
      <c r="E70" s="15" t="inlineStr">
        <is>
          <t>소재</t>
        </is>
      </c>
      <c r="F70" s="15" t="n">
        <v>74.48999999999999</v>
      </c>
      <c r="G70" s="15" t="n">
        <v>7.14</v>
      </c>
      <c r="H70" s="15" t="inlineStr">
        <is>
          <t>가치 매력</t>
        </is>
      </c>
      <c r="I70" s="15" t="inlineStr">
        <is>
          <t>0.8817607106455689</t>
        </is>
      </c>
      <c r="J70" t="inlineStr"/>
      <c r="K70" t="inlineStr"/>
      <c r="L70" t="inlineStr"/>
    </row>
    <row r="71" ht="22" customHeight="1">
      <c r="A71" s="15" t="inlineStr">
        <is>
          <t>마이크로컨텍솔</t>
        </is>
      </c>
      <c r="B71" t="inlineStr"/>
      <c r="C71" s="15" t="inlineStr">
        <is>
          <t>098120</t>
        </is>
      </c>
      <c r="D71" s="15" t="inlineStr">
        <is>
          <t>KOSDAQ</t>
        </is>
      </c>
      <c r="E71" s="15" t="inlineStr">
        <is>
          <t>팹리스/설계</t>
        </is>
      </c>
      <c r="F71" s="15" t="n">
        <v>73.84</v>
      </c>
      <c r="G71" s="15" t="n">
        <v>14.29</v>
      </c>
      <c r="H71" s="15" t="inlineStr">
        <is>
          <t>가치 매력</t>
        </is>
      </c>
      <c r="I71" s="15" t="inlineStr">
        <is>
          <t>0.8262966149459129</t>
        </is>
      </c>
      <c r="J71" t="inlineStr"/>
      <c r="K71" t="inlineStr"/>
      <c r="L71" t="inlineStr"/>
    </row>
    <row r="72" ht="22" customHeight="1">
      <c r="A72" s="15" t="inlineStr">
        <is>
          <t>프로텍</t>
        </is>
      </c>
      <c r="B72" t="inlineStr"/>
      <c r="C72" s="15" t="inlineStr">
        <is>
          <t>053610</t>
        </is>
      </c>
      <c r="D72" s="15" t="inlineStr">
        <is>
          <t>KOSDAQ</t>
        </is>
      </c>
      <c r="E72" s="15" t="inlineStr">
        <is>
          <t>후공정/패키징/테스트</t>
        </is>
      </c>
      <c r="F72" s="15" t="n">
        <v>73.42</v>
      </c>
      <c r="G72" s="15" t="n">
        <v>7.14</v>
      </c>
      <c r="H72" s="15" t="inlineStr">
        <is>
          <t>중립</t>
        </is>
      </c>
      <c r="I72" s="15" t="inlineStr">
        <is>
          <t>0.8971257561900263</t>
        </is>
      </c>
      <c r="J72" t="inlineStr"/>
      <c r="K72" t="inlineStr"/>
      <c r="L72" t="inlineStr"/>
    </row>
    <row r="73" ht="22" customHeight="1">
      <c r="A73" s="15" t="inlineStr">
        <is>
          <t>아이앤씨</t>
        </is>
      </c>
      <c r="B73" t="inlineStr"/>
      <c r="C73" s="15" t="inlineStr">
        <is>
          <t>052860</t>
        </is>
      </c>
      <c r="D73" s="15" t="inlineStr">
        <is>
          <t>KOSDAQ</t>
        </is>
      </c>
      <c r="E73" s="15" t="inlineStr">
        <is>
          <t>팹리스/설계</t>
        </is>
      </c>
      <c r="F73" s="15" t="n">
        <v>73.25</v>
      </c>
      <c r="G73" s="15" t="n">
        <v>0</v>
      </c>
      <c r="H73" s="15" t="inlineStr">
        <is>
          <t>가치 매력</t>
        </is>
      </c>
      <c r="I73" s="15" t="inlineStr">
        <is>
          <t>0.9267130449922303</t>
        </is>
      </c>
      <c r="J73" t="inlineStr"/>
      <c r="K73" t="inlineStr"/>
      <c r="L73" t="inlineStr"/>
    </row>
    <row r="74" ht="22" customHeight="1">
      <c r="A74" s="15" t="inlineStr">
        <is>
          <t>비아트론</t>
        </is>
      </c>
      <c r="B74" t="inlineStr"/>
      <c r="C74" s="15" t="inlineStr">
        <is>
          <t>141000</t>
        </is>
      </c>
      <c r="D74" s="15" t="inlineStr">
        <is>
          <t>KOSDAQ</t>
        </is>
      </c>
      <c r="E74" s="15" t="inlineStr">
        <is>
          <t>장비</t>
        </is>
      </c>
      <c r="F74" s="15" t="n">
        <v>71.05</v>
      </c>
      <c r="G74" s="15" t="n">
        <v>0</v>
      </c>
      <c r="H74" s="15" t="inlineStr">
        <is>
          <t>가치 매력</t>
        </is>
      </c>
      <c r="I74" s="15" t="inlineStr">
        <is>
          <t>0.934708213344448</t>
        </is>
      </c>
      <c r="J74" t="inlineStr"/>
      <c r="K74" t="inlineStr"/>
      <c r="L74" t="inlineStr"/>
    </row>
    <row r="75" ht="22" customHeight="1">
      <c r="A75" s="15" t="inlineStr">
        <is>
          <t>인터플렉스</t>
        </is>
      </c>
      <c r="B75" t="inlineStr"/>
      <c r="C75" s="15" t="inlineStr">
        <is>
          <t>051370</t>
        </is>
      </c>
      <c r="D75" s="15" t="inlineStr">
        <is>
          <t>KOSDAQ</t>
        </is>
      </c>
      <c r="E75" s="15" t="inlineStr">
        <is>
          <t>부품/기판</t>
        </is>
      </c>
      <c r="F75" s="15" t="n">
        <v>70.90000000000001</v>
      </c>
      <c r="G75" s="15" t="n">
        <v>7.14</v>
      </c>
      <c r="H75" s="15" t="inlineStr">
        <is>
          <t>중립</t>
        </is>
      </c>
      <c r="I75" s="15" t="inlineStr">
        <is>
          <t>0.904555257888918</t>
        </is>
      </c>
      <c r="J75" t="inlineStr"/>
      <c r="K75" t="inlineStr"/>
      <c r="L75" t="inlineStr"/>
    </row>
    <row r="76" ht="22" customHeight="1">
      <c r="A76" s="15" t="inlineStr">
        <is>
          <t>삼성전자</t>
        </is>
      </c>
      <c r="B76" t="inlineStr"/>
      <c r="C76" s="15" t="inlineStr">
        <is>
          <t>005930</t>
        </is>
      </c>
      <c r="D76" s="15" t="inlineStr">
        <is>
          <t>KOSPI</t>
        </is>
      </c>
      <c r="E76" s="15" t="inlineStr">
        <is>
          <t>IDM/제조/메모리</t>
        </is>
      </c>
      <c r="F76" s="15" t="n">
        <v>70.78</v>
      </c>
      <c r="G76" s="15" t="n">
        <v>0</v>
      </c>
      <c r="H76" s="15" t="inlineStr">
        <is>
          <t>가치 매력</t>
        </is>
      </c>
      <c r="I76" s="15" t="inlineStr">
        <is>
          <t>0.9371541027950523</t>
        </is>
      </c>
      <c r="J76" t="inlineStr"/>
      <c r="K76" t="inlineStr"/>
      <c r="L76" t="inlineStr"/>
    </row>
    <row r="77" ht="22" customHeight="1">
      <c r="A77" s="15" t="inlineStr">
        <is>
          <t>케이씨</t>
        </is>
      </c>
      <c r="B77" t="inlineStr"/>
      <c r="C77" s="15" t="inlineStr">
        <is>
          <t>029460</t>
        </is>
      </c>
      <c r="D77" s="15" t="inlineStr">
        <is>
          <t>KOSPI</t>
        </is>
      </c>
      <c r="E77" s="15" t="inlineStr">
        <is>
          <t>장비</t>
        </is>
      </c>
      <c r="F77" s="15" t="n">
        <v>70.65000000000001</v>
      </c>
      <c r="G77" s="15" t="n">
        <v>0</v>
      </c>
      <c r="H77" s="15" t="inlineStr">
        <is>
          <t>가치 매력</t>
        </is>
      </c>
      <c r="I77" s="15" t="inlineStr">
        <is>
          <t>0.9151708177015135</t>
        </is>
      </c>
      <c r="J77" t="inlineStr"/>
      <c r="K77" t="inlineStr"/>
      <c r="L77" t="inlineStr"/>
    </row>
    <row r="78" ht="22" customHeight="1">
      <c r="A78" s="15" t="inlineStr">
        <is>
          <t>이엔에프테크놀로지</t>
        </is>
      </c>
      <c r="B78" t="inlineStr"/>
      <c r="C78" s="15" t="inlineStr">
        <is>
          <t>102710</t>
        </is>
      </c>
      <c r="D78" s="15" t="inlineStr">
        <is>
          <t>KOSDAQ</t>
        </is>
      </c>
      <c r="E78" s="15" t="inlineStr">
        <is>
          <t>소재</t>
        </is>
      </c>
      <c r="F78" s="15" t="n">
        <v>70.62</v>
      </c>
      <c r="G78" s="15" t="n">
        <v>0</v>
      </c>
      <c r="H78" s="15" t="inlineStr">
        <is>
          <t>가치 매력</t>
        </is>
      </c>
      <c r="I78" s="15" t="inlineStr">
        <is>
          <t>0.9371627732042065</t>
        </is>
      </c>
      <c r="J78" t="inlineStr"/>
      <c r="K78" t="inlineStr"/>
      <c r="L78" t="inlineStr"/>
    </row>
    <row r="79" ht="22" customHeight="1">
      <c r="A79" s="15" t="inlineStr">
        <is>
          <t>매커스</t>
        </is>
      </c>
      <c r="B79" t="inlineStr"/>
      <c r="C79" s="15" t="inlineStr">
        <is>
          <t>093520</t>
        </is>
      </c>
      <c r="D79" s="15" t="inlineStr">
        <is>
          <t>KOSDAQ</t>
        </is>
      </c>
      <c r="E79" s="15" t="inlineStr">
        <is>
          <t>팹리스/설계</t>
        </is>
      </c>
      <c r="F79" s="15" t="n">
        <v>70.56999999999999</v>
      </c>
      <c r="G79" s="15" t="n">
        <v>0</v>
      </c>
      <c r="H79" s="15" t="inlineStr">
        <is>
          <t>가치 매력</t>
        </is>
      </c>
      <c r="I79" s="15" t="inlineStr">
        <is>
          <t>0.9375173489226767</t>
        </is>
      </c>
      <c r="J79" t="inlineStr"/>
      <c r="K79" t="inlineStr"/>
      <c r="L79" t="inlineStr"/>
    </row>
    <row r="80" ht="22" customHeight="1">
      <c r="A80" s="15" t="inlineStr">
        <is>
          <t>LX세미콘</t>
        </is>
      </c>
      <c r="B80" t="inlineStr"/>
      <c r="C80" s="15" t="inlineStr">
        <is>
          <t>108320</t>
        </is>
      </c>
      <c r="D80" s="15" t="inlineStr">
        <is>
          <t>KOSPI</t>
        </is>
      </c>
      <c r="E80" s="15" t="inlineStr">
        <is>
          <t>팹리스/설계</t>
        </is>
      </c>
      <c r="F80" s="15" t="n">
        <v>69.54000000000001</v>
      </c>
      <c r="G80" s="15" t="n">
        <v>0</v>
      </c>
      <c r="H80" s="15" t="inlineStr">
        <is>
          <t>가치 매력</t>
        </is>
      </c>
      <c r="I80" s="15" t="inlineStr">
        <is>
          <t>0.951012131492064</t>
        </is>
      </c>
      <c r="J80" t="inlineStr"/>
      <c r="K80" t="inlineStr"/>
      <c r="L80" t="inlineStr"/>
    </row>
    <row r="81" ht="22" customHeight="1">
      <c r="A81" s="15" t="inlineStr">
        <is>
          <t>SK하이닉스</t>
        </is>
      </c>
      <c r="B81" t="inlineStr"/>
      <c r="C81" s="15" t="inlineStr">
        <is>
          <t>000660</t>
        </is>
      </c>
      <c r="D81" s="15" t="inlineStr">
        <is>
          <t>KOSPI</t>
        </is>
      </c>
      <c r="E81" s="15" t="inlineStr">
        <is>
          <t>IDM/제조/메모리</t>
        </is>
      </c>
      <c r="F81" s="15" t="n">
        <v>69.33</v>
      </c>
      <c r="G81" s="15" t="n">
        <v>0</v>
      </c>
      <c r="H81" s="15" t="inlineStr">
        <is>
          <t>가치 매력</t>
        </is>
      </c>
      <c r="I81" s="15" t="inlineStr">
        <is>
          <t>0.8582250965188642</t>
        </is>
      </c>
      <c r="J81" t="inlineStr"/>
      <c r="K81" t="inlineStr"/>
      <c r="L81" t="inlineStr"/>
    </row>
    <row r="82" ht="22" customHeight="1">
      <c r="A82" s="15" t="inlineStr">
        <is>
          <t>어보브반도체</t>
        </is>
      </c>
      <c r="B82" t="inlineStr"/>
      <c r="C82" s="15" t="inlineStr">
        <is>
          <t>102120</t>
        </is>
      </c>
      <c r="D82" s="15" t="inlineStr">
        <is>
          <t>KOSDAQ</t>
        </is>
      </c>
      <c r="E82" s="15" t="inlineStr">
        <is>
          <t>팹리스/설계</t>
        </is>
      </c>
      <c r="F82" s="15" t="n">
        <v>69.33</v>
      </c>
      <c r="G82" s="15" t="n">
        <v>7.14</v>
      </c>
      <c r="H82" s="15" t="inlineStr">
        <is>
          <t>중립</t>
        </is>
      </c>
      <c r="I82" s="15" t="inlineStr">
        <is>
          <t>0.9028406871788379</t>
        </is>
      </c>
      <c r="J82" t="inlineStr"/>
      <c r="K82" t="inlineStr"/>
      <c r="L82" t="inlineStr"/>
    </row>
    <row r="83" ht="22" customHeight="1">
      <c r="A83" s="15" t="inlineStr">
        <is>
          <t>더코디</t>
        </is>
      </c>
      <c r="B83" t="inlineStr"/>
      <c r="C83" s="15" t="inlineStr">
        <is>
          <t>224060</t>
        </is>
      </c>
      <c r="D83" s="15" t="inlineStr">
        <is>
          <t>KOSDAQ</t>
        </is>
      </c>
      <c r="E83" s="15" t="inlineStr">
        <is>
          <t>장비</t>
        </is>
      </c>
      <c r="F83" s="15" t="n">
        <v>69.09</v>
      </c>
      <c r="G83" s="15" t="n">
        <v>85.70999999999999</v>
      </c>
      <c r="H83" s="15" t="inlineStr">
        <is>
          <t>중립</t>
        </is>
      </c>
      <c r="I83" s="15" t="inlineStr">
        <is>
          <t>0.6613330626239345</t>
        </is>
      </c>
      <c r="J83" t="inlineStr"/>
      <c r="K83" t="inlineStr"/>
      <c r="L83" t="inlineStr"/>
    </row>
    <row r="84" ht="22" customHeight="1">
      <c r="A84" s="15" t="inlineStr">
        <is>
          <t>프로이천</t>
        </is>
      </c>
      <c r="B84" t="inlineStr"/>
      <c r="C84" s="15" t="inlineStr">
        <is>
          <t>321260</t>
        </is>
      </c>
      <c r="D84" s="15" t="inlineStr">
        <is>
          <t>KOSDAQ</t>
        </is>
      </c>
      <c r="E84" s="15" t="inlineStr">
        <is>
          <t>후공정/패키징/테스트</t>
        </is>
      </c>
      <c r="F84" s="15" t="n">
        <v>69.05</v>
      </c>
      <c r="G84" s="15" t="n">
        <v>14.29</v>
      </c>
      <c r="H84" s="15" t="inlineStr">
        <is>
          <t>가치 매력</t>
        </is>
      </c>
      <c r="I84" s="15" t="inlineStr">
        <is>
          <t>0.9481469936627798</t>
        </is>
      </c>
      <c r="J84" t="inlineStr"/>
      <c r="K84" t="inlineStr"/>
      <c r="L84" t="inlineStr"/>
    </row>
    <row r="85" ht="22" customHeight="1">
      <c r="A85" s="15" t="inlineStr">
        <is>
          <t>케이엔제이</t>
        </is>
      </c>
      <c r="B85" t="inlineStr"/>
      <c r="C85" s="15" t="inlineStr">
        <is>
          <t>272110</t>
        </is>
      </c>
      <c r="D85" s="15" t="inlineStr">
        <is>
          <t>KOSDAQ</t>
        </is>
      </c>
      <c r="E85" s="15" t="inlineStr">
        <is>
          <t>IDM/제조/메모리</t>
        </is>
      </c>
      <c r="F85" s="15" t="n">
        <v>69</v>
      </c>
      <c r="G85" s="15" t="n">
        <v>35.71</v>
      </c>
      <c r="H85" s="15" t="inlineStr">
        <is>
          <t>중립</t>
        </is>
      </c>
      <c r="I85" s="15" t="inlineStr">
        <is>
          <t>0.8941431334693103</t>
        </is>
      </c>
      <c r="J85" t="inlineStr"/>
      <c r="K85" t="inlineStr"/>
      <c r="L85" t="inlineStr"/>
    </row>
    <row r="86" ht="22" customHeight="1">
      <c r="A86" s="15" t="inlineStr">
        <is>
          <t>KPX케미칼</t>
        </is>
      </c>
      <c r="B86" t="inlineStr"/>
      <c r="C86" s="15" t="inlineStr">
        <is>
          <t>025000</t>
        </is>
      </c>
      <c r="D86" s="15" t="inlineStr">
        <is>
          <t>KOSPI</t>
        </is>
      </c>
      <c r="E86" s="15" t="inlineStr">
        <is>
          <t>장비</t>
        </is>
      </c>
      <c r="F86" s="15" t="n">
        <v>68.76000000000001</v>
      </c>
      <c r="G86" s="15" t="n">
        <v>0</v>
      </c>
      <c r="H86" s="15" t="inlineStr">
        <is>
          <t>가치 매력</t>
        </is>
      </c>
      <c r="I86" s="15" t="inlineStr">
        <is>
          <t>0.9091955435785402</t>
        </is>
      </c>
      <c r="J86" t="inlineStr"/>
      <c r="K86" t="inlineStr"/>
      <c r="L86" t="inlineStr"/>
    </row>
    <row r="87" ht="22" customHeight="1">
      <c r="A87" s="15" t="inlineStr">
        <is>
          <t>성도이엔지</t>
        </is>
      </c>
      <c r="B87" t="inlineStr"/>
      <c r="C87" s="15" t="inlineStr">
        <is>
          <t>037350</t>
        </is>
      </c>
      <c r="D87" s="15" t="inlineStr">
        <is>
          <t>KOSDAQ</t>
        </is>
      </c>
      <c r="E87" s="15" t="inlineStr">
        <is>
          <t>장비</t>
        </is>
      </c>
      <c r="F87" s="15" t="n">
        <v>68.75</v>
      </c>
      <c r="G87" s="15" t="n">
        <v>0</v>
      </c>
      <c r="H87" s="15" t="inlineStr">
        <is>
          <t>가치 매력</t>
        </is>
      </c>
      <c r="I87" s="15" t="inlineStr">
        <is>
          <t>0.9250659167833418</t>
        </is>
      </c>
      <c r="J87" t="inlineStr"/>
      <c r="K87" t="inlineStr"/>
      <c r="L87" t="inlineStr"/>
    </row>
    <row r="88" ht="22" customHeight="1">
      <c r="A88" s="15" t="inlineStr">
        <is>
          <t>한양디지텍</t>
        </is>
      </c>
      <c r="B88" t="inlineStr"/>
      <c r="C88" s="15" t="inlineStr">
        <is>
          <t>078350</t>
        </is>
      </c>
      <c r="D88" s="15" t="inlineStr">
        <is>
          <t>KOSDAQ</t>
        </is>
      </c>
      <c r="E88" s="15" t="inlineStr">
        <is>
          <t>IDM/제조/메모리</t>
        </is>
      </c>
      <c r="F88" s="15" t="n">
        <v>68.05</v>
      </c>
      <c r="G88" s="15" t="n">
        <v>7.14</v>
      </c>
      <c r="H88" s="15" t="inlineStr">
        <is>
          <t>가치 매력</t>
        </is>
      </c>
      <c r="I88" s="15" t="inlineStr">
        <is>
          <t>0.8705426081647281</t>
        </is>
      </c>
      <c r="J88" t="inlineStr"/>
      <c r="K88" t="inlineStr"/>
      <c r="L88" t="inlineStr"/>
    </row>
    <row r="89" ht="22" customHeight="1">
      <c r="A89" s="15" t="inlineStr">
        <is>
          <t>유니퀘스트</t>
        </is>
      </c>
      <c r="B89" t="inlineStr"/>
      <c r="C89" s="15" t="inlineStr">
        <is>
          <t>077500</t>
        </is>
      </c>
      <c r="D89" s="15" t="inlineStr">
        <is>
          <t>KOSPI</t>
        </is>
      </c>
      <c r="E89" s="15" t="inlineStr">
        <is>
          <t>장비</t>
        </is>
      </c>
      <c r="F89" s="15" t="n">
        <v>67.84</v>
      </c>
      <c r="G89" s="15" t="n">
        <v>0</v>
      </c>
      <c r="H89" s="15" t="inlineStr">
        <is>
          <t>가치 매력</t>
        </is>
      </c>
      <c r="I89" s="15" t="inlineStr">
        <is>
          <t>0.8881603628406226</t>
        </is>
      </c>
      <c r="J89" t="inlineStr"/>
      <c r="K89" t="inlineStr"/>
      <c r="L89" t="inlineStr"/>
    </row>
    <row r="90" ht="22" customHeight="1">
      <c r="A90" s="15" t="inlineStr">
        <is>
          <t>원익머트리얼즈</t>
        </is>
      </c>
      <c r="B90" t="inlineStr"/>
      <c r="C90" s="15" t="inlineStr">
        <is>
          <t>104830</t>
        </is>
      </c>
      <c r="D90" s="15" t="inlineStr">
        <is>
          <t>KOSDAQ</t>
        </is>
      </c>
      <c r="E90" s="15" t="inlineStr">
        <is>
          <t>소재</t>
        </is>
      </c>
      <c r="F90" s="15" t="n">
        <v>66.81999999999999</v>
      </c>
      <c r="G90" s="15" t="n">
        <v>7.14</v>
      </c>
      <c r="H90" s="15" t="inlineStr">
        <is>
          <t>중립</t>
        </is>
      </c>
      <c r="I90" s="15" t="inlineStr">
        <is>
          <t>0.9160049727267536</t>
        </is>
      </c>
      <c r="J90" t="inlineStr"/>
      <c r="K90" t="inlineStr"/>
      <c r="L90" t="inlineStr"/>
    </row>
    <row r="91" ht="22" customHeight="1">
      <c r="A91" s="15" t="inlineStr">
        <is>
          <t>솔브레인홀딩스</t>
        </is>
      </c>
      <c r="B91" t="inlineStr"/>
      <c r="C91" s="15" t="inlineStr">
        <is>
          <t>036830</t>
        </is>
      </c>
      <c r="D91" s="15" t="inlineStr">
        <is>
          <t>KOSDAQ GLOBAL</t>
        </is>
      </c>
      <c r="E91" s="15" t="inlineStr">
        <is>
          <t>소재</t>
        </is>
      </c>
      <c r="F91" s="15" t="n">
        <v>66.67</v>
      </c>
      <c r="G91" s="15" t="n">
        <v>0</v>
      </c>
      <c r="H91" s="15" t="inlineStr">
        <is>
          <t>가치 매력</t>
        </is>
      </c>
      <c r="I91" s="15" t="inlineStr">
        <is>
          <t>0.5229115612060397</t>
        </is>
      </c>
      <c r="J91" t="inlineStr"/>
      <c r="K91" t="inlineStr"/>
      <c r="L91" t="inlineStr"/>
    </row>
    <row r="92" ht="22" customHeight="1">
      <c r="A92" s="15" t="inlineStr">
        <is>
          <t>DB하이텍</t>
        </is>
      </c>
      <c r="B92" t="inlineStr"/>
      <c r="C92" s="15" t="inlineStr">
        <is>
          <t>000990</t>
        </is>
      </c>
      <c r="D92" s="15" t="inlineStr">
        <is>
          <t>KOSPI</t>
        </is>
      </c>
      <c r="E92" s="15" t="inlineStr">
        <is>
          <t>IDM/제조/메모리</t>
        </is>
      </c>
      <c r="F92" s="15" t="n">
        <v>66.53</v>
      </c>
      <c r="G92" s="15" t="n">
        <v>0</v>
      </c>
      <c r="H92" s="15" t="inlineStr">
        <is>
          <t>가치 매력</t>
        </is>
      </c>
      <c r="I92" s="15" t="inlineStr">
        <is>
          <t>0.9104444876024207</t>
        </is>
      </c>
      <c r="J92" t="inlineStr"/>
      <c r="K92" t="inlineStr"/>
      <c r="L92" t="inlineStr"/>
    </row>
    <row r="93" ht="22" customHeight="1">
      <c r="A93" s="15" t="inlineStr">
        <is>
          <t>자화전자</t>
        </is>
      </c>
      <c r="B93" t="inlineStr"/>
      <c r="C93" s="15" t="inlineStr">
        <is>
          <t>033240</t>
        </is>
      </c>
      <c r="D93" s="15" t="inlineStr">
        <is>
          <t>KOSPI</t>
        </is>
      </c>
      <c r="E93" s="15" t="inlineStr">
        <is>
          <t>부품/기판</t>
        </is>
      </c>
      <c r="F93" s="15" t="n">
        <v>66.48</v>
      </c>
      <c r="G93" s="15" t="n">
        <v>7.14</v>
      </c>
      <c r="H93" s="15" t="inlineStr">
        <is>
          <t>중립</t>
        </is>
      </c>
      <c r="I93" s="15" t="inlineStr">
        <is>
          <t>0.9380223994723259</t>
        </is>
      </c>
      <c r="J93" t="inlineStr"/>
      <c r="K93" t="inlineStr"/>
      <c r="L93" t="inlineStr"/>
    </row>
    <row r="94" ht="22" customHeight="1">
      <c r="A94" s="15" t="inlineStr">
        <is>
          <t>한솔아이원스</t>
        </is>
      </c>
      <c r="B94" t="inlineStr"/>
      <c r="C94" s="15" t="inlineStr">
        <is>
          <t>114810</t>
        </is>
      </c>
      <c r="D94" s="15" t="inlineStr">
        <is>
          <t>KOSDAQ</t>
        </is>
      </c>
      <c r="E94" s="15" t="inlineStr">
        <is>
          <t>장비</t>
        </is>
      </c>
      <c r="F94" s="15" t="n">
        <v>66.48</v>
      </c>
      <c r="G94" s="15" t="n">
        <v>14.29</v>
      </c>
      <c r="H94" s="15" t="inlineStr">
        <is>
          <t>가치 매력</t>
        </is>
      </c>
      <c r="I94" s="15" t="inlineStr">
        <is>
          <t>0.9031428820161691</t>
        </is>
      </c>
      <c r="J94" t="inlineStr"/>
      <c r="K94" t="inlineStr"/>
      <c r="L94" t="inlineStr"/>
    </row>
    <row r="95" ht="22" customHeight="1">
      <c r="A95" s="15" t="inlineStr">
        <is>
          <t>샘씨엔에스</t>
        </is>
      </c>
      <c r="B95" t="inlineStr"/>
      <c r="C95" s="15" t="inlineStr">
        <is>
          <t>252990</t>
        </is>
      </c>
      <c r="D95" s="15" t="inlineStr">
        <is>
          <t>KOSDAQ</t>
        </is>
      </c>
      <c r="E95" s="15" t="inlineStr">
        <is>
          <t>후공정/패키징/테스트</t>
        </is>
      </c>
      <c r="F95" s="15" t="n">
        <v>64.92</v>
      </c>
      <c r="G95" s="15" t="n">
        <v>14.29</v>
      </c>
      <c r="H95" s="15" t="inlineStr">
        <is>
          <t>가치 매력</t>
        </is>
      </c>
      <c r="I95" s="15" t="inlineStr">
        <is>
          <t>0.5521991152548656</t>
        </is>
      </c>
      <c r="J95" t="inlineStr"/>
      <c r="K95" t="inlineStr"/>
      <c r="L95" t="inlineStr"/>
    </row>
    <row r="96" ht="22" customHeight="1">
      <c r="A96" s="15" t="inlineStr">
        <is>
          <t>GST</t>
        </is>
      </c>
      <c r="B96" t="inlineStr"/>
      <c r="C96" s="15" t="inlineStr">
        <is>
          <t>083450</t>
        </is>
      </c>
      <c r="D96" s="15" t="inlineStr">
        <is>
          <t>KOSDAQ</t>
        </is>
      </c>
      <c r="E96" s="15" t="inlineStr">
        <is>
          <t>장비</t>
        </is>
      </c>
      <c r="F96" s="15" t="n">
        <v>64.75</v>
      </c>
      <c r="G96" s="15" t="n">
        <v>0</v>
      </c>
      <c r="H96" s="15" t="inlineStr">
        <is>
          <t>가치 매력</t>
        </is>
      </c>
      <c r="I96" s="15" t="inlineStr">
        <is>
          <t>0.900491542853433</t>
        </is>
      </c>
      <c r="J96" t="inlineStr"/>
      <c r="K96" t="inlineStr"/>
      <c r="L96" t="inlineStr"/>
    </row>
    <row r="97" ht="22" customHeight="1">
      <c r="A97" s="15" t="inlineStr">
        <is>
          <t>하나마이크론</t>
        </is>
      </c>
      <c r="B97" t="inlineStr"/>
      <c r="C97" s="15" t="inlineStr">
        <is>
          <t>067310</t>
        </is>
      </c>
      <c r="D97" s="15" t="inlineStr">
        <is>
          <t>KOSDAQ</t>
        </is>
      </c>
      <c r="E97" s="15" t="inlineStr">
        <is>
          <t>후공정/패키징/테스트</t>
        </is>
      </c>
      <c r="F97" s="15" t="n">
        <v>64.06</v>
      </c>
      <c r="G97" s="15" t="n">
        <v>28.57</v>
      </c>
      <c r="H97" s="15" t="inlineStr">
        <is>
          <t>가치 매력</t>
        </is>
      </c>
      <c r="I97" s="15" t="inlineStr">
        <is>
          <t>0.8727001075083287</t>
        </is>
      </c>
      <c r="J97" t="inlineStr"/>
      <c r="K97" t="inlineStr"/>
      <c r="L97" t="inlineStr"/>
    </row>
    <row r="98" ht="22" customHeight="1">
      <c r="A98" s="15" t="inlineStr">
        <is>
          <t>티이엠씨씨엔에스</t>
        </is>
      </c>
      <c r="B98" t="inlineStr"/>
      <c r="C98" s="15" t="inlineStr">
        <is>
          <t>241790</t>
        </is>
      </c>
      <c r="D98" s="15" t="inlineStr">
        <is>
          <t>KOSDAQ</t>
        </is>
      </c>
      <c r="E98" s="15" t="inlineStr">
        <is>
          <t>장비</t>
        </is>
      </c>
      <c r="F98" s="15" t="n">
        <v>63.93</v>
      </c>
      <c r="G98" s="15" t="n">
        <v>7.14</v>
      </c>
      <c r="H98" s="15" t="inlineStr">
        <is>
          <t>가치 매력</t>
        </is>
      </c>
      <c r="I98" s="15" t="inlineStr">
        <is>
          <t>0.8915695356337118</t>
        </is>
      </c>
      <c r="J98" t="inlineStr"/>
      <c r="K98" t="inlineStr"/>
      <c r="L98" t="inlineStr"/>
    </row>
    <row r="99" ht="22" customHeight="1">
      <c r="A99" s="15" t="inlineStr">
        <is>
          <t>네패스</t>
        </is>
      </c>
      <c r="B99" s="15" t="inlineStr">
        <is>
          <t>nepes</t>
        </is>
      </c>
      <c r="C99" s="15" t="inlineStr">
        <is>
          <t>033640</t>
        </is>
      </c>
      <c r="D99" s="15" t="inlineStr">
        <is>
          <t>KOSDAQ</t>
        </is>
      </c>
      <c r="E99" s="15" t="inlineStr">
        <is>
          <t>후공정/패키징/테스트</t>
        </is>
      </c>
      <c r="F99" s="15" t="n">
        <v>63.85</v>
      </c>
      <c r="G99" s="15" t="n">
        <v>28.57</v>
      </c>
      <c r="H99" s="15" t="inlineStr">
        <is>
          <t>가치 매력</t>
        </is>
      </c>
      <c r="I99" s="15" t="inlineStr">
        <is>
          <t>0.8763685947958789</t>
        </is>
      </c>
      <c r="J99" s="15" t="inlineStr">
        <is>
          <t>예</t>
        </is>
      </c>
      <c r="K99" t="inlineStr"/>
      <c r="L99" t="inlineStr"/>
    </row>
    <row r="100" ht="22" customHeight="1">
      <c r="A100" s="15" t="inlineStr">
        <is>
          <t>KX하이텍</t>
        </is>
      </c>
      <c r="B100" t="inlineStr"/>
      <c r="C100" s="15" t="inlineStr">
        <is>
          <t>052900</t>
        </is>
      </c>
      <c r="D100" s="15" t="inlineStr">
        <is>
          <t>KOSDAQ</t>
        </is>
      </c>
      <c r="E100" s="15" t="inlineStr">
        <is>
          <t>후공정/패키징/테스트</t>
        </is>
      </c>
      <c r="F100" s="15" t="n">
        <v>63.61</v>
      </c>
      <c r="G100" s="15" t="n">
        <v>7.14</v>
      </c>
      <c r="H100" s="15" t="inlineStr">
        <is>
          <t>가치 매력</t>
        </is>
      </c>
      <c r="I100" s="15" t="inlineStr">
        <is>
          <t>0.7896879678479897</t>
        </is>
      </c>
      <c r="J100" t="inlineStr"/>
      <c r="K100" t="inlineStr"/>
      <c r="L100" t="inlineStr"/>
    </row>
    <row r="101" ht="22" customHeight="1">
      <c r="A101" s="15" t="inlineStr">
        <is>
          <t>코미코</t>
        </is>
      </c>
      <c r="B101" t="inlineStr"/>
      <c r="C101" s="15" t="inlineStr">
        <is>
          <t>183300</t>
        </is>
      </c>
      <c r="D101" s="15" t="inlineStr">
        <is>
          <t>KOSDAQ GLOBAL</t>
        </is>
      </c>
      <c r="E101" s="15" t="inlineStr">
        <is>
          <t>부품/기판</t>
        </is>
      </c>
      <c r="F101" s="15" t="n">
        <v>63.43</v>
      </c>
      <c r="G101" s="15" t="n">
        <v>35.71</v>
      </c>
      <c r="H101" s="15" t="inlineStr">
        <is>
          <t>중립</t>
        </is>
      </c>
      <c r="I101" s="15" t="inlineStr">
        <is>
          <t>0.8305894153326006</t>
        </is>
      </c>
      <c r="J101" t="inlineStr"/>
      <c r="K101" t="inlineStr"/>
      <c r="L101" t="inlineStr"/>
    </row>
    <row r="102" ht="22" customHeight="1">
      <c r="A102" s="15" t="inlineStr">
        <is>
          <t>디아이티</t>
        </is>
      </c>
      <c r="B102" t="inlineStr"/>
      <c r="C102" s="15" t="inlineStr">
        <is>
          <t>110990</t>
        </is>
      </c>
      <c r="D102" s="15" t="inlineStr">
        <is>
          <t>KOSDAQ</t>
        </is>
      </c>
      <c r="E102" s="15" t="inlineStr">
        <is>
          <t>장비</t>
        </is>
      </c>
      <c r="F102" s="15" t="n">
        <v>63.41</v>
      </c>
      <c r="G102" s="15" t="n">
        <v>0</v>
      </c>
      <c r="H102" s="15" t="inlineStr">
        <is>
          <t>가치 매력</t>
        </is>
      </c>
      <c r="I102" s="15" t="inlineStr">
        <is>
          <t>0.8847780199048246</t>
        </is>
      </c>
      <c r="J102" t="inlineStr"/>
      <c r="K102" t="inlineStr"/>
      <c r="L102" t="inlineStr"/>
    </row>
    <row r="103" ht="22" customHeight="1">
      <c r="A103" s="15" t="inlineStr">
        <is>
          <t>한솔케미칼</t>
        </is>
      </c>
      <c r="B103" s="15" t="inlineStr">
        <is>
          <t>hansol</t>
        </is>
      </c>
      <c r="C103" s="15" t="inlineStr">
        <is>
          <t>014680</t>
        </is>
      </c>
      <c r="D103" s="15" t="inlineStr">
        <is>
          <t>KOSPI</t>
        </is>
      </c>
      <c r="E103" s="15" t="inlineStr">
        <is>
          <t>소재</t>
        </is>
      </c>
      <c r="F103" s="15" t="n">
        <v>63.31</v>
      </c>
      <c r="G103" s="15" t="n">
        <v>0</v>
      </c>
      <c r="H103" s="15" t="inlineStr">
        <is>
          <t>가치 매력</t>
        </is>
      </c>
      <c r="I103" s="15" t="inlineStr">
        <is>
          <t>0.8364696976606926</t>
        </is>
      </c>
      <c r="J103" s="15" t="inlineStr">
        <is>
          <t>예</t>
        </is>
      </c>
      <c r="K103" t="inlineStr"/>
      <c r="L103" t="inlineStr"/>
    </row>
    <row r="104" ht="22" customHeight="1">
      <c r="A104" s="15" t="inlineStr">
        <is>
          <t>케이씨텍</t>
        </is>
      </c>
      <c r="B104" t="inlineStr"/>
      <c r="C104" s="15" t="inlineStr">
        <is>
          <t>281820</t>
        </is>
      </c>
      <c r="D104" s="15" t="inlineStr">
        <is>
          <t>KOSPI</t>
        </is>
      </c>
      <c r="E104" s="15" t="inlineStr">
        <is>
          <t>장비</t>
        </is>
      </c>
      <c r="F104" s="15" t="n">
        <v>63.15</v>
      </c>
      <c r="G104" s="15" t="n">
        <v>0</v>
      </c>
      <c r="H104" s="15" t="inlineStr">
        <is>
          <t>가치 매력</t>
        </is>
      </c>
      <c r="I104" s="15" t="inlineStr">
        <is>
          <t>0.8895261430914092</t>
        </is>
      </c>
      <c r="J104" t="inlineStr"/>
      <c r="K104" t="inlineStr"/>
      <c r="L104" t="inlineStr"/>
    </row>
    <row r="105" ht="22" customHeight="1">
      <c r="A105" s="15" t="inlineStr">
        <is>
          <t>이녹스첨단소재</t>
        </is>
      </c>
      <c r="B105" t="inlineStr"/>
      <c r="C105" s="15" t="inlineStr">
        <is>
          <t>272290</t>
        </is>
      </c>
      <c r="D105" s="15" t="inlineStr">
        <is>
          <t>KOSDAQ GLOBAL</t>
        </is>
      </c>
      <c r="E105" s="15" t="inlineStr">
        <is>
          <t>소재</t>
        </is>
      </c>
      <c r="F105" s="15" t="n">
        <v>63.13</v>
      </c>
      <c r="G105" s="15" t="n">
        <v>7.14</v>
      </c>
      <c r="H105" s="15" t="inlineStr">
        <is>
          <t>중립</t>
        </is>
      </c>
      <c r="I105" s="15" t="inlineStr">
        <is>
          <t>0.900184891106931</t>
        </is>
      </c>
      <c r="J105" t="inlineStr"/>
      <c r="K105" t="inlineStr"/>
      <c r="L105" t="inlineStr"/>
    </row>
    <row r="106" ht="22" customHeight="1">
      <c r="A106" s="15" t="inlineStr">
        <is>
          <t>로체시스템즈</t>
        </is>
      </c>
      <c r="B106" t="inlineStr"/>
      <c r="C106" s="15" t="inlineStr">
        <is>
          <t>071280</t>
        </is>
      </c>
      <c r="D106" s="15" t="inlineStr">
        <is>
          <t>KOSDAQ</t>
        </is>
      </c>
      <c r="E106" s="15" t="inlineStr">
        <is>
          <t>장비</t>
        </is>
      </c>
      <c r="F106" s="15" t="n">
        <v>62.59</v>
      </c>
      <c r="G106" s="15" t="n">
        <v>7.14</v>
      </c>
      <c r="H106" s="15" t="inlineStr">
        <is>
          <t>가치 매력</t>
        </is>
      </c>
      <c r="I106" s="15" t="inlineStr">
        <is>
          <t>0.9642438845844894</t>
        </is>
      </c>
      <c r="J106" t="inlineStr"/>
      <c r="K106" t="inlineStr"/>
      <c r="L106" t="inlineStr"/>
    </row>
    <row r="107" ht="22" customHeight="1">
      <c r="A107" s="15" t="inlineStr">
        <is>
          <t>에이치엠넥스</t>
        </is>
      </c>
      <c r="B107" t="inlineStr"/>
      <c r="C107" s="15" t="inlineStr">
        <is>
          <t>036170</t>
        </is>
      </c>
      <c r="D107" s="15" t="inlineStr">
        <is>
          <t>KOSDAQ</t>
        </is>
      </c>
      <c r="E107" s="15" t="inlineStr">
        <is>
          <t>후공정/패키징/테스트</t>
        </is>
      </c>
      <c r="F107" s="15" t="n">
        <v>62.1</v>
      </c>
      <c r="G107" s="15" t="n">
        <v>35.71</v>
      </c>
      <c r="H107" s="15" t="inlineStr">
        <is>
          <t>중립</t>
        </is>
      </c>
      <c r="I107" s="15" t="inlineStr">
        <is>
          <t>0.7433115072206052</t>
        </is>
      </c>
      <c r="J107" t="inlineStr"/>
      <c r="K107" t="inlineStr"/>
      <c r="L107" t="inlineStr"/>
    </row>
    <row r="108" ht="22" customHeight="1">
      <c r="A108" s="15" t="inlineStr">
        <is>
          <t>리노공업</t>
        </is>
      </c>
      <c r="B108" t="inlineStr"/>
      <c r="C108" s="15" t="inlineStr">
        <is>
          <t>058470</t>
        </is>
      </c>
      <c r="D108" s="15" t="inlineStr">
        <is>
          <t>KOSDAQ GLOBAL</t>
        </is>
      </c>
      <c r="E108" s="15" t="inlineStr">
        <is>
          <t>후공정/패키징/테스트</t>
        </is>
      </c>
      <c r="F108" s="15" t="n">
        <v>61.91</v>
      </c>
      <c r="G108" s="15" t="n">
        <v>0</v>
      </c>
      <c r="H108" s="15" t="inlineStr">
        <is>
          <t>가치 매력</t>
        </is>
      </c>
      <c r="I108" s="15" t="inlineStr">
        <is>
          <t>0.6825301704423244</t>
        </is>
      </c>
      <c r="J108" t="inlineStr"/>
      <c r="K108" t="inlineStr"/>
      <c r="L108" t="inlineStr"/>
    </row>
    <row r="109" ht="22" customHeight="1">
      <c r="A109" s="15" t="inlineStr">
        <is>
          <t>아이씨디</t>
        </is>
      </c>
      <c r="B109" t="inlineStr"/>
      <c r="C109" s="15" t="inlineStr">
        <is>
          <t>040910</t>
        </is>
      </c>
      <c r="D109" s="15" t="inlineStr">
        <is>
          <t>KOSDAQ</t>
        </is>
      </c>
      <c r="E109" s="15" t="inlineStr">
        <is>
          <t>장비</t>
        </is>
      </c>
      <c r="F109" s="15" t="n">
        <v>61.59</v>
      </c>
      <c r="G109" s="15" t="n">
        <v>7.14</v>
      </c>
      <c r="H109" s="15" t="inlineStr">
        <is>
          <t>중립</t>
        </is>
      </c>
      <c r="I109" s="15" t="inlineStr">
        <is>
          <t>0.692546582663732</t>
        </is>
      </c>
      <c r="J109" t="inlineStr"/>
      <c r="K109" t="inlineStr"/>
      <c r="L109" t="inlineStr"/>
    </row>
    <row r="110" ht="22" customHeight="1">
      <c r="A110" s="15" t="inlineStr">
        <is>
          <t>에스에프에이</t>
        </is>
      </c>
      <c r="B110" t="inlineStr"/>
      <c r="C110" s="15" t="inlineStr">
        <is>
          <t>056190</t>
        </is>
      </c>
      <c r="D110" s="15" t="inlineStr">
        <is>
          <t>KOSDAQ GLOBAL</t>
        </is>
      </c>
      <c r="E110" s="15" t="inlineStr">
        <is>
          <t>장비</t>
        </is>
      </c>
      <c r="F110" s="15" t="n">
        <v>60.99</v>
      </c>
      <c r="G110" s="15" t="n">
        <v>0</v>
      </c>
      <c r="H110" s="15" t="inlineStr">
        <is>
          <t>가치 매력</t>
        </is>
      </c>
      <c r="I110" s="15" t="inlineStr">
        <is>
          <t>0.8690882589557657</t>
        </is>
      </c>
      <c r="J110" t="inlineStr"/>
      <c r="K110" t="inlineStr"/>
      <c r="L110" t="inlineStr"/>
    </row>
    <row r="111" ht="22" customHeight="1">
      <c r="A111" s="15" t="inlineStr">
        <is>
          <t>오디텍</t>
        </is>
      </c>
      <c r="B111" t="inlineStr"/>
      <c r="C111" s="15" t="inlineStr">
        <is>
          <t>080520</t>
        </is>
      </c>
      <c r="D111" s="15" t="inlineStr">
        <is>
          <t>KOSDAQ</t>
        </is>
      </c>
      <c r="E111" s="15" t="inlineStr">
        <is>
          <t>IDM/제조/메모리</t>
        </is>
      </c>
      <c r="F111" s="15" t="n">
        <v>60.83</v>
      </c>
      <c r="G111" s="15" t="n">
        <v>42.86</v>
      </c>
      <c r="H111" s="15" t="inlineStr">
        <is>
          <t>중립</t>
        </is>
      </c>
      <c r="I111" s="15" t="inlineStr">
        <is>
          <t>0.8328575689014174</t>
        </is>
      </c>
      <c r="J111" t="inlineStr"/>
      <c r="K111" t="inlineStr"/>
      <c r="L111" t="inlineStr"/>
    </row>
    <row r="112" ht="22" customHeight="1">
      <c r="A112" s="15" t="inlineStr">
        <is>
          <t>오킨스전자</t>
        </is>
      </c>
      <c r="B112" t="inlineStr"/>
      <c r="C112" s="15" t="inlineStr">
        <is>
          <t>080580</t>
        </is>
      </c>
      <c r="D112" s="15" t="inlineStr">
        <is>
          <t>KOSDAQ</t>
        </is>
      </c>
      <c r="E112" s="15" t="inlineStr">
        <is>
          <t>후공정/패키징/테스트</t>
        </is>
      </c>
      <c r="F112" s="15" t="n">
        <v>60.62</v>
      </c>
      <c r="G112" s="15" t="n">
        <v>21.43</v>
      </c>
      <c r="H112" s="15" t="inlineStr">
        <is>
          <t>가치 매력</t>
        </is>
      </c>
      <c r="I112" s="15" t="inlineStr">
        <is>
          <t>0.8105235691914331</t>
        </is>
      </c>
      <c r="J112" t="inlineStr"/>
      <c r="K112" t="inlineStr"/>
      <c r="L112" t="inlineStr"/>
    </row>
    <row r="113" ht="22" customHeight="1">
      <c r="A113" s="15" t="inlineStr">
        <is>
          <t>알에프세미</t>
        </is>
      </c>
      <c r="B113" t="inlineStr"/>
      <c r="C113" s="15" t="inlineStr">
        <is>
          <t>096610</t>
        </is>
      </c>
      <c r="D113" s="15" t="inlineStr">
        <is>
          <t>KOSDAQ</t>
        </is>
      </c>
      <c r="E113" s="15" t="inlineStr">
        <is>
          <t>팹리스/설계</t>
        </is>
      </c>
      <c r="F113" s="15" t="n">
        <v>60.3</v>
      </c>
      <c r="G113" s="15" t="n">
        <v>7.14</v>
      </c>
      <c r="H113" s="15" t="inlineStr">
        <is>
          <t>가치 매력</t>
        </is>
      </c>
      <c r="I113" s="15" t="inlineStr">
        <is>
          <t>0.8083150256499313</t>
        </is>
      </c>
      <c r="J113" t="inlineStr"/>
      <c r="K113" t="inlineStr"/>
      <c r="L113" t="inlineStr"/>
    </row>
    <row r="114" ht="22" customHeight="1">
      <c r="A114" s="15" t="inlineStr">
        <is>
          <t>그린리소스</t>
        </is>
      </c>
      <c r="B114" t="inlineStr"/>
      <c r="C114" s="15" t="inlineStr">
        <is>
          <t>402490</t>
        </is>
      </c>
      <c r="D114" s="15" t="inlineStr">
        <is>
          <t>KOSDAQ</t>
        </is>
      </c>
      <c r="E114" s="15" t="inlineStr">
        <is>
          <t>IDM/제조/메모리</t>
        </is>
      </c>
      <c r="F114" s="15" t="n">
        <v>60.22</v>
      </c>
      <c r="G114" s="15" t="n">
        <v>42.86</v>
      </c>
      <c r="H114" s="15" t="inlineStr">
        <is>
          <t>중립</t>
        </is>
      </c>
      <c r="I114" s="15" t="inlineStr">
        <is>
          <t>0.7869051998623771</t>
        </is>
      </c>
      <c r="J114" t="inlineStr"/>
      <c r="K114" t="inlineStr"/>
      <c r="L114" t="inlineStr"/>
    </row>
    <row r="115" ht="22" customHeight="1">
      <c r="A115" s="15" t="inlineStr">
        <is>
          <t>삼양엔씨켐</t>
        </is>
      </c>
      <c r="B115" t="inlineStr"/>
      <c r="C115" s="15" t="inlineStr">
        <is>
          <t>482630</t>
        </is>
      </c>
      <c r="D115" s="15" t="inlineStr">
        <is>
          <t>KOSDAQ</t>
        </is>
      </c>
      <c r="E115" s="15" t="inlineStr">
        <is>
          <t>장비</t>
        </is>
      </c>
      <c r="F115" s="15" t="n">
        <v>59.93</v>
      </c>
      <c r="G115" s="15" t="n">
        <v>7.14</v>
      </c>
      <c r="H115" s="15" t="inlineStr">
        <is>
          <t>가치 매력</t>
        </is>
      </c>
      <c r="I115" s="15" t="inlineStr">
        <is>
          <t>0.6408467710997098</t>
        </is>
      </c>
      <c r="J115" t="inlineStr"/>
      <c r="K115" t="inlineStr"/>
      <c r="L115" t="inlineStr"/>
    </row>
    <row r="116" ht="22" customHeight="1">
      <c r="A116" s="15" t="inlineStr">
        <is>
          <t>루멘스</t>
        </is>
      </c>
      <c r="B116" t="inlineStr"/>
      <c r="C116" s="15" t="inlineStr">
        <is>
          <t>038060</t>
        </is>
      </c>
      <c r="D116" s="15" t="inlineStr">
        <is>
          <t>KOSDAQ</t>
        </is>
      </c>
      <c r="E116" s="15" t="inlineStr">
        <is>
          <t>IDM/제조/메모리</t>
        </is>
      </c>
      <c r="F116" s="15" t="n">
        <v>59.7</v>
      </c>
      <c r="G116" s="15" t="n">
        <v>35.71</v>
      </c>
      <c r="H116" s="15" t="inlineStr">
        <is>
          <t>중립</t>
        </is>
      </c>
      <c r="I116" s="15" t="inlineStr">
        <is>
          <t>0.8437683700786414</t>
        </is>
      </c>
      <c r="J116" t="inlineStr"/>
      <c r="K116" t="inlineStr"/>
      <c r="L116" t="inlineStr"/>
    </row>
    <row r="117" ht="22" customHeight="1">
      <c r="A117" s="15" t="inlineStr">
        <is>
          <t>싸이맥스</t>
        </is>
      </c>
      <c r="B117" t="inlineStr"/>
      <c r="C117" s="15" t="inlineStr">
        <is>
          <t>160980</t>
        </is>
      </c>
      <c r="D117" s="15" t="inlineStr">
        <is>
          <t>KOSDAQ</t>
        </is>
      </c>
      <c r="E117" s="15" t="inlineStr">
        <is>
          <t>장비</t>
        </is>
      </c>
      <c r="F117" s="15" t="n">
        <v>59.61</v>
      </c>
      <c r="G117" s="15" t="n">
        <v>0</v>
      </c>
      <c r="H117" s="15" t="inlineStr">
        <is>
          <t>가치 매력</t>
        </is>
      </c>
      <c r="I117" s="15" t="inlineStr">
        <is>
          <t>0.8128181122496774</t>
        </is>
      </c>
      <c r="J117" t="inlineStr"/>
      <c r="K117" t="inlineStr"/>
      <c r="L117" t="inlineStr"/>
    </row>
    <row r="118" ht="22" customHeight="1">
      <c r="A118" s="15" t="inlineStr">
        <is>
          <t>제주반도체</t>
        </is>
      </c>
      <c r="B118" t="inlineStr"/>
      <c r="C118" s="15" t="inlineStr">
        <is>
          <t>080220</t>
        </is>
      </c>
      <c r="D118" s="15" t="inlineStr">
        <is>
          <t>KOSDAQ</t>
        </is>
      </c>
      <c r="E118" s="15" t="inlineStr">
        <is>
          <t>팹리스/설계</t>
        </is>
      </c>
      <c r="F118" s="15" t="n">
        <v>59.17</v>
      </c>
      <c r="G118" s="15" t="n">
        <v>0</v>
      </c>
      <c r="H118" s="15" t="inlineStr">
        <is>
          <t>가치 매력</t>
        </is>
      </c>
      <c r="I118" s="15" t="inlineStr">
        <is>
          <t>0.6955424557105586</t>
        </is>
      </c>
      <c r="J118" t="inlineStr"/>
      <c r="K118" t="inlineStr"/>
      <c r="L118" t="inlineStr"/>
    </row>
    <row r="119" ht="22" customHeight="1">
      <c r="A119" s="15" t="inlineStr">
        <is>
          <t>티에스이</t>
        </is>
      </c>
      <c r="B119" t="inlineStr"/>
      <c r="C119" s="15" t="inlineStr">
        <is>
          <t>131290</t>
        </is>
      </c>
      <c r="D119" s="15" t="inlineStr">
        <is>
          <t>KOSDAQ</t>
        </is>
      </c>
      <c r="E119" s="15" t="inlineStr">
        <is>
          <t>팹리스/설계</t>
        </is>
      </c>
      <c r="F119" s="15" t="n">
        <v>58.81</v>
      </c>
      <c r="G119" s="15" t="n">
        <v>0</v>
      </c>
      <c r="H119" s="15" t="inlineStr">
        <is>
          <t>가치 매력</t>
        </is>
      </c>
      <c r="I119" s="15" t="inlineStr">
        <is>
          <t>0.7390287615028212</t>
        </is>
      </c>
      <c r="J119" t="inlineStr"/>
      <c r="K119" t="inlineStr"/>
      <c r="L119" t="inlineStr"/>
    </row>
    <row r="120" ht="22" customHeight="1">
      <c r="A120" s="15" t="inlineStr">
        <is>
          <t>디아이</t>
        </is>
      </c>
      <c r="B120" t="inlineStr"/>
      <c r="C120" s="15" t="inlineStr">
        <is>
          <t>003160</t>
        </is>
      </c>
      <c r="D120" s="15" t="inlineStr">
        <is>
          <t>KOSPI</t>
        </is>
      </c>
      <c r="E120" s="15" t="inlineStr">
        <is>
          <t>후공정/패키징/테스트</t>
        </is>
      </c>
      <c r="F120" s="15" t="n">
        <v>58.76</v>
      </c>
      <c r="G120" s="15" t="n">
        <v>7.14</v>
      </c>
      <c r="H120" s="15" t="inlineStr">
        <is>
          <t>가치 매력</t>
        </is>
      </c>
      <c r="I120" s="15" t="inlineStr">
        <is>
          <t>0.6560906263736197</t>
        </is>
      </c>
      <c r="J120" t="inlineStr"/>
      <c r="K120" t="inlineStr"/>
      <c r="L120" t="inlineStr"/>
    </row>
    <row r="121" ht="22" customHeight="1">
      <c r="A121" s="15" t="inlineStr">
        <is>
          <t>피델릭스</t>
        </is>
      </c>
      <c r="B121" t="inlineStr"/>
      <c r="C121" s="15" t="inlineStr">
        <is>
          <t>032580</t>
        </is>
      </c>
      <c r="D121" s="15" t="inlineStr">
        <is>
          <t>KOSDAQ</t>
        </is>
      </c>
      <c r="E121" s="15" t="inlineStr">
        <is>
          <t>IDM/제조/메모리</t>
        </is>
      </c>
      <c r="F121" s="15" t="n">
        <v>58.73</v>
      </c>
      <c r="G121" s="15" t="n">
        <v>50</v>
      </c>
      <c r="H121" s="15" t="inlineStr">
        <is>
          <t>중립</t>
        </is>
      </c>
      <c r="I121" s="15" t="inlineStr">
        <is>
          <t>0.8604826019551013</t>
        </is>
      </c>
      <c r="J121" t="inlineStr"/>
      <c r="K121" t="inlineStr"/>
      <c r="L121" t="inlineStr"/>
    </row>
    <row r="122" ht="22" customHeight="1">
      <c r="A122" s="15" t="inlineStr">
        <is>
          <t>엘티씨</t>
        </is>
      </c>
      <c r="B122" s="15" t="inlineStr">
        <is>
          <t>ltc</t>
        </is>
      </c>
      <c r="C122" s="15" t="inlineStr">
        <is>
          <t>170920</t>
        </is>
      </c>
      <c r="D122" s="15" t="inlineStr">
        <is>
          <t>KOSDAQ</t>
        </is>
      </c>
      <c r="E122" s="15" t="inlineStr">
        <is>
          <t>소재</t>
        </is>
      </c>
      <c r="F122" s="15" t="n">
        <v>58.38</v>
      </c>
      <c r="G122" s="15" t="n">
        <v>0</v>
      </c>
      <c r="H122" s="15" t="inlineStr">
        <is>
          <t>중립</t>
        </is>
      </c>
      <c r="I122" s="15" t="inlineStr">
        <is>
          <t>0.6353016273848794</t>
        </is>
      </c>
      <c r="J122" s="15" t="inlineStr">
        <is>
          <t>예</t>
        </is>
      </c>
      <c r="K122" t="inlineStr"/>
      <c r="L122" t="inlineStr"/>
    </row>
    <row r="123" ht="22" customHeight="1">
      <c r="A123" s="15" t="inlineStr">
        <is>
          <t>엔시트론</t>
        </is>
      </c>
      <c r="B123" t="inlineStr"/>
      <c r="C123" s="15" t="inlineStr">
        <is>
          <t>101400</t>
        </is>
      </c>
      <c r="D123" s="15" t="inlineStr">
        <is>
          <t>KOSDAQ</t>
        </is>
      </c>
      <c r="E123" s="15" t="inlineStr">
        <is>
          <t>IDM/제조/메모리</t>
        </is>
      </c>
      <c r="F123" s="15" t="n">
        <v>57.73</v>
      </c>
      <c r="G123" s="15" t="n">
        <v>35.71</v>
      </c>
      <c r="H123" s="15" t="inlineStr">
        <is>
          <t>중립</t>
        </is>
      </c>
      <c r="I123" s="15" t="inlineStr">
        <is>
          <t>0.8173941540342667</t>
        </is>
      </c>
      <c r="J123" t="inlineStr"/>
      <c r="K123" t="inlineStr"/>
      <c r="L123" t="inlineStr"/>
    </row>
    <row r="124" ht="22" customHeight="1">
      <c r="A124" s="15" t="inlineStr">
        <is>
          <t>아나패스</t>
        </is>
      </c>
      <c r="B124" t="inlineStr"/>
      <c r="C124" s="15" t="inlineStr">
        <is>
          <t>123860</t>
        </is>
      </c>
      <c r="D124" s="15" t="inlineStr">
        <is>
          <t>KOSDAQ</t>
        </is>
      </c>
      <c r="E124" s="15" t="inlineStr">
        <is>
          <t>팹리스/설계</t>
        </is>
      </c>
      <c r="F124" s="15" t="n">
        <v>57.62</v>
      </c>
      <c r="G124" s="15" t="n">
        <v>0</v>
      </c>
      <c r="H124" s="15" t="inlineStr">
        <is>
          <t>중립</t>
        </is>
      </c>
      <c r="I124" s="15" t="inlineStr">
        <is>
          <t>0.510332377942325</t>
        </is>
      </c>
      <c r="J124" t="inlineStr"/>
      <c r="K124" t="inlineStr"/>
      <c r="L124" t="inlineStr"/>
    </row>
    <row r="125" ht="22" customHeight="1">
      <c r="A125" s="15" t="inlineStr">
        <is>
          <t>비에이치</t>
        </is>
      </c>
      <c r="B125" t="inlineStr"/>
      <c r="C125" s="15" t="inlineStr">
        <is>
          <t>090460</t>
        </is>
      </c>
      <c r="D125" s="15" t="inlineStr">
        <is>
          <t>KOSPI</t>
        </is>
      </c>
      <c r="E125" s="15" t="inlineStr">
        <is>
          <t>부품/기판</t>
        </is>
      </c>
      <c r="F125" s="15" t="n">
        <v>57.52</v>
      </c>
      <c r="G125" s="15" t="n">
        <v>0</v>
      </c>
      <c r="H125" s="15" t="inlineStr">
        <is>
          <t>중립</t>
        </is>
      </c>
      <c r="I125" s="15" t="inlineStr">
        <is>
          <t>0.5078538652826</t>
        </is>
      </c>
      <c r="J125" t="inlineStr"/>
      <c r="K125" t="inlineStr"/>
      <c r="L125" t="inlineStr"/>
    </row>
    <row r="126" ht="22" customHeight="1">
      <c r="A126" s="15" t="inlineStr">
        <is>
          <t>뉴파워프라즈마</t>
        </is>
      </c>
      <c r="B126" t="inlineStr"/>
      <c r="C126" s="15" t="inlineStr">
        <is>
          <t>144960</t>
        </is>
      </c>
      <c r="D126" s="15" t="inlineStr">
        <is>
          <t>KOSDAQ</t>
        </is>
      </c>
      <c r="E126" s="15" t="inlineStr">
        <is>
          <t>장비</t>
        </is>
      </c>
      <c r="F126" s="15" t="n">
        <v>57.49</v>
      </c>
      <c r="G126" s="15" t="n">
        <v>21.43</v>
      </c>
      <c r="H126" s="15" t="inlineStr">
        <is>
          <t>중립</t>
        </is>
      </c>
      <c r="I126" s="15" t="inlineStr">
        <is>
          <t>0.868464354966477</t>
        </is>
      </c>
      <c r="J126" t="inlineStr"/>
      <c r="K126" t="inlineStr"/>
      <c r="L126" t="inlineStr"/>
    </row>
    <row r="127" ht="22" customHeight="1">
      <c r="A127" s="15" t="inlineStr">
        <is>
          <t>이엘씨</t>
        </is>
      </c>
      <c r="B127" t="inlineStr"/>
      <c r="C127" s="15" t="inlineStr">
        <is>
          <t>041520</t>
        </is>
      </c>
      <c r="D127" s="15" t="inlineStr">
        <is>
          <t>KOSDAQ</t>
        </is>
      </c>
      <c r="E127" s="15" t="inlineStr">
        <is>
          <t>장비</t>
        </is>
      </c>
      <c r="F127" s="15" t="n">
        <v>57.22</v>
      </c>
      <c r="G127" s="15" t="n">
        <v>35.71</v>
      </c>
      <c r="H127" s="15" t="inlineStr">
        <is>
          <t>중립</t>
        </is>
      </c>
      <c r="I127" s="15" t="inlineStr">
        <is>
          <t>0.7059172837936919</t>
        </is>
      </c>
      <c r="J127" t="inlineStr"/>
      <c r="K127" t="inlineStr"/>
      <c r="L127" t="inlineStr"/>
    </row>
    <row r="128" ht="22" customHeight="1">
      <c r="A128" s="15" t="inlineStr">
        <is>
          <t>엑시콘</t>
        </is>
      </c>
      <c r="B128" t="inlineStr"/>
      <c r="C128" s="15" t="inlineStr">
        <is>
          <t>092870</t>
        </is>
      </c>
      <c r="D128" s="15" t="inlineStr">
        <is>
          <t>KOSDAQ</t>
        </is>
      </c>
      <c r="E128" s="15" t="inlineStr">
        <is>
          <t>후공정/패키징/테스트</t>
        </is>
      </c>
      <c r="F128" s="15" t="n">
        <v>57.11</v>
      </c>
      <c r="G128" s="15" t="n">
        <v>21.43</v>
      </c>
      <c r="H128" s="15" t="inlineStr">
        <is>
          <t>중립</t>
        </is>
      </c>
      <c r="I128" s="15" t="inlineStr">
        <is>
          <t>0.7870958268046786</t>
        </is>
      </c>
      <c r="J128" t="inlineStr"/>
      <c r="K128" t="inlineStr"/>
      <c r="L128" t="inlineStr"/>
    </row>
    <row r="129" ht="22" customHeight="1">
      <c r="A129" s="15" t="inlineStr">
        <is>
          <t>티이엠씨</t>
        </is>
      </c>
      <c r="B129" t="inlineStr"/>
      <c r="C129" s="15" t="inlineStr">
        <is>
          <t>425040</t>
        </is>
      </c>
      <c r="D129" s="15" t="inlineStr">
        <is>
          <t>KOSDAQ</t>
        </is>
      </c>
      <c r="E129" s="15" t="inlineStr">
        <is>
          <t>소재</t>
        </is>
      </c>
      <c r="F129" s="15" t="n">
        <v>56.67</v>
      </c>
      <c r="G129" s="15" t="n">
        <v>7.14</v>
      </c>
      <c r="H129" s="15" t="inlineStr">
        <is>
          <t>중립</t>
        </is>
      </c>
      <c r="I129" s="15" t="inlineStr">
        <is>
          <t>0.8720430887980049</t>
        </is>
      </c>
      <c r="J129" t="inlineStr"/>
      <c r="K129" t="inlineStr"/>
      <c r="L129" t="inlineStr"/>
    </row>
    <row r="130" ht="22" customHeight="1">
      <c r="A130" s="15" t="inlineStr">
        <is>
          <t>서울바이오시스</t>
        </is>
      </c>
      <c r="B130" t="inlineStr"/>
      <c r="C130" s="15" t="inlineStr">
        <is>
          <t>092190</t>
        </is>
      </c>
      <c r="D130" s="15" t="inlineStr">
        <is>
          <t>KOSDAQ</t>
        </is>
      </c>
      <c r="E130" s="15" t="inlineStr">
        <is>
          <t>IDM/제조/메모리</t>
        </is>
      </c>
      <c r="F130" s="15" t="n">
        <v>56.55</v>
      </c>
      <c r="G130" s="15" t="n">
        <v>42.86</v>
      </c>
      <c r="H130" s="15" t="inlineStr">
        <is>
          <t>중립</t>
        </is>
      </c>
      <c r="I130" s="15" t="inlineStr">
        <is>
          <t>0.7336783523450653</t>
        </is>
      </c>
      <c r="J130" t="inlineStr"/>
      <c r="K130" t="inlineStr"/>
      <c r="L130" t="inlineStr"/>
    </row>
    <row r="131" ht="22" customHeight="1">
      <c r="A131" s="15" t="inlineStr">
        <is>
          <t>에스앤에스텍</t>
        </is>
      </c>
      <c r="B131" t="inlineStr"/>
      <c r="C131" s="15" t="inlineStr">
        <is>
          <t>101490</t>
        </is>
      </c>
      <c r="D131" s="15" t="inlineStr">
        <is>
          <t>KOSDAQ</t>
        </is>
      </c>
      <c r="E131" s="15" t="inlineStr">
        <is>
          <t>소재</t>
        </is>
      </c>
      <c r="F131" s="15" t="n">
        <v>56.54</v>
      </c>
      <c r="G131" s="15" t="n">
        <v>7.14</v>
      </c>
      <c r="H131" s="15" t="inlineStr">
        <is>
          <t>중립</t>
        </is>
      </c>
      <c r="I131" s="15" t="inlineStr">
        <is>
          <t>0.7907123507381016</t>
        </is>
      </c>
      <c r="J131" t="inlineStr"/>
      <c r="K131" t="inlineStr"/>
      <c r="L131" t="inlineStr"/>
    </row>
    <row r="132" ht="22" customHeight="1">
      <c r="A132" s="15" t="inlineStr">
        <is>
          <t>포인트엔지니어링</t>
        </is>
      </c>
      <c r="B132" t="inlineStr"/>
      <c r="C132" s="15" t="inlineStr">
        <is>
          <t>256630</t>
        </is>
      </c>
      <c r="D132" s="15" t="inlineStr">
        <is>
          <t>KOSDAQ</t>
        </is>
      </c>
      <c r="E132" s="15" t="inlineStr">
        <is>
          <t>장비</t>
        </is>
      </c>
      <c r="F132" s="15" t="n">
        <v>56.49</v>
      </c>
      <c r="G132" s="15" t="n">
        <v>14.29</v>
      </c>
      <c r="H132" s="15" t="inlineStr">
        <is>
          <t>중립</t>
        </is>
      </c>
      <c r="I132" s="15" t="inlineStr">
        <is>
          <t>0.735270480034121</t>
        </is>
      </c>
      <c r="J132" t="inlineStr"/>
      <c r="K132" t="inlineStr"/>
      <c r="L132" t="inlineStr"/>
    </row>
    <row r="133" ht="22" customHeight="1">
      <c r="A133" s="15" t="inlineStr">
        <is>
          <t>테스</t>
        </is>
      </c>
      <c r="B133" t="inlineStr"/>
      <c r="C133" s="15" t="inlineStr">
        <is>
          <t>095610</t>
        </is>
      </c>
      <c r="D133" s="15" t="inlineStr">
        <is>
          <t>KOSDAQ</t>
        </is>
      </c>
      <c r="E133" s="15" t="inlineStr">
        <is>
          <t>장비</t>
        </is>
      </c>
      <c r="F133" s="15" t="n">
        <v>56.4</v>
      </c>
      <c r="G133" s="15" t="n">
        <v>14.29</v>
      </c>
      <c r="H133" s="15" t="inlineStr">
        <is>
          <t>중립</t>
        </is>
      </c>
      <c r="I133" s="15" t="inlineStr">
        <is>
          <t>0.5083695341145091</t>
        </is>
      </c>
      <c r="J133" t="inlineStr"/>
      <c r="K133" t="inlineStr"/>
      <c r="L133" t="inlineStr"/>
    </row>
    <row r="134" ht="22" customHeight="1">
      <c r="A134" s="15" t="inlineStr">
        <is>
          <t>코아시아</t>
        </is>
      </c>
      <c r="B134" t="inlineStr"/>
      <c r="C134" s="15" t="inlineStr">
        <is>
          <t>045970</t>
        </is>
      </c>
      <c r="D134" s="15" t="inlineStr">
        <is>
          <t>KOSDAQ</t>
        </is>
      </c>
      <c r="E134" s="15" t="inlineStr">
        <is>
          <t>팹리스/설계</t>
        </is>
      </c>
      <c r="F134" s="15" t="n">
        <v>56.12</v>
      </c>
      <c r="G134" s="15" t="n">
        <v>50</v>
      </c>
      <c r="H134" s="15" t="inlineStr">
        <is>
          <t>중립</t>
        </is>
      </c>
      <c r="I134" s="15" t="inlineStr">
        <is>
          <t>0.811266524244761</t>
        </is>
      </c>
      <c r="J134" t="inlineStr"/>
      <c r="K134" t="inlineStr"/>
      <c r="L134" t="inlineStr"/>
    </row>
    <row r="135" ht="22" customHeight="1">
      <c r="A135" s="15" t="inlineStr">
        <is>
          <t>우리이앤엘하루틴</t>
        </is>
      </c>
      <c r="B135" t="inlineStr"/>
      <c r="C135" s="15" t="inlineStr">
        <is>
          <t>153490</t>
        </is>
      </c>
      <c r="D135" s="15" t="inlineStr">
        <is>
          <t>KOSDAQ</t>
        </is>
      </c>
      <c r="E135" s="15" t="inlineStr">
        <is>
          <t>후공정/패키징/테스트</t>
        </is>
      </c>
      <c r="F135" s="15" t="n">
        <v>55.99</v>
      </c>
      <c r="G135" s="15" t="n">
        <v>14.29</v>
      </c>
      <c r="H135" s="15" t="inlineStr">
        <is>
          <t>중립</t>
        </is>
      </c>
      <c r="I135" s="15" t="inlineStr">
        <is>
          <t>0.803860880134826</t>
        </is>
      </c>
      <c r="J135" t="inlineStr"/>
      <c r="K135" t="inlineStr"/>
      <c r="L135" t="inlineStr"/>
    </row>
    <row r="136" ht="22" customHeight="1">
      <c r="A136" s="15" t="inlineStr">
        <is>
          <t>와이씨</t>
        </is>
      </c>
      <c r="B136" t="inlineStr"/>
      <c r="C136" s="15" t="inlineStr">
        <is>
          <t>232140</t>
        </is>
      </c>
      <c r="D136" s="15" t="inlineStr">
        <is>
          <t>KOSDAQ</t>
        </is>
      </c>
      <c r="E136" s="15" t="inlineStr">
        <is>
          <t>후공정/패키징/테스트</t>
        </is>
      </c>
      <c r="F136" s="15" t="n">
        <v>55.73</v>
      </c>
      <c r="G136" s="15" t="n">
        <v>0</v>
      </c>
      <c r="H136" s="15" t="inlineStr">
        <is>
          <t>중립</t>
        </is>
      </c>
      <c r="I136" s="15" t="inlineStr">
        <is>
          <t>0.5813875575219858</t>
        </is>
      </c>
      <c r="J136" t="inlineStr"/>
      <c r="K136" t="inlineStr"/>
      <c r="L136" t="inlineStr"/>
    </row>
    <row r="137" ht="22" customHeight="1">
      <c r="A137" s="15" t="inlineStr">
        <is>
          <t>기가비스</t>
        </is>
      </c>
      <c r="B137" t="inlineStr"/>
      <c r="C137" s="15" t="inlineStr">
        <is>
          <t>420770</t>
        </is>
      </c>
      <c r="D137" s="15" t="inlineStr">
        <is>
          <t>KOSDAQ</t>
        </is>
      </c>
      <c r="E137" s="15" t="inlineStr">
        <is>
          <t>후공정/패키징/테스트</t>
        </is>
      </c>
      <c r="F137" s="15" t="n">
        <v>55.44</v>
      </c>
      <c r="G137" s="15" t="n">
        <v>7.14</v>
      </c>
      <c r="H137" s="15" t="inlineStr">
        <is>
          <t>중립</t>
        </is>
      </c>
      <c r="I137" s="15" t="inlineStr">
        <is>
          <t>0.604283449323821</t>
        </is>
      </c>
      <c r="J137" t="inlineStr"/>
      <c r="K137" t="inlineStr"/>
      <c r="L137" t="inlineStr"/>
    </row>
    <row r="138" ht="22" customHeight="1">
      <c r="A138" s="15" t="inlineStr">
        <is>
          <t>픽셀플러스</t>
        </is>
      </c>
      <c r="B138" t="inlineStr"/>
      <c r="C138" s="15" t="inlineStr">
        <is>
          <t>087600</t>
        </is>
      </c>
      <c r="D138" s="15" t="inlineStr">
        <is>
          <t>KOSDAQ</t>
        </is>
      </c>
      <c r="E138" s="15" t="inlineStr">
        <is>
          <t>팹리스/설계</t>
        </is>
      </c>
      <c r="F138" s="15" t="n">
        <v>54.3</v>
      </c>
      <c r="G138" s="15" t="n">
        <v>28.57</v>
      </c>
      <c r="H138" s="15" t="inlineStr">
        <is>
          <t>중립</t>
        </is>
      </c>
      <c r="I138" s="15" t="inlineStr">
        <is>
          <t>0.8353732583827468</t>
        </is>
      </c>
      <c r="J138" t="inlineStr"/>
      <c r="K138" t="inlineStr"/>
      <c r="L138" t="inlineStr"/>
    </row>
    <row r="139" ht="22" customHeight="1">
      <c r="A139" s="15" t="inlineStr">
        <is>
          <t>칩스앤미디어</t>
        </is>
      </c>
      <c r="B139" t="inlineStr"/>
      <c r="C139" s="15" t="inlineStr">
        <is>
          <t>094360</t>
        </is>
      </c>
      <c r="D139" s="15" t="inlineStr">
        <is>
          <t>KOSDAQ</t>
        </is>
      </c>
      <c r="E139" s="15" t="inlineStr">
        <is>
          <t>팹리스/설계</t>
        </is>
      </c>
      <c r="F139" s="15" t="n">
        <v>54.24</v>
      </c>
      <c r="G139" s="15" t="n">
        <v>0</v>
      </c>
      <c r="H139" s="15" t="inlineStr">
        <is>
          <t>중립</t>
        </is>
      </c>
      <c r="I139" s="15" t="inlineStr">
        <is>
          <t>0.44740744488593415</t>
        </is>
      </c>
      <c r="J139" t="inlineStr"/>
      <c r="K139" t="inlineStr"/>
      <c r="L139" t="inlineStr"/>
    </row>
    <row r="140" ht="22" customHeight="1">
      <c r="A140" s="15" t="inlineStr">
        <is>
          <t>큐에스아이</t>
        </is>
      </c>
      <c r="B140" t="inlineStr"/>
      <c r="C140" s="15" t="inlineStr">
        <is>
          <t>066310</t>
        </is>
      </c>
      <c r="D140" s="15" t="inlineStr">
        <is>
          <t>KOSDAQ</t>
        </is>
      </c>
      <c r="E140" s="15" t="inlineStr">
        <is>
          <t>IDM/제조/메모리</t>
        </is>
      </c>
      <c r="F140" s="15" t="n">
        <v>54.23</v>
      </c>
      <c r="G140" s="15" t="n">
        <v>7.14</v>
      </c>
      <c r="H140" s="15" t="inlineStr">
        <is>
          <t>중립</t>
        </is>
      </c>
      <c r="I140" s="15" t="inlineStr">
        <is>
          <t>0.5496283015517583</t>
        </is>
      </c>
      <c r="J140" t="inlineStr"/>
      <c r="K140" t="inlineStr"/>
      <c r="L140" t="inlineStr"/>
    </row>
    <row r="141" ht="22" customHeight="1">
      <c r="A141" s="15" t="inlineStr">
        <is>
          <t>유니셈</t>
        </is>
      </c>
      <c r="B141" t="inlineStr"/>
      <c r="C141" s="15" t="inlineStr">
        <is>
          <t>036200</t>
        </is>
      </c>
      <c r="D141" s="15" t="inlineStr">
        <is>
          <t>KOSDAQ</t>
        </is>
      </c>
      <c r="E141" s="15" t="inlineStr">
        <is>
          <t>장비</t>
        </is>
      </c>
      <c r="F141" s="15" t="n">
        <v>54.09</v>
      </c>
      <c r="G141" s="15" t="n">
        <v>21.43</v>
      </c>
      <c r="H141" s="15" t="inlineStr">
        <is>
          <t>중립</t>
        </is>
      </c>
      <c r="I141" s="15" t="inlineStr">
        <is>
          <t>0.751305499027411</t>
        </is>
      </c>
      <c r="J141" t="inlineStr"/>
      <c r="K141" t="inlineStr"/>
      <c r="L141" t="inlineStr"/>
    </row>
    <row r="142" ht="22" customHeight="1">
      <c r="A142" s="15" t="inlineStr">
        <is>
          <t>피에스케이홀딩스</t>
        </is>
      </c>
      <c r="B142" t="inlineStr"/>
      <c r="C142" s="15" t="inlineStr">
        <is>
          <t>031980</t>
        </is>
      </c>
      <c r="D142" s="15" t="inlineStr">
        <is>
          <t>KOSDAQ</t>
        </is>
      </c>
      <c r="E142" s="15" t="inlineStr">
        <is>
          <t>장비</t>
        </is>
      </c>
      <c r="F142" s="15" t="n">
        <v>53.85</v>
      </c>
      <c r="G142" s="15" t="n">
        <v>0</v>
      </c>
      <c r="H142" s="15" t="inlineStr">
        <is>
          <t>중립</t>
        </is>
      </c>
      <c r="I142" s="15" t="inlineStr">
        <is>
          <t>0.7521125976897308</t>
        </is>
      </c>
      <c r="J142" t="inlineStr"/>
      <c r="K142" t="inlineStr"/>
      <c r="L142" t="inlineStr"/>
    </row>
    <row r="143" ht="22" customHeight="1">
      <c r="A143" s="15" t="inlineStr">
        <is>
          <t>워트</t>
        </is>
      </c>
      <c r="B143" t="inlineStr"/>
      <c r="C143" s="15" t="inlineStr">
        <is>
          <t>396470</t>
        </is>
      </c>
      <c r="D143" s="15" t="inlineStr">
        <is>
          <t>KOSDAQ</t>
        </is>
      </c>
      <c r="E143" s="15" t="inlineStr">
        <is>
          <t>장비</t>
        </is>
      </c>
      <c r="F143" s="15" t="n">
        <v>53.84</v>
      </c>
      <c r="G143" s="15" t="n">
        <v>7.14</v>
      </c>
      <c r="H143" s="15" t="inlineStr">
        <is>
          <t>중립</t>
        </is>
      </c>
      <c r="I143" s="15" t="inlineStr">
        <is>
          <t>0.6073344328439819</t>
        </is>
      </c>
      <c r="J143" t="inlineStr"/>
      <c r="K143" t="inlineStr"/>
      <c r="L143" t="inlineStr"/>
    </row>
    <row r="144" ht="22" customHeight="1">
      <c r="A144" s="15" t="inlineStr">
        <is>
          <t>엘오티베큠</t>
        </is>
      </c>
      <c r="B144" t="inlineStr"/>
      <c r="C144" s="15" t="inlineStr">
        <is>
          <t>083310</t>
        </is>
      </c>
      <c r="D144" s="15" t="inlineStr">
        <is>
          <t>KOSDAQ</t>
        </is>
      </c>
      <c r="E144" s="15" t="inlineStr">
        <is>
          <t>IDM/제조/메모리</t>
        </is>
      </c>
      <c r="F144" s="15" t="n">
        <v>53.8</v>
      </c>
      <c r="G144" s="15" t="n">
        <v>21.43</v>
      </c>
      <c r="H144" s="15" t="inlineStr">
        <is>
          <t>중립</t>
        </is>
      </c>
      <c r="I144" s="15" t="inlineStr">
        <is>
          <t>0.860578291373445</t>
        </is>
      </c>
      <c r="J144" t="inlineStr"/>
      <c r="K144" t="inlineStr"/>
      <c r="L144" t="inlineStr"/>
    </row>
    <row r="145" ht="22" customHeight="1">
      <c r="A145" s="15" t="inlineStr">
        <is>
          <t>비씨엔씨</t>
        </is>
      </c>
      <c r="B145" t="inlineStr"/>
      <c r="C145" s="15" t="inlineStr">
        <is>
          <t>146320</t>
        </is>
      </c>
      <c r="D145" s="15" t="inlineStr">
        <is>
          <t>KOSDAQ</t>
        </is>
      </c>
      <c r="E145" s="15" t="inlineStr">
        <is>
          <t>IDM/제조/메모리</t>
        </is>
      </c>
      <c r="F145" s="15" t="n">
        <v>53.66</v>
      </c>
      <c r="G145" s="15" t="n">
        <v>28.57</v>
      </c>
      <c r="H145" s="15" t="inlineStr">
        <is>
          <t>중립</t>
        </is>
      </c>
      <c r="I145" s="15" t="inlineStr">
        <is>
          <t>0.7033805368548921</t>
        </is>
      </c>
      <c r="J145" t="inlineStr"/>
      <c r="K145" t="inlineStr"/>
      <c r="L145" t="inlineStr"/>
    </row>
    <row r="146" ht="22" customHeight="1">
      <c r="A146" s="15" t="inlineStr">
        <is>
          <t>티엘비</t>
        </is>
      </c>
      <c r="B146" t="inlineStr"/>
      <c r="C146" s="15" t="inlineStr">
        <is>
          <t>356860</t>
        </is>
      </c>
      <c r="D146" s="15" t="inlineStr">
        <is>
          <t>KOSDAQ</t>
        </is>
      </c>
      <c r="E146" s="15" t="inlineStr">
        <is>
          <t>IDM/제조/메모리</t>
        </is>
      </c>
      <c r="F146" s="15" t="n">
        <v>53.62</v>
      </c>
      <c r="G146" s="15" t="n">
        <v>7.14</v>
      </c>
      <c r="H146" s="15" t="inlineStr">
        <is>
          <t>중립</t>
        </is>
      </c>
      <c r="I146" s="15" t="inlineStr">
        <is>
          <t>0.8509295904965918</t>
        </is>
      </c>
      <c r="J146" t="inlineStr"/>
      <c r="K146" t="inlineStr"/>
      <c r="L146" t="inlineStr"/>
    </row>
    <row r="147" ht="22" customHeight="1">
      <c r="A147" s="15" t="inlineStr">
        <is>
          <t>피에스케이</t>
        </is>
      </c>
      <c r="B147" t="inlineStr"/>
      <c r="C147" s="15" t="inlineStr">
        <is>
          <t>319660</t>
        </is>
      </c>
      <c r="D147" s="15" t="inlineStr">
        <is>
          <t>KOSDAQ GLOBAL</t>
        </is>
      </c>
      <c r="E147" s="15" t="inlineStr">
        <is>
          <t>장비</t>
        </is>
      </c>
      <c r="F147" s="15" t="n">
        <v>53.57</v>
      </c>
      <c r="G147" s="15" t="n">
        <v>0</v>
      </c>
      <c r="H147" s="15" t="inlineStr">
        <is>
          <t>중립</t>
        </is>
      </c>
      <c r="I147" s="15" t="inlineStr">
        <is>
          <t>0.7072072873445469</t>
        </is>
      </c>
      <c r="J147" t="inlineStr"/>
      <c r="K147" t="inlineStr"/>
      <c r="L147" t="inlineStr"/>
    </row>
    <row r="148" ht="22" customHeight="1">
      <c r="A148" s="15" t="inlineStr">
        <is>
          <t>해성디에스</t>
        </is>
      </c>
      <c r="B148" t="inlineStr"/>
      <c r="C148" s="15" t="inlineStr">
        <is>
          <t>195870</t>
        </is>
      </c>
      <c r="D148" s="15" t="inlineStr">
        <is>
          <t>KOSPI</t>
        </is>
      </c>
      <c r="E148" s="15" t="inlineStr">
        <is>
          <t>후공정/패키징/테스트</t>
        </is>
      </c>
      <c r="F148" s="15" t="n">
        <v>53.33</v>
      </c>
      <c r="G148" s="15" t="n">
        <v>7.14</v>
      </c>
      <c r="H148" s="15" t="inlineStr">
        <is>
          <t>중립</t>
        </is>
      </c>
      <c r="I148" s="15" t="inlineStr">
        <is>
          <t>0.8942165906576592</t>
        </is>
      </c>
      <c r="J148" t="inlineStr"/>
      <c r="K148" t="inlineStr"/>
      <c r="L148" t="inlineStr"/>
    </row>
    <row r="149" ht="22" customHeight="1">
      <c r="A149" s="15" t="inlineStr">
        <is>
          <t>심텍홀딩스</t>
        </is>
      </c>
      <c r="B149" t="inlineStr"/>
      <c r="C149" s="15" t="inlineStr">
        <is>
          <t>036710</t>
        </is>
      </c>
      <c r="D149" s="15" t="inlineStr">
        <is>
          <t>KOSDAQ</t>
        </is>
      </c>
      <c r="E149" s="15" t="inlineStr">
        <is>
          <t>부품/기판</t>
        </is>
      </c>
      <c r="F149" s="15" t="n">
        <v>53.24</v>
      </c>
      <c r="G149" s="15" t="n">
        <v>78.56999999999999</v>
      </c>
      <c r="H149" s="15" t="inlineStr">
        <is>
          <t>중립</t>
        </is>
      </c>
      <c r="I149" s="15" t="inlineStr">
        <is>
          <t>0.726519318190825</t>
        </is>
      </c>
      <c r="J149" t="inlineStr"/>
      <c r="K149" t="inlineStr"/>
      <c r="L149" t="inlineStr"/>
    </row>
    <row r="150" ht="22" customHeight="1">
      <c r="A150" s="15" t="inlineStr">
        <is>
          <t>하나머티리얼즈</t>
        </is>
      </c>
      <c r="B150" t="inlineStr"/>
      <c r="C150" s="15" t="inlineStr">
        <is>
          <t>166090</t>
        </is>
      </c>
      <c r="D150" s="15" t="inlineStr">
        <is>
          <t>KOSDAQ GLOBAL</t>
        </is>
      </c>
      <c r="E150" s="15" t="inlineStr">
        <is>
          <t>IDM/제조/메모리</t>
        </is>
      </c>
      <c r="F150" s="15" t="n">
        <v>53.22</v>
      </c>
      <c r="G150" s="15" t="n">
        <v>0</v>
      </c>
      <c r="H150" s="15" t="inlineStr">
        <is>
          <t>중립</t>
        </is>
      </c>
      <c r="I150" s="15" t="inlineStr">
        <is>
          <t>0.6425667923365267</t>
        </is>
      </c>
      <c r="J150" t="inlineStr"/>
      <c r="K150" t="inlineStr"/>
      <c r="L150" t="inlineStr"/>
    </row>
    <row r="151" ht="22" customHeight="1">
      <c r="A151" s="15" t="inlineStr">
        <is>
          <t>엠디바이스</t>
        </is>
      </c>
      <c r="B151" t="inlineStr"/>
      <c r="C151" s="15" t="inlineStr">
        <is>
          <t>226590</t>
        </is>
      </c>
      <c r="D151" s="15" t="inlineStr">
        <is>
          <t>KOSDAQ</t>
        </is>
      </c>
      <c r="E151" s="15" t="inlineStr">
        <is>
          <t>부품/기판</t>
        </is>
      </c>
      <c r="F151" s="15" t="n">
        <v>53.19</v>
      </c>
      <c r="G151" s="15" t="n">
        <v>42.86</v>
      </c>
      <c r="H151" s="15" t="inlineStr">
        <is>
          <t>중립</t>
        </is>
      </c>
      <c r="I151" s="15" t="inlineStr">
        <is>
          <t>0.7655361666958056</t>
        </is>
      </c>
      <c r="J151" t="inlineStr"/>
      <c r="K151" t="inlineStr"/>
      <c r="L151" t="inlineStr"/>
    </row>
    <row r="152" ht="22" customHeight="1">
      <c r="A152" s="15" t="inlineStr">
        <is>
          <t>제이아이테크</t>
        </is>
      </c>
      <c r="B152" t="inlineStr"/>
      <c r="C152" s="15" t="inlineStr">
        <is>
          <t>417500</t>
        </is>
      </c>
      <c r="D152" s="15" t="inlineStr">
        <is>
          <t>KOSDAQ</t>
        </is>
      </c>
      <c r="E152" s="15" t="inlineStr">
        <is>
          <t>소재</t>
        </is>
      </c>
      <c r="F152" s="15" t="n">
        <v>52.64</v>
      </c>
      <c r="G152" s="15" t="n">
        <v>7.14</v>
      </c>
      <c r="H152" s="15" t="inlineStr">
        <is>
          <t>중립</t>
        </is>
      </c>
      <c r="I152" s="15" t="inlineStr">
        <is>
          <t>0.8525733569966568</t>
        </is>
      </c>
      <c r="J152" t="inlineStr"/>
      <c r="K152" t="inlineStr"/>
      <c r="L152" t="inlineStr"/>
    </row>
    <row r="153" ht="22" customHeight="1">
      <c r="A153" s="15" t="inlineStr">
        <is>
          <t>브이엠</t>
        </is>
      </c>
      <c r="B153" t="inlineStr"/>
      <c r="C153" s="15" t="inlineStr">
        <is>
          <t>089970</t>
        </is>
      </c>
      <c r="D153" s="15" t="inlineStr">
        <is>
          <t>KOSDAQ</t>
        </is>
      </c>
      <c r="E153" s="15" t="inlineStr">
        <is>
          <t>장비</t>
        </is>
      </c>
      <c r="F153" s="15" t="n">
        <v>52.04</v>
      </c>
      <c r="G153" s="15" t="n">
        <v>0</v>
      </c>
      <c r="H153" s="15" t="inlineStr">
        <is>
          <t>중립</t>
        </is>
      </c>
      <c r="I153" s="15" t="inlineStr">
        <is>
          <t>0.737579554357605</t>
        </is>
      </c>
      <c r="J153" t="inlineStr"/>
      <c r="K153" t="inlineStr"/>
      <c r="L153" t="inlineStr"/>
    </row>
    <row r="154" ht="22" customHeight="1">
      <c r="A154" s="15" t="inlineStr">
        <is>
          <t>ISC</t>
        </is>
      </c>
      <c r="B154" t="inlineStr"/>
      <c r="C154" s="15" t="inlineStr">
        <is>
          <t>095340</t>
        </is>
      </c>
      <c r="D154" s="15" t="inlineStr">
        <is>
          <t>KOSDAQ GLOBAL</t>
        </is>
      </c>
      <c r="E154" s="15" t="inlineStr">
        <is>
          <t>후공정/패키징/테스트</t>
        </is>
      </c>
      <c r="F154" s="15" t="n">
        <v>51.76</v>
      </c>
      <c r="G154" s="15" t="n">
        <v>0</v>
      </c>
      <c r="H154" s="15" t="inlineStr">
        <is>
          <t>중립</t>
        </is>
      </c>
      <c r="I154" s="15" t="inlineStr">
        <is>
          <t>0.5753148434947495</t>
        </is>
      </c>
      <c r="J154" t="inlineStr"/>
      <c r="K154" t="inlineStr"/>
      <c r="L154" t="inlineStr"/>
    </row>
    <row r="155" ht="22" customHeight="1">
      <c r="A155" s="15" t="inlineStr">
        <is>
          <t>원익QnC</t>
        </is>
      </c>
      <c r="B155" t="inlineStr"/>
      <c r="C155" s="15" t="inlineStr">
        <is>
          <t>074600</t>
        </is>
      </c>
      <c r="D155" s="15" t="inlineStr">
        <is>
          <t>KOSDAQ GLOBAL</t>
        </is>
      </c>
      <c r="E155" s="15" t="inlineStr">
        <is>
          <t>소재</t>
        </is>
      </c>
      <c r="F155" s="15" t="n">
        <v>51.56</v>
      </c>
      <c r="G155" s="15" t="n">
        <v>28.57</v>
      </c>
      <c r="H155" s="15" t="inlineStr">
        <is>
          <t>중립</t>
        </is>
      </c>
      <c r="I155" s="15" t="inlineStr">
        <is>
          <t>0.4211836082778998</t>
        </is>
      </c>
      <c r="J155" t="inlineStr"/>
      <c r="K155" t="inlineStr"/>
      <c r="L155" t="inlineStr"/>
    </row>
    <row r="156" ht="22" customHeight="1">
      <c r="A156" s="15" t="inlineStr">
        <is>
          <t>엠케이전자</t>
        </is>
      </c>
      <c r="B156" t="inlineStr"/>
      <c r="C156" s="15" t="inlineStr">
        <is>
          <t>033160</t>
        </is>
      </c>
      <c r="D156" s="15" t="inlineStr">
        <is>
          <t>KOSDAQ</t>
        </is>
      </c>
      <c r="E156" s="15" t="inlineStr">
        <is>
          <t>소재</t>
        </is>
      </c>
      <c r="F156" s="15" t="n">
        <v>51.05</v>
      </c>
      <c r="G156" s="15" t="n">
        <v>57.14</v>
      </c>
      <c r="H156" s="15" t="inlineStr">
        <is>
          <t>중립</t>
        </is>
      </c>
      <c r="I156" s="15" t="inlineStr">
        <is>
          <t>0.801168459079624</t>
        </is>
      </c>
      <c r="J156" t="inlineStr"/>
      <c r="K156" t="inlineStr"/>
      <c r="L156" t="inlineStr"/>
    </row>
    <row r="157" ht="22" customHeight="1">
      <c r="A157" s="15" t="inlineStr">
        <is>
          <t>웰킵스하이텍</t>
        </is>
      </c>
      <c r="B157" t="inlineStr"/>
      <c r="C157" s="15" t="inlineStr">
        <is>
          <t>043590</t>
        </is>
      </c>
      <c r="D157" s="15" t="inlineStr">
        <is>
          <t>KOSDAQ</t>
        </is>
      </c>
      <c r="E157" s="15" t="inlineStr">
        <is>
          <t>IDM/제조/메모리</t>
        </is>
      </c>
      <c r="F157" s="15" t="n">
        <v>50.87</v>
      </c>
      <c r="G157" s="15" t="n">
        <v>71.43000000000001</v>
      </c>
      <c r="H157" s="15" t="inlineStr">
        <is>
          <t>중립</t>
        </is>
      </c>
      <c r="I157" s="15" t="inlineStr">
        <is>
          <t>0.7753200487478359</t>
        </is>
      </c>
      <c r="J157" t="inlineStr"/>
      <c r="K157" t="inlineStr"/>
      <c r="L157" t="inlineStr"/>
    </row>
    <row r="158" ht="22" customHeight="1">
      <c r="A158" s="15" t="inlineStr">
        <is>
          <t>타이거일렉</t>
        </is>
      </c>
      <c r="B158" t="inlineStr"/>
      <c r="C158" s="15" t="inlineStr">
        <is>
          <t>219130</t>
        </is>
      </c>
      <c r="D158" s="15" t="inlineStr">
        <is>
          <t>KOSDAQ</t>
        </is>
      </c>
      <c r="E158" s="15" t="inlineStr">
        <is>
          <t>부품/기판</t>
        </is>
      </c>
      <c r="F158" s="15" t="n">
        <v>50.67</v>
      </c>
      <c r="G158" s="15" t="n">
        <v>14.29</v>
      </c>
      <c r="H158" s="15" t="inlineStr">
        <is>
          <t>중립</t>
        </is>
      </c>
      <c r="I158" s="15" t="inlineStr">
        <is>
          <t>0.6463040733623892</t>
        </is>
      </c>
      <c r="J158" t="inlineStr"/>
      <c r="K158" t="inlineStr"/>
      <c r="L158" t="inlineStr"/>
    </row>
    <row r="159" ht="22" customHeight="1">
      <c r="A159" s="15" t="inlineStr">
        <is>
          <t>이수페타시스</t>
        </is>
      </c>
      <c r="B159" t="inlineStr"/>
      <c r="C159" s="15" t="inlineStr">
        <is>
          <t>007660</t>
        </is>
      </c>
      <c r="D159" s="15" t="inlineStr">
        <is>
          <t>KOSPI</t>
        </is>
      </c>
      <c r="E159" s="15" t="inlineStr">
        <is>
          <t>부품/기판</t>
        </is>
      </c>
      <c r="F159" s="15" t="n">
        <v>50.62</v>
      </c>
      <c r="G159" s="15" t="n">
        <v>0</v>
      </c>
      <c r="H159" s="15" t="inlineStr">
        <is>
          <t>중립</t>
        </is>
      </c>
      <c r="I159" s="15" t="inlineStr">
        <is>
          <t>0.599589540069591</t>
        </is>
      </c>
      <c r="J159" t="inlineStr"/>
      <c r="K159" t="inlineStr"/>
      <c r="L159" t="inlineStr"/>
    </row>
    <row r="160" ht="22" customHeight="1">
      <c r="A160" s="15" t="inlineStr">
        <is>
          <t>에이팩트</t>
        </is>
      </c>
      <c r="B160" t="inlineStr"/>
      <c r="C160" s="15" t="inlineStr">
        <is>
          <t>200470</t>
        </is>
      </c>
      <c r="D160" s="15" t="inlineStr">
        <is>
          <t>KOSDAQ</t>
        </is>
      </c>
      <c r="E160" s="15" t="inlineStr">
        <is>
          <t>후공정/패키징/테스트</t>
        </is>
      </c>
      <c r="F160" s="15" t="n">
        <v>50.27</v>
      </c>
      <c r="G160" s="15" t="n">
        <v>42.86</v>
      </c>
      <c r="H160" s="15" t="inlineStr">
        <is>
          <t>중립</t>
        </is>
      </c>
      <c r="I160" s="15" t="inlineStr">
        <is>
          <t>0.8010795762920226</t>
        </is>
      </c>
      <c r="J160" t="inlineStr"/>
      <c r="K160" t="inlineStr"/>
      <c r="L160" t="inlineStr"/>
    </row>
    <row r="161" ht="22" customHeight="1">
      <c r="A161" s="15" t="inlineStr">
        <is>
          <t>와이엠티</t>
        </is>
      </c>
      <c r="B161" t="inlineStr"/>
      <c r="C161" s="15" t="inlineStr">
        <is>
          <t>251370</t>
        </is>
      </c>
      <c r="D161" s="15" t="inlineStr">
        <is>
          <t>KOSDAQ</t>
        </is>
      </c>
      <c r="E161" s="15" t="inlineStr">
        <is>
          <t>소재</t>
        </is>
      </c>
      <c r="F161" s="15" t="n">
        <v>49.9</v>
      </c>
      <c r="G161" s="15" t="n">
        <v>21.43</v>
      </c>
      <c r="H161" s="15" t="inlineStr">
        <is>
          <t>중립</t>
        </is>
      </c>
      <c r="I161" s="15" t="inlineStr">
        <is>
          <t>0.730943868859095</t>
        </is>
      </c>
      <c r="J161" t="inlineStr"/>
      <c r="K161" t="inlineStr"/>
      <c r="L161" t="inlineStr"/>
    </row>
    <row r="162" ht="22" customHeight="1">
      <c r="A162" s="15" t="inlineStr">
        <is>
          <t>아이케이세미콘</t>
        </is>
      </c>
      <c r="B162" t="inlineStr"/>
      <c r="C162" s="15" t="inlineStr">
        <is>
          <t>149010</t>
        </is>
      </c>
      <c r="D162" s="15" t="inlineStr">
        <is>
          <t>KONEX</t>
        </is>
      </c>
      <c r="E162" s="15" t="inlineStr">
        <is>
          <t>팹리스/설계</t>
        </is>
      </c>
      <c r="F162" s="15" t="n">
        <v>49.8</v>
      </c>
      <c r="G162" s="15" t="n">
        <v>64.29000000000001</v>
      </c>
      <c r="H162" s="15" t="inlineStr">
        <is>
          <t>중립</t>
        </is>
      </c>
      <c r="I162" s="15" t="inlineStr">
        <is>
          <t>0.9626560040296214</t>
        </is>
      </c>
      <c r="J162" t="inlineStr"/>
      <c r="K162" t="inlineStr"/>
      <c r="L162" t="inlineStr"/>
    </row>
    <row r="163" ht="22" customHeight="1">
      <c r="A163" s="15" t="inlineStr">
        <is>
          <t>코세스</t>
        </is>
      </c>
      <c r="B163" t="inlineStr"/>
      <c r="C163" s="15" t="inlineStr">
        <is>
          <t>089890</t>
        </is>
      </c>
      <c r="D163" s="15" t="inlineStr">
        <is>
          <t>KOSDAQ</t>
        </is>
      </c>
      <c r="E163" s="15" t="inlineStr">
        <is>
          <t>장비</t>
        </is>
      </c>
      <c r="F163" s="15" t="n">
        <v>49.79</v>
      </c>
      <c r="G163" s="15" t="n">
        <v>7.14</v>
      </c>
      <c r="H163" s="15" t="inlineStr">
        <is>
          <t>중립</t>
        </is>
      </c>
      <c r="I163" s="15" t="inlineStr">
        <is>
          <t>0.7228094449358575</t>
        </is>
      </c>
      <c r="J163" t="inlineStr"/>
      <c r="K163" t="inlineStr"/>
      <c r="L163" t="inlineStr"/>
    </row>
    <row r="164" ht="22" customHeight="1">
      <c r="A164" s="15" t="inlineStr">
        <is>
          <t>코스텍시스템</t>
        </is>
      </c>
      <c r="B164" t="inlineStr"/>
      <c r="C164" s="15" t="inlineStr">
        <is>
          <t>169670</t>
        </is>
      </c>
      <c r="D164" s="15" t="inlineStr">
        <is>
          <t>KONEX</t>
        </is>
      </c>
      <c r="E164" s="15" t="inlineStr">
        <is>
          <t>장비</t>
        </is>
      </c>
      <c r="F164" s="15" t="n">
        <v>49.6</v>
      </c>
      <c r="G164" s="15" t="n">
        <v>21.43</v>
      </c>
      <c r="H164" s="15" t="inlineStr">
        <is>
          <t>중립</t>
        </is>
      </c>
      <c r="I164" s="15" t="inlineStr">
        <is>
          <t>0.9640840061970892</t>
        </is>
      </c>
      <c r="J164" t="inlineStr"/>
      <c r="K164" t="inlineStr"/>
      <c r="L164" t="inlineStr"/>
    </row>
    <row r="165" ht="22" customHeight="1">
      <c r="A165" s="15" t="inlineStr">
        <is>
          <t>삼성전기</t>
        </is>
      </c>
      <c r="B165" t="inlineStr"/>
      <c r="C165" s="15" t="inlineStr">
        <is>
          <t>009150</t>
        </is>
      </c>
      <c r="D165" s="15" t="inlineStr">
        <is>
          <t>KOSPI</t>
        </is>
      </c>
      <c r="E165" s="15" t="inlineStr">
        <is>
          <t>후공정/패키징/테스트</t>
        </is>
      </c>
      <c r="F165" s="15" t="n">
        <v>49.57</v>
      </c>
      <c r="G165" s="15" t="n">
        <v>0</v>
      </c>
      <c r="H165" s="15" t="inlineStr">
        <is>
          <t>중립</t>
        </is>
      </c>
      <c r="I165" s="15" t="inlineStr">
        <is>
          <t>0.5297655139045552</t>
        </is>
      </c>
      <c r="J165" t="inlineStr"/>
      <c r="K165" t="inlineStr"/>
      <c r="L165" t="inlineStr"/>
    </row>
    <row r="166" ht="22" customHeight="1">
      <c r="A166" s="15" t="inlineStr">
        <is>
          <t>티씨케이</t>
        </is>
      </c>
      <c r="B166" t="inlineStr"/>
      <c r="C166" s="15" t="inlineStr">
        <is>
          <t>064760</t>
        </is>
      </c>
      <c r="D166" s="15" t="inlineStr">
        <is>
          <t>KOSDAQ GLOBAL</t>
        </is>
      </c>
      <c r="E166" s="15" t="inlineStr">
        <is>
          <t>소재</t>
        </is>
      </c>
      <c r="F166" s="15" t="n">
        <v>49.56</v>
      </c>
      <c r="G166" s="15" t="n">
        <v>0</v>
      </c>
      <c r="H166" s="15" t="inlineStr">
        <is>
          <t>중립</t>
        </is>
      </c>
      <c r="I166" s="15" t="inlineStr">
        <is>
          <t>0.6535546916238612</t>
        </is>
      </c>
      <c r="J166" t="inlineStr"/>
      <c r="K166" t="inlineStr"/>
      <c r="L166" t="inlineStr"/>
    </row>
    <row r="167" ht="22" customHeight="1">
      <c r="A167" s="15" t="inlineStr">
        <is>
          <t>텔레칩스</t>
        </is>
      </c>
      <c r="B167" t="inlineStr"/>
      <c r="C167" s="15" t="inlineStr">
        <is>
          <t>054450</t>
        </is>
      </c>
      <c r="D167" s="15" t="inlineStr">
        <is>
          <t>KOSDAQ</t>
        </is>
      </c>
      <c r="E167" s="15" t="inlineStr">
        <is>
          <t>팹리스/설계</t>
        </is>
      </c>
      <c r="F167" s="15" t="n">
        <v>49.43</v>
      </c>
      <c r="G167" s="15" t="n">
        <v>71.43000000000001</v>
      </c>
      <c r="H167" s="15" t="inlineStr">
        <is>
          <t>중립</t>
        </is>
      </c>
      <c r="I167" s="15" t="inlineStr">
        <is>
          <t>0.5716537225721987</t>
        </is>
      </c>
      <c r="J167" t="inlineStr"/>
      <c r="K167" t="inlineStr"/>
      <c r="L167" t="inlineStr"/>
    </row>
    <row r="168" ht="22" customHeight="1">
      <c r="A168" s="15" t="inlineStr">
        <is>
          <t>에이엘티</t>
        </is>
      </c>
      <c r="B168" t="inlineStr"/>
      <c r="C168" s="15" t="inlineStr">
        <is>
          <t>172670</t>
        </is>
      </c>
      <c r="D168" s="15" t="inlineStr">
        <is>
          <t>KOSDAQ</t>
        </is>
      </c>
      <c r="E168" s="15" t="inlineStr">
        <is>
          <t>후공정/패키징/테스트</t>
        </is>
      </c>
      <c r="F168" s="15" t="n">
        <v>48.77</v>
      </c>
      <c r="G168" s="15" t="n">
        <v>35.71</v>
      </c>
      <c r="H168" s="15" t="inlineStr">
        <is>
          <t>중립</t>
        </is>
      </c>
      <c r="I168" s="15" t="inlineStr">
        <is>
          <t>0.5308622758067901</t>
        </is>
      </c>
      <c r="J168" t="inlineStr"/>
      <c r="K168" t="inlineStr"/>
      <c r="L168" t="inlineStr"/>
    </row>
    <row r="169" ht="22" customHeight="1">
      <c r="A169" s="15" t="inlineStr">
        <is>
          <t>알파칩스</t>
        </is>
      </c>
      <c r="B169" t="inlineStr"/>
      <c r="C169" s="15" t="inlineStr">
        <is>
          <t>117670</t>
        </is>
      </c>
      <c r="D169" s="15" t="inlineStr">
        <is>
          <t>KOSDAQ</t>
        </is>
      </c>
      <c r="E169" s="15" t="inlineStr">
        <is>
          <t>팹리스/설계</t>
        </is>
      </c>
      <c r="F169" s="15" t="n">
        <v>48.26</v>
      </c>
      <c r="G169" s="15" t="n">
        <v>28.57</v>
      </c>
      <c r="H169" s="15" t="inlineStr">
        <is>
          <t>중립</t>
        </is>
      </c>
      <c r="I169" s="15" t="inlineStr">
        <is>
          <t>0.7398835550872951</t>
        </is>
      </c>
      <c r="J169" t="inlineStr"/>
      <c r="K169" t="inlineStr"/>
      <c r="L169" t="inlineStr"/>
    </row>
    <row r="170" ht="22" customHeight="1">
      <c r="A170" s="15" t="inlineStr">
        <is>
          <t>큐알티</t>
        </is>
      </c>
      <c r="B170" t="inlineStr"/>
      <c r="C170" s="15" t="inlineStr">
        <is>
          <t>405100</t>
        </is>
      </c>
      <c r="D170" s="15" t="inlineStr">
        <is>
          <t>KOSDAQ</t>
        </is>
      </c>
      <c r="E170" s="15" t="inlineStr">
        <is>
          <t>후공정/패키징/테스트</t>
        </is>
      </c>
      <c r="F170" s="15" t="n">
        <v>47.82</v>
      </c>
      <c r="G170" s="15" t="n">
        <v>0</v>
      </c>
      <c r="H170" s="15" t="inlineStr">
        <is>
          <t>중립</t>
        </is>
      </c>
      <c r="I170" s="15" t="inlineStr">
        <is>
          <t>0.4463498311096922</t>
        </is>
      </c>
      <c r="J170" t="inlineStr"/>
      <c r="K170" t="inlineStr"/>
      <c r="L170" t="inlineStr"/>
    </row>
    <row r="171" ht="22" customHeight="1">
      <c r="A171" s="15" t="inlineStr">
        <is>
          <t>테크엘</t>
        </is>
      </c>
      <c r="B171" t="inlineStr"/>
      <c r="C171" s="15" t="inlineStr">
        <is>
          <t>064520</t>
        </is>
      </c>
      <c r="D171" s="15" t="inlineStr">
        <is>
          <t>KOSDAQ</t>
        </is>
      </c>
      <c r="E171" s="15" t="inlineStr">
        <is>
          <t>IDM/제조/메모리</t>
        </is>
      </c>
      <c r="F171" s="15" t="n">
        <v>47.57</v>
      </c>
      <c r="G171" s="15" t="n">
        <v>50</v>
      </c>
      <c r="H171" s="15" t="inlineStr">
        <is>
          <t>중립</t>
        </is>
      </c>
      <c r="I171" s="15" t="inlineStr">
        <is>
          <t>0.7806095936743286</t>
        </is>
      </c>
      <c r="J171" t="inlineStr"/>
      <c r="K171" t="inlineStr"/>
      <c r="L171" t="inlineStr"/>
    </row>
    <row r="172" ht="22" customHeight="1">
      <c r="A172" s="15" t="inlineStr">
        <is>
          <t>HPSP</t>
        </is>
      </c>
      <c r="B172" t="inlineStr"/>
      <c r="C172" s="15" t="inlineStr">
        <is>
          <t>403870</t>
        </is>
      </c>
      <c r="D172" s="15" t="inlineStr">
        <is>
          <t>KOSDAQ GLOBAL</t>
        </is>
      </c>
      <c r="E172" s="15" t="inlineStr">
        <is>
          <t>장비</t>
        </is>
      </c>
      <c r="F172" s="15" t="n">
        <v>47.52</v>
      </c>
      <c r="G172" s="15" t="n">
        <v>0</v>
      </c>
      <c r="H172" s="15" t="inlineStr">
        <is>
          <t>중립</t>
        </is>
      </c>
      <c r="I172" s="15" t="inlineStr">
        <is>
          <t>0.7108284021978194</t>
        </is>
      </c>
      <c r="J172" t="inlineStr"/>
      <c r="K172" t="inlineStr"/>
      <c r="L172" t="inlineStr"/>
    </row>
    <row r="173" ht="22" customHeight="1">
      <c r="A173" s="15" t="inlineStr">
        <is>
          <t>라온로보틱스</t>
        </is>
      </c>
      <c r="B173" t="inlineStr"/>
      <c r="C173" s="15" t="inlineStr">
        <is>
          <t>232680</t>
        </is>
      </c>
      <c r="D173" s="15" t="inlineStr">
        <is>
          <t>KOSDAQ</t>
        </is>
      </c>
      <c r="E173" s="15" t="inlineStr">
        <is>
          <t>팹리스/설계</t>
        </is>
      </c>
      <c r="F173" s="15" t="n">
        <v>47.45</v>
      </c>
      <c r="G173" s="15" t="n">
        <v>14.29</v>
      </c>
      <c r="H173" s="15" t="inlineStr">
        <is>
          <t>중립</t>
        </is>
      </c>
      <c r="I173" s="15" t="inlineStr">
        <is>
          <t>0.7863374675167921</t>
        </is>
      </c>
      <c r="J173" t="inlineStr"/>
      <c r="K173" t="inlineStr"/>
      <c r="L173" t="inlineStr"/>
    </row>
    <row r="174" ht="22" customHeight="1">
      <c r="A174" s="15" t="inlineStr">
        <is>
          <t>서울반도체</t>
        </is>
      </c>
      <c r="B174" t="inlineStr"/>
      <c r="C174" s="15" t="inlineStr">
        <is>
          <t>046890</t>
        </is>
      </c>
      <c r="D174" s="15" t="inlineStr">
        <is>
          <t>KOSDAQ GLOBAL</t>
        </is>
      </c>
      <c r="E174" s="15" t="inlineStr">
        <is>
          <t>IDM/제조/메모리</t>
        </is>
      </c>
      <c r="F174" s="15" t="n">
        <v>47.13</v>
      </c>
      <c r="G174" s="15" t="n">
        <v>42.86</v>
      </c>
      <c r="H174" s="15" t="inlineStr">
        <is>
          <t>중립</t>
        </is>
      </c>
      <c r="I174" s="15" t="inlineStr">
        <is>
          <t>0.8223266790603506</t>
        </is>
      </c>
      <c r="J174" t="inlineStr"/>
      <c r="K174" t="inlineStr"/>
      <c r="L174" t="inlineStr"/>
    </row>
    <row r="175" ht="22" customHeight="1">
      <c r="A175" s="15" t="inlineStr">
        <is>
          <t>한미반도체</t>
        </is>
      </c>
      <c r="B175" s="15" t="inlineStr">
        <is>
          <t>hanmi</t>
        </is>
      </c>
      <c r="C175" s="15" t="inlineStr">
        <is>
          <t>042700</t>
        </is>
      </c>
      <c r="D175" s="15" t="inlineStr">
        <is>
          <t>KOSPI</t>
        </is>
      </c>
      <c r="E175" s="15" t="inlineStr">
        <is>
          <t>후공정/패키징/테스트</t>
        </is>
      </c>
      <c r="F175" s="15" t="n">
        <v>47.13</v>
      </c>
      <c r="G175" s="15" t="n">
        <v>0</v>
      </c>
      <c r="H175" s="15" t="inlineStr">
        <is>
          <t>중립</t>
        </is>
      </c>
      <c r="I175" s="15" t="inlineStr">
        <is>
          <t>0.618072727307107</t>
        </is>
      </c>
      <c r="J175" s="15" t="inlineStr">
        <is>
          <t>예</t>
        </is>
      </c>
      <c r="K175" t="inlineStr"/>
      <c r="L175" t="inlineStr"/>
    </row>
    <row r="176" ht="22" customHeight="1">
      <c r="A176" s="15" t="inlineStr">
        <is>
          <t>큐엠씨</t>
        </is>
      </c>
      <c r="B176" t="inlineStr"/>
      <c r="C176" s="15" t="inlineStr">
        <is>
          <t>136660</t>
        </is>
      </c>
      <c r="D176" s="15" t="inlineStr">
        <is>
          <t>KONEX</t>
        </is>
      </c>
      <c r="E176" s="15" t="inlineStr">
        <is>
          <t>후공정/패키징/테스트</t>
        </is>
      </c>
      <c r="F176" s="15" t="n">
        <v>47.11</v>
      </c>
      <c r="G176" s="15" t="n">
        <v>28.57</v>
      </c>
      <c r="H176" s="15" t="inlineStr">
        <is>
          <t>중립</t>
        </is>
      </c>
      <c r="I176" s="15" t="inlineStr">
        <is>
          <t>0.9731046168075388</t>
        </is>
      </c>
      <c r="J176" t="inlineStr"/>
      <c r="K176" t="inlineStr"/>
      <c r="L176" t="inlineStr"/>
    </row>
    <row r="177" ht="22" customHeight="1">
      <c r="A177" s="15" t="inlineStr">
        <is>
          <t>동진쎄미켐</t>
        </is>
      </c>
      <c r="B177" t="inlineStr"/>
      <c r="C177" s="15" t="inlineStr">
        <is>
          <t>005290</t>
        </is>
      </c>
      <c r="D177" s="15" t="inlineStr">
        <is>
          <t>KOSDAQ</t>
        </is>
      </c>
      <c r="E177" s="15" t="inlineStr">
        <is>
          <t>소재</t>
        </is>
      </c>
      <c r="F177" s="15" t="n">
        <v>47.03</v>
      </c>
      <c r="G177" s="15" t="n">
        <v>0</v>
      </c>
      <c r="H177" s="15" t="inlineStr">
        <is>
          <t>중립</t>
        </is>
      </c>
      <c r="I177" s="15" t="inlineStr">
        <is>
          <t>0.48929755601795294</t>
        </is>
      </c>
      <c r="J177" t="inlineStr"/>
      <c r="K177" t="inlineStr"/>
      <c r="L177" t="inlineStr"/>
    </row>
    <row r="178" ht="22" customHeight="1">
      <c r="A178" s="15" t="inlineStr">
        <is>
          <t>럭스피아</t>
        </is>
      </c>
      <c r="B178" t="inlineStr"/>
      <c r="C178" s="15" t="inlineStr">
        <is>
          <t>092590</t>
        </is>
      </c>
      <c r="D178" s="15" t="inlineStr">
        <is>
          <t>KONEX</t>
        </is>
      </c>
      <c r="E178" s="15" t="inlineStr">
        <is>
          <t>후공정/패키징/테스트</t>
        </is>
      </c>
      <c r="F178" s="15" t="n">
        <v>46.81</v>
      </c>
      <c r="G178" s="15" t="n">
        <v>28.57</v>
      </c>
      <c r="H178" s="15" t="inlineStr">
        <is>
          <t>중립</t>
        </is>
      </c>
      <c r="I178" s="15" t="inlineStr">
        <is>
          <t>0.969533908094729</t>
        </is>
      </c>
      <c r="J178" t="inlineStr"/>
      <c r="K178" t="inlineStr"/>
      <c r="L178" t="inlineStr"/>
    </row>
    <row r="179" ht="22" customHeight="1">
      <c r="A179" s="15" t="inlineStr">
        <is>
          <t>코리아써키트</t>
        </is>
      </c>
      <c r="B179" t="inlineStr"/>
      <c r="C179" s="15" t="inlineStr">
        <is>
          <t>007810</t>
        </is>
      </c>
      <c r="D179" s="15" t="inlineStr">
        <is>
          <t>KOSPI</t>
        </is>
      </c>
      <c r="E179" s="15" t="inlineStr">
        <is>
          <t>부품/기판</t>
        </is>
      </c>
      <c r="F179" s="15" t="n">
        <v>46.76</v>
      </c>
      <c r="G179" s="15" t="n">
        <v>28.57</v>
      </c>
      <c r="H179" s="15" t="inlineStr">
        <is>
          <t>중립</t>
        </is>
      </c>
      <c r="I179" s="15" t="inlineStr">
        <is>
          <t>0.8409076697911426</t>
        </is>
      </c>
      <c r="J179" t="inlineStr"/>
      <c r="K179" t="inlineStr"/>
      <c r="L179" t="inlineStr"/>
    </row>
    <row r="180" ht="22" customHeight="1">
      <c r="A180" s="15" t="inlineStr">
        <is>
          <t>싸이닉솔루션</t>
        </is>
      </c>
      <c r="B180" t="inlineStr"/>
      <c r="C180" s="15" t="inlineStr">
        <is>
          <t>234030</t>
        </is>
      </c>
      <c r="D180" s="15" t="inlineStr">
        <is>
          <t>KOSDAQ</t>
        </is>
      </c>
      <c r="E180" s="15" t="inlineStr">
        <is>
          <t>팹리스/설계</t>
        </is>
      </c>
      <c r="F180" s="15" t="n">
        <v>46.71</v>
      </c>
      <c r="G180" s="15" t="n">
        <v>35.71</v>
      </c>
      <c r="H180" s="15" t="inlineStr">
        <is>
          <t>중립</t>
        </is>
      </c>
      <c r="I180" s="15" t="inlineStr">
        <is>
          <t>0.7962034217650586</t>
        </is>
      </c>
      <c r="J180" t="inlineStr"/>
      <c r="K180" t="inlineStr"/>
      <c r="L180" t="inlineStr"/>
    </row>
    <row r="181" ht="22" customHeight="1">
      <c r="A181" s="15" t="inlineStr">
        <is>
          <t>HD현대에너지솔루션</t>
        </is>
      </c>
      <c r="B181" t="inlineStr"/>
      <c r="C181" s="15" t="inlineStr">
        <is>
          <t>322000</t>
        </is>
      </c>
      <c r="D181" s="15" t="inlineStr">
        <is>
          <t>KOSPI</t>
        </is>
      </c>
      <c r="E181" s="15" t="inlineStr">
        <is>
          <t>IDM/제조/메모리</t>
        </is>
      </c>
      <c r="F181" s="15" t="n">
        <v>46.5</v>
      </c>
      <c r="G181" s="15" t="n">
        <v>14.29</v>
      </c>
      <c r="H181" s="15" t="inlineStr">
        <is>
          <t>중립</t>
        </is>
      </c>
      <c r="I181" s="15" t="inlineStr">
        <is>
          <t>0.6226975287022534</t>
        </is>
      </c>
      <c r="J181" t="inlineStr"/>
      <c r="K181" t="inlineStr"/>
      <c r="L181" t="inlineStr"/>
    </row>
    <row r="182" ht="22" customHeight="1">
      <c r="A182" s="15" t="inlineStr">
        <is>
          <t>원익IPS</t>
        </is>
      </c>
      <c r="B182" t="inlineStr"/>
      <c r="C182" s="15" t="inlineStr">
        <is>
          <t>240810</t>
        </is>
      </c>
      <c r="D182" s="15" t="inlineStr">
        <is>
          <t>KOSDAQ GLOBAL</t>
        </is>
      </c>
      <c r="E182" s="15" t="inlineStr">
        <is>
          <t>장비</t>
        </is>
      </c>
      <c r="F182" s="15" t="n">
        <v>46.35</v>
      </c>
      <c r="G182" s="15" t="n">
        <v>7.14</v>
      </c>
      <c r="H182" s="15" t="inlineStr">
        <is>
          <t>중립</t>
        </is>
      </c>
      <c r="I182" s="15" t="inlineStr">
        <is>
          <t>0.5727476694226805</t>
        </is>
      </c>
      <c r="J182" t="inlineStr"/>
      <c r="K182" t="inlineStr"/>
      <c r="L182" t="inlineStr"/>
    </row>
    <row r="183" ht="22" customHeight="1">
      <c r="A183" s="15" t="inlineStr">
        <is>
          <t>파크시스템스</t>
        </is>
      </c>
      <c r="B183" t="inlineStr"/>
      <c r="C183" s="15" t="inlineStr">
        <is>
          <t>140860</t>
        </is>
      </c>
      <c r="D183" s="15" t="inlineStr">
        <is>
          <t>KOSDAQ GLOBAL</t>
        </is>
      </c>
      <c r="E183" s="15" t="inlineStr">
        <is>
          <t>장비</t>
        </is>
      </c>
      <c r="F183" s="15" t="n">
        <v>46.12</v>
      </c>
      <c r="G183" s="15" t="n">
        <v>7.14</v>
      </c>
      <c r="H183" s="15" t="inlineStr">
        <is>
          <t>중립</t>
        </is>
      </c>
      <c r="I183" s="15" t="inlineStr">
        <is>
          <t>0.7158734205313764</t>
        </is>
      </c>
      <c r="J183" t="inlineStr"/>
      <c r="K183" t="inlineStr"/>
      <c r="L183" t="inlineStr"/>
    </row>
    <row r="184" ht="22" customHeight="1">
      <c r="A184" s="15" t="inlineStr">
        <is>
          <t>와이투솔루션</t>
        </is>
      </c>
      <c r="B184" t="inlineStr"/>
      <c r="C184" s="15" t="inlineStr">
        <is>
          <t>011690</t>
        </is>
      </c>
      <c r="D184" s="15" t="inlineStr">
        <is>
          <t>KOSPI</t>
        </is>
      </c>
      <c r="E184" s="15" t="inlineStr">
        <is>
          <t>IDM/제조/메모리</t>
        </is>
      </c>
      <c r="F184" s="15" t="n">
        <v>46.02</v>
      </c>
      <c r="G184" s="15" t="n">
        <v>57.14</v>
      </c>
      <c r="H184" s="15" t="inlineStr">
        <is>
          <t>중립</t>
        </is>
      </c>
      <c r="I184" s="15" t="inlineStr">
        <is>
          <t>0.7379153959384467</t>
        </is>
      </c>
      <c r="J184" t="inlineStr"/>
      <c r="K184" t="inlineStr"/>
      <c r="L184" t="inlineStr"/>
    </row>
    <row r="185" ht="22" customHeight="1">
      <c r="A185" s="15" t="inlineStr">
        <is>
          <t>서플러스글로벌</t>
        </is>
      </c>
      <c r="B185" t="inlineStr"/>
      <c r="C185" s="15" t="inlineStr">
        <is>
          <t>140070</t>
        </is>
      </c>
      <c r="D185" s="15" t="inlineStr">
        <is>
          <t>KOSDAQ</t>
        </is>
      </c>
      <c r="E185" s="15" t="inlineStr">
        <is>
          <t>장비</t>
        </is>
      </c>
      <c r="F185" s="15" t="n">
        <v>45.95</v>
      </c>
      <c r="G185" s="15" t="n">
        <v>71.43000000000001</v>
      </c>
      <c r="H185" s="15" t="inlineStr">
        <is>
          <t>중립</t>
        </is>
      </c>
      <c r="I185" s="15" t="inlineStr">
        <is>
          <t>0.6515364241286621</t>
        </is>
      </c>
      <c r="J185" t="inlineStr"/>
      <c r="K185" t="inlineStr"/>
      <c r="L185" t="inlineStr"/>
    </row>
    <row r="186" ht="22" customHeight="1">
      <c r="A186" s="15" t="inlineStr">
        <is>
          <t>아이텍</t>
        </is>
      </c>
      <c r="B186" t="inlineStr"/>
      <c r="C186" s="15" t="inlineStr">
        <is>
          <t>119830</t>
        </is>
      </c>
      <c r="D186" s="15" t="inlineStr">
        <is>
          <t>KOSDAQ</t>
        </is>
      </c>
      <c r="E186" s="15" t="inlineStr">
        <is>
          <t>후공정/패키징/테스트</t>
        </is>
      </c>
      <c r="F186" s="15" t="n">
        <v>45.73</v>
      </c>
      <c r="G186" s="15" t="n">
        <v>21.43</v>
      </c>
      <c r="H186" s="15" t="inlineStr">
        <is>
          <t>중립</t>
        </is>
      </c>
      <c r="I186" s="15" t="inlineStr">
        <is>
          <t>0.6018206034002739</t>
        </is>
      </c>
      <c r="J186" t="inlineStr"/>
      <c r="K186" t="inlineStr"/>
      <c r="L186" t="inlineStr"/>
    </row>
    <row r="187" ht="22" customHeight="1">
      <c r="A187" s="15" t="inlineStr">
        <is>
          <t>신성이엔지</t>
        </is>
      </c>
      <c r="B187" t="inlineStr"/>
      <c r="C187" s="15" t="inlineStr">
        <is>
          <t>011930</t>
        </is>
      </c>
      <c r="D187" s="15" t="inlineStr">
        <is>
          <t>KOSPI</t>
        </is>
      </c>
      <c r="E187" s="15" t="inlineStr">
        <is>
          <t>IDM/제조/메모리</t>
        </is>
      </c>
      <c r="F187" s="15" t="n">
        <v>45.52</v>
      </c>
      <c r="G187" s="15" t="n">
        <v>57.14</v>
      </c>
      <c r="H187" s="15" t="inlineStr">
        <is>
          <t>중립</t>
        </is>
      </c>
      <c r="I187" s="15" t="inlineStr">
        <is>
          <t>0.7610157176994289</t>
        </is>
      </c>
      <c r="J187" t="inlineStr"/>
      <c r="K187" t="inlineStr"/>
      <c r="L187" t="inlineStr"/>
    </row>
    <row r="188" ht="22" customHeight="1">
      <c r="A188" s="15" t="inlineStr">
        <is>
          <t>KEC</t>
        </is>
      </c>
      <c r="B188" t="inlineStr"/>
      <c r="C188" s="15" t="inlineStr">
        <is>
          <t>092220</t>
        </is>
      </c>
      <c r="D188" s="15" t="inlineStr">
        <is>
          <t>KOSPI</t>
        </is>
      </c>
      <c r="E188" s="15" t="inlineStr">
        <is>
          <t>IDM/제조/메모리</t>
        </is>
      </c>
      <c r="F188" s="15" t="n">
        <v>45.5</v>
      </c>
      <c r="G188" s="15" t="n">
        <v>50</v>
      </c>
      <c r="H188" s="15" t="inlineStr">
        <is>
          <t>중립</t>
        </is>
      </c>
      <c r="I188" s="15" t="inlineStr">
        <is>
          <t>0.7937660338126779</t>
        </is>
      </c>
      <c r="J188" t="inlineStr"/>
      <c r="K188" t="inlineStr"/>
      <c r="L188" t="inlineStr"/>
    </row>
    <row r="189" ht="22" customHeight="1">
      <c r="A189" s="15" t="inlineStr">
        <is>
          <t>에스티아이</t>
        </is>
      </c>
      <c r="B189" t="inlineStr"/>
      <c r="C189" s="15" t="inlineStr">
        <is>
          <t>039440</t>
        </is>
      </c>
      <c r="D189" s="15" t="inlineStr">
        <is>
          <t>KOSDAQ</t>
        </is>
      </c>
      <c r="E189" s="15" t="inlineStr">
        <is>
          <t>장비</t>
        </is>
      </c>
      <c r="F189" s="15" t="n">
        <v>45.5</v>
      </c>
      <c r="G189" s="15" t="n">
        <v>0</v>
      </c>
      <c r="H189" s="15" t="inlineStr">
        <is>
          <t>중립</t>
        </is>
      </c>
      <c r="I189" s="15" t="inlineStr">
        <is>
          <t>0.53270990340385</t>
        </is>
      </c>
      <c r="J189" t="inlineStr"/>
      <c r="K189" t="inlineStr"/>
      <c r="L189" t="inlineStr"/>
    </row>
    <row r="190" ht="22" customHeight="1">
      <c r="A190" s="15" t="inlineStr">
        <is>
          <t>윈팩</t>
        </is>
      </c>
      <c r="B190" t="inlineStr"/>
      <c r="C190" s="15" t="inlineStr">
        <is>
          <t>097800</t>
        </is>
      </c>
      <c r="D190" s="15" t="inlineStr">
        <is>
          <t>KOSDAQ</t>
        </is>
      </c>
      <c r="E190" s="15" t="inlineStr">
        <is>
          <t>후공정/패키징/테스트</t>
        </is>
      </c>
      <c r="F190" s="15" t="n">
        <v>44.18</v>
      </c>
      <c r="G190" s="15" t="n">
        <v>71.43000000000001</v>
      </c>
      <c r="H190" s="15" t="inlineStr">
        <is>
          <t>중립</t>
        </is>
      </c>
      <c r="I190" s="15" t="inlineStr">
        <is>
          <t>0.5735742758518154</t>
        </is>
      </c>
      <c r="J190" t="inlineStr"/>
      <c r="K190" t="inlineStr"/>
      <c r="L190" t="inlineStr"/>
    </row>
    <row r="191" ht="22" customHeight="1">
      <c r="A191" s="15" t="inlineStr">
        <is>
          <t>켐트로닉스</t>
        </is>
      </c>
      <c r="B191" t="inlineStr"/>
      <c r="C191" s="15" t="inlineStr">
        <is>
          <t>089010</t>
        </is>
      </c>
      <c r="D191" s="15" t="inlineStr">
        <is>
          <t>KOSDAQ</t>
        </is>
      </c>
      <c r="E191" s="15" t="inlineStr">
        <is>
          <t>소재</t>
        </is>
      </c>
      <c r="F191" s="15" t="n">
        <v>44.13</v>
      </c>
      <c r="G191" s="15" t="n">
        <v>35.71</v>
      </c>
      <c r="H191" s="15" t="inlineStr">
        <is>
          <t>중립</t>
        </is>
      </c>
      <c r="I191" s="15" t="inlineStr">
        <is>
          <t>0.7697961799623572</t>
        </is>
      </c>
      <c r="J191" t="inlineStr"/>
      <c r="K191" t="inlineStr"/>
      <c r="L191" t="inlineStr"/>
    </row>
    <row r="192" ht="22" customHeight="1">
      <c r="A192" s="15" t="inlineStr">
        <is>
          <t>팸텍</t>
        </is>
      </c>
      <c r="B192" t="inlineStr"/>
      <c r="C192" s="15" t="inlineStr">
        <is>
          <t>271830</t>
        </is>
      </c>
      <c r="D192" s="15" t="inlineStr">
        <is>
          <t>KOSDAQ</t>
        </is>
      </c>
      <c r="E192" s="15" t="inlineStr">
        <is>
          <t>후공정/패키징/테스트</t>
        </is>
      </c>
      <c r="F192" s="15" t="n">
        <v>44.03</v>
      </c>
      <c r="G192" s="15" t="n">
        <v>57.14</v>
      </c>
      <c r="H192" s="15" t="inlineStr">
        <is>
          <t>중립</t>
        </is>
      </c>
      <c r="I192" s="15" t="inlineStr">
        <is>
          <t>0.6809009837226325</t>
        </is>
      </c>
      <c r="J192" t="inlineStr"/>
      <c r="K192" t="inlineStr"/>
      <c r="L192" t="inlineStr"/>
    </row>
    <row r="193" ht="22" customHeight="1">
      <c r="A193" s="15" t="inlineStr">
        <is>
          <t>LB세미콘</t>
        </is>
      </c>
      <c r="B193" t="inlineStr"/>
      <c r="C193" s="15" t="inlineStr">
        <is>
          <t>061970</t>
        </is>
      </c>
      <c r="D193" s="15" t="inlineStr">
        <is>
          <t>KOSDAQ</t>
        </is>
      </c>
      <c r="E193" s="15" t="inlineStr">
        <is>
          <t>후공정/패키징/테스트</t>
        </is>
      </c>
      <c r="F193" s="15" t="n">
        <v>43.94</v>
      </c>
      <c r="G193" s="15" t="n">
        <v>57.14</v>
      </c>
      <c r="H193" s="15" t="inlineStr">
        <is>
          <t>중립</t>
        </is>
      </c>
      <c r="I193" s="15" t="inlineStr">
        <is>
          <t>0.519835518569549</t>
        </is>
      </c>
      <c r="J193" t="inlineStr"/>
      <c r="K193" t="inlineStr"/>
      <c r="L193" t="inlineStr"/>
    </row>
    <row r="194" ht="22" customHeight="1">
      <c r="A194" s="15" t="inlineStr">
        <is>
          <t>유진테크</t>
        </is>
      </c>
      <c r="B194" t="inlineStr"/>
      <c r="C194" s="15" t="inlineStr">
        <is>
          <t>084370</t>
        </is>
      </c>
      <c r="D194" s="15" t="inlineStr">
        <is>
          <t>KOSDAQ</t>
        </is>
      </c>
      <c r="E194" s="15" t="inlineStr">
        <is>
          <t>장비</t>
        </is>
      </c>
      <c r="F194" s="15" t="n">
        <v>43.36</v>
      </c>
      <c r="G194" s="15" t="n">
        <v>0</v>
      </c>
      <c r="H194" s="15" t="inlineStr">
        <is>
          <t>중립</t>
        </is>
      </c>
      <c r="I194" s="15" t="inlineStr">
        <is>
          <t>0.7415227894291446</t>
        </is>
      </c>
      <c r="J194" t="inlineStr"/>
      <c r="K194" t="inlineStr"/>
      <c r="L194" t="inlineStr"/>
    </row>
    <row r="195" ht="22" customHeight="1">
      <c r="A195" s="15" t="inlineStr">
        <is>
          <t>일진디스플</t>
        </is>
      </c>
      <c r="B195" t="inlineStr"/>
      <c r="C195" s="15" t="inlineStr">
        <is>
          <t>020760</t>
        </is>
      </c>
      <c r="D195" s="15" t="inlineStr">
        <is>
          <t>KOSPI</t>
        </is>
      </c>
      <c r="E195" s="15" t="inlineStr">
        <is>
          <t>IDM/제조/메모리</t>
        </is>
      </c>
      <c r="F195" s="15" t="n">
        <v>43.35</v>
      </c>
      <c r="G195" s="15" t="n">
        <v>64.29000000000001</v>
      </c>
      <c r="H195" s="15" t="inlineStr">
        <is>
          <t>중립</t>
        </is>
      </c>
      <c r="I195" s="15" t="inlineStr">
        <is>
          <t>0.7887205359697603</t>
        </is>
      </c>
      <c r="J195" t="inlineStr"/>
      <c r="K195" t="inlineStr"/>
      <c r="L195" t="inlineStr"/>
    </row>
    <row r="196" ht="22" customHeight="1">
      <c r="A196" s="15" t="inlineStr">
        <is>
          <t>덕산하이메탈</t>
        </is>
      </c>
      <c r="B196" t="inlineStr"/>
      <c r="C196" s="15" t="inlineStr">
        <is>
          <t>077360</t>
        </is>
      </c>
      <c r="D196" s="15" t="inlineStr">
        <is>
          <t>KOSDAQ</t>
        </is>
      </c>
      <c r="E196" s="15" t="inlineStr">
        <is>
          <t>IDM/제조/메모리</t>
        </is>
      </c>
      <c r="F196" s="15" t="n">
        <v>43.33</v>
      </c>
      <c r="G196" s="15" t="n">
        <v>28.57</v>
      </c>
      <c r="H196" s="15" t="inlineStr">
        <is>
          <t>중립</t>
        </is>
      </c>
      <c r="I196" s="15" t="inlineStr">
        <is>
          <t>0.6698541971057747</t>
        </is>
      </c>
      <c r="J196" t="inlineStr"/>
      <c r="K196" t="inlineStr"/>
      <c r="L196" t="inlineStr"/>
    </row>
    <row r="197" ht="22" customHeight="1">
      <c r="A197" s="15" t="inlineStr">
        <is>
          <t>솔브레인</t>
        </is>
      </c>
      <c r="B197" t="inlineStr"/>
      <c r="C197" s="15" t="inlineStr">
        <is>
          <t>357780</t>
        </is>
      </c>
      <c r="D197" s="15" t="inlineStr">
        <is>
          <t>KOSDAQ GLOBAL</t>
        </is>
      </c>
      <c r="E197" s="15" t="inlineStr">
        <is>
          <t>소재</t>
        </is>
      </c>
      <c r="F197" s="15" t="n">
        <v>43.31</v>
      </c>
      <c r="G197" s="15" t="n">
        <v>0</v>
      </c>
      <c r="H197" s="15" t="inlineStr">
        <is>
          <t>중립</t>
        </is>
      </c>
      <c r="I197" s="15" t="inlineStr">
        <is>
          <t>0.6367158518654258</t>
        </is>
      </c>
      <c r="J197" t="inlineStr"/>
      <c r="K197" t="inlineStr"/>
      <c r="L197" t="inlineStr"/>
    </row>
    <row r="198" ht="22" customHeight="1">
      <c r="A198" s="15" t="inlineStr">
        <is>
          <t>제이티</t>
        </is>
      </c>
      <c r="B198" t="inlineStr"/>
      <c r="C198" s="15" t="inlineStr">
        <is>
          <t>089790</t>
        </is>
      </c>
      <c r="D198" s="15" t="inlineStr">
        <is>
          <t>KOSDAQ</t>
        </is>
      </c>
      <c r="E198" s="15" t="inlineStr">
        <is>
          <t>후공정/패키징/테스트</t>
        </is>
      </c>
      <c r="F198" s="15" t="n">
        <v>42.93</v>
      </c>
      <c r="G198" s="15" t="n">
        <v>28.57</v>
      </c>
      <c r="H198" s="15" t="inlineStr">
        <is>
          <t>중립</t>
        </is>
      </c>
      <c r="I198" s="15" t="inlineStr">
        <is>
          <t>0.7953438622461361</t>
        </is>
      </c>
      <c r="J198" t="inlineStr"/>
      <c r="K198" t="inlineStr"/>
      <c r="L198" t="inlineStr"/>
    </row>
    <row r="199" ht="22" customHeight="1">
      <c r="A199" s="15" t="inlineStr">
        <is>
          <t>아이언디바이스</t>
        </is>
      </c>
      <c r="B199" t="inlineStr"/>
      <c r="C199" s="15" t="inlineStr">
        <is>
          <t>464500</t>
        </is>
      </c>
      <c r="D199" s="15" t="inlineStr">
        <is>
          <t>KOSDAQ</t>
        </is>
      </c>
      <c r="E199" s="15" t="inlineStr">
        <is>
          <t>팹리스/설계</t>
        </is>
      </c>
      <c r="F199" s="15" t="n">
        <v>42.79</v>
      </c>
      <c r="G199" s="15" t="n">
        <v>57.14</v>
      </c>
      <c r="H199" s="15" t="inlineStr">
        <is>
          <t>중립</t>
        </is>
      </c>
      <c r="I199" s="15" t="inlineStr">
        <is>
          <t>0.767854918982104</t>
        </is>
      </c>
      <c r="J199" t="inlineStr"/>
      <c r="K199" t="inlineStr"/>
      <c r="L199" t="inlineStr"/>
    </row>
    <row r="200" ht="22" customHeight="1">
      <c r="A200" s="15" t="inlineStr">
        <is>
          <t>제너셈</t>
        </is>
      </c>
      <c r="B200" t="inlineStr"/>
      <c r="C200" s="15" t="inlineStr">
        <is>
          <t>217190</t>
        </is>
      </c>
      <c r="D200" s="15" t="inlineStr">
        <is>
          <t>KOSDAQ</t>
        </is>
      </c>
      <c r="E200" s="15" t="inlineStr">
        <is>
          <t>후공정/패키징/테스트</t>
        </is>
      </c>
      <c r="F200" s="15" t="n">
        <v>42.79</v>
      </c>
      <c r="G200" s="15" t="n">
        <v>28.57</v>
      </c>
      <c r="H200" s="15" t="inlineStr">
        <is>
          <t>중립</t>
        </is>
      </c>
      <c r="I200" s="15" t="inlineStr">
        <is>
          <t>0.7410125545144256</t>
        </is>
      </c>
      <c r="J200" t="inlineStr"/>
      <c r="K200" t="inlineStr"/>
      <c r="L200" t="inlineStr"/>
    </row>
    <row r="201" ht="22" customHeight="1">
      <c r="A201" s="15" t="inlineStr">
        <is>
          <t>에이디테크놀로지</t>
        </is>
      </c>
      <c r="B201" t="inlineStr"/>
      <c r="C201" s="15" t="inlineStr">
        <is>
          <t>200710</t>
        </is>
      </c>
      <c r="D201" s="15" t="inlineStr">
        <is>
          <t>KOSDAQ</t>
        </is>
      </c>
      <c r="E201" s="15" t="inlineStr">
        <is>
          <t>IDM/제조/메모리</t>
        </is>
      </c>
      <c r="F201" s="15" t="n">
        <v>42.72</v>
      </c>
      <c r="G201" s="15" t="n">
        <v>28.57</v>
      </c>
      <c r="H201" s="15" t="inlineStr">
        <is>
          <t>중립</t>
        </is>
      </c>
      <c r="I201" s="15" t="inlineStr">
        <is>
          <t>0.6637416757093363</t>
        </is>
      </c>
      <c r="J201" t="inlineStr"/>
      <c r="K201" t="inlineStr"/>
      <c r="L201" t="inlineStr"/>
    </row>
    <row r="202" ht="22" customHeight="1">
      <c r="A202" s="15" t="inlineStr">
        <is>
          <t>쓰리에이로직스</t>
        </is>
      </c>
      <c r="B202" t="inlineStr"/>
      <c r="C202" s="15" t="inlineStr">
        <is>
          <t>177900</t>
        </is>
      </c>
      <c r="D202" s="15" t="inlineStr">
        <is>
          <t>KOSDAQ</t>
        </is>
      </c>
      <c r="E202" s="15" t="inlineStr">
        <is>
          <t>팹리스/설계</t>
        </is>
      </c>
      <c r="F202" s="15" t="n">
        <v>42.67</v>
      </c>
      <c r="G202" s="15" t="n">
        <v>57.14</v>
      </c>
      <c r="H202" s="15" t="inlineStr">
        <is>
          <t>중립</t>
        </is>
      </c>
      <c r="I202" s="15" t="inlineStr">
        <is>
          <t>0.5793703556022938</t>
        </is>
      </c>
      <c r="J202" t="inlineStr"/>
      <c r="K202" t="inlineStr"/>
      <c r="L202" t="inlineStr"/>
    </row>
    <row r="203" ht="22" customHeight="1">
      <c r="A203" s="15" t="inlineStr">
        <is>
          <t>제우스</t>
        </is>
      </c>
      <c r="B203" t="inlineStr"/>
      <c r="C203" s="15" t="inlineStr">
        <is>
          <t>079370</t>
        </is>
      </c>
      <c r="D203" s="15" t="inlineStr">
        <is>
          <t>KOSDAQ</t>
        </is>
      </c>
      <c r="E203" s="15" t="inlineStr">
        <is>
          <t>장비</t>
        </is>
      </c>
      <c r="F203" s="15" t="n">
        <v>42.59</v>
      </c>
      <c r="G203" s="15" t="n">
        <v>21.43</v>
      </c>
      <c r="H203" s="15" t="inlineStr">
        <is>
          <t>중립</t>
        </is>
      </c>
      <c r="I203" s="15" t="inlineStr">
        <is>
          <t>0.7744454918412472</t>
        </is>
      </c>
      <c r="J203" t="inlineStr"/>
      <c r="K203" t="inlineStr"/>
      <c r="L203" t="inlineStr"/>
    </row>
    <row r="204" ht="22" customHeight="1">
      <c r="A204" s="15" t="inlineStr">
        <is>
          <t>네패스아크</t>
        </is>
      </c>
      <c r="B204" t="inlineStr"/>
      <c r="C204" s="15" t="inlineStr">
        <is>
          <t>330860</t>
        </is>
      </c>
      <c r="D204" s="15" t="inlineStr">
        <is>
          <t>KOSDAQ</t>
        </is>
      </c>
      <c r="E204" s="15" t="inlineStr">
        <is>
          <t>후공정/패키징/테스트</t>
        </is>
      </c>
      <c r="F204" s="15" t="n">
        <v>42.07</v>
      </c>
      <c r="G204" s="15" t="n">
        <v>0</v>
      </c>
      <c r="H204" s="15" t="inlineStr">
        <is>
          <t>고평가 부담</t>
        </is>
      </c>
      <c r="I204" s="15" t="inlineStr">
        <is>
          <t>0.5804758808286147</t>
        </is>
      </c>
      <c r="J204" t="inlineStr"/>
      <c r="K204" t="inlineStr"/>
      <c r="L204" t="inlineStr"/>
    </row>
    <row r="205" ht="22" customHeight="1">
      <c r="A205" s="15" t="inlineStr">
        <is>
          <t>마이크로투나노</t>
        </is>
      </c>
      <c r="B205" t="inlineStr"/>
      <c r="C205" s="15" t="inlineStr">
        <is>
          <t>424980</t>
        </is>
      </c>
      <c r="D205" s="15" t="inlineStr">
        <is>
          <t>KOSDAQ</t>
        </is>
      </c>
      <c r="E205" s="15" t="inlineStr">
        <is>
          <t>후공정/패키징/테스트</t>
        </is>
      </c>
      <c r="F205" s="15" t="n">
        <v>41.88</v>
      </c>
      <c r="G205" s="15" t="n">
        <v>57.14</v>
      </c>
      <c r="H205" s="15" t="inlineStr">
        <is>
          <t>고평가 부담</t>
        </is>
      </c>
      <c r="I205" s="15" t="inlineStr">
        <is>
          <t>0.8919952418828875</t>
        </is>
      </c>
      <c r="J205" t="inlineStr"/>
      <c r="K205" t="inlineStr"/>
      <c r="L205" t="inlineStr"/>
    </row>
    <row r="206" ht="22" customHeight="1">
      <c r="A206" s="15" t="inlineStr">
        <is>
          <t>광전자</t>
        </is>
      </c>
      <c r="B206" t="inlineStr"/>
      <c r="C206" s="15" t="inlineStr">
        <is>
          <t>017900</t>
        </is>
      </c>
      <c r="D206" s="15" t="inlineStr">
        <is>
          <t>KOSPI</t>
        </is>
      </c>
      <c r="E206" s="15" t="inlineStr">
        <is>
          <t>IDM/제조/메모리</t>
        </is>
      </c>
      <c r="F206" s="15" t="n">
        <v>41.84</v>
      </c>
      <c r="G206" s="15" t="n">
        <v>21.43</v>
      </c>
      <c r="H206" s="15" t="inlineStr">
        <is>
          <t>고평가 부담</t>
        </is>
      </c>
      <c r="I206" s="15" t="inlineStr">
        <is>
          <t>0.6817751829328556</t>
        </is>
      </c>
      <c r="J206" t="inlineStr"/>
      <c r="K206" t="inlineStr"/>
      <c r="L206" t="inlineStr"/>
    </row>
    <row r="207" ht="22" customHeight="1">
      <c r="A207" s="15" t="inlineStr">
        <is>
          <t>아진엑스텍</t>
        </is>
      </c>
      <c r="B207" t="inlineStr"/>
      <c r="C207" s="15" t="inlineStr">
        <is>
          <t>059120</t>
        </is>
      </c>
      <c r="D207" s="15" t="inlineStr">
        <is>
          <t>KOSDAQ</t>
        </is>
      </c>
      <c r="E207" s="15" t="inlineStr">
        <is>
          <t>IDM/제조/메모리</t>
        </is>
      </c>
      <c r="F207" s="15" t="n">
        <v>41.28</v>
      </c>
      <c r="G207" s="15" t="n">
        <v>7.14</v>
      </c>
      <c r="H207" s="15" t="inlineStr">
        <is>
          <t>고평가 부담</t>
        </is>
      </c>
      <c r="I207" s="15" t="inlineStr">
        <is>
          <t>0.6635799672057409</t>
        </is>
      </c>
      <c r="J207" t="inlineStr"/>
      <c r="K207" t="inlineStr"/>
      <c r="L207" t="inlineStr"/>
    </row>
    <row r="208" ht="22" customHeight="1">
      <c r="A208" s="15" t="inlineStr">
        <is>
          <t>아이티엠반도체</t>
        </is>
      </c>
      <c r="B208" t="inlineStr"/>
      <c r="C208" s="15" t="inlineStr">
        <is>
          <t>084850</t>
        </is>
      </c>
      <c r="D208" s="15" t="inlineStr">
        <is>
          <t>KOSDAQ GLOBAL</t>
        </is>
      </c>
      <c r="E208" s="15" t="inlineStr">
        <is>
          <t>부품/기판</t>
        </is>
      </c>
      <c r="F208" s="15" t="n">
        <v>41.24</v>
      </c>
      <c r="G208" s="15" t="n">
        <v>50</v>
      </c>
      <c r="H208" s="15" t="inlineStr">
        <is>
          <t>고평가 부담</t>
        </is>
      </c>
      <c r="I208" s="15" t="inlineStr">
        <is>
          <t>0.599341656390115</t>
        </is>
      </c>
      <c r="J208" t="inlineStr"/>
      <c r="K208" t="inlineStr"/>
      <c r="L208" t="inlineStr"/>
    </row>
    <row r="209" ht="22" customHeight="1">
      <c r="A209" s="15" t="inlineStr">
        <is>
          <t>램테크놀러지</t>
        </is>
      </c>
      <c r="B209" t="inlineStr"/>
      <c r="C209" s="15" t="inlineStr">
        <is>
          <t>171010</t>
        </is>
      </c>
      <c r="D209" s="15" t="inlineStr">
        <is>
          <t>KOSDAQ</t>
        </is>
      </c>
      <c r="E209" s="15" t="inlineStr">
        <is>
          <t>장비</t>
        </is>
      </c>
      <c r="F209" s="15" t="n">
        <v>40.97</v>
      </c>
      <c r="G209" s="15" t="n">
        <v>64.29000000000001</v>
      </c>
      <c r="H209" s="15" t="inlineStr">
        <is>
          <t>고평가 부담</t>
        </is>
      </c>
      <c r="I209" s="15" t="inlineStr">
        <is>
          <t>0.500591784236833</t>
        </is>
      </c>
      <c r="J209" t="inlineStr"/>
      <c r="K209" t="inlineStr"/>
      <c r="L209" t="inlineStr"/>
    </row>
    <row r="210" ht="22" customHeight="1">
      <c r="A210" s="15" t="inlineStr">
        <is>
          <t>코스텍시스</t>
        </is>
      </c>
      <c r="B210" t="inlineStr"/>
      <c r="C210" s="15" t="inlineStr">
        <is>
          <t>355150</t>
        </is>
      </c>
      <c r="D210" s="15" t="inlineStr">
        <is>
          <t>KOSDAQ</t>
        </is>
      </c>
      <c r="E210" s="15" t="inlineStr">
        <is>
          <t>IDM/제조/메모리</t>
        </is>
      </c>
      <c r="F210" s="15" t="n">
        <v>40.97</v>
      </c>
      <c r="G210" s="15" t="n">
        <v>50</v>
      </c>
      <c r="H210" s="15" t="inlineStr">
        <is>
          <t>고평가 부담</t>
        </is>
      </c>
      <c r="I210" s="15" t="inlineStr">
        <is>
          <t>0.7518748972741711</t>
        </is>
      </c>
      <c r="J210" t="inlineStr"/>
      <c r="K210" t="inlineStr"/>
      <c r="L210" t="inlineStr"/>
    </row>
    <row r="211" ht="22" customHeight="1">
      <c r="A211" s="15" t="inlineStr">
        <is>
          <t>시그네틱스</t>
        </is>
      </c>
      <c r="B211" t="inlineStr"/>
      <c r="C211" s="15" t="inlineStr">
        <is>
          <t>033170</t>
        </is>
      </c>
      <c r="D211" s="15" t="inlineStr">
        <is>
          <t>KOSDAQ</t>
        </is>
      </c>
      <c r="E211" s="15" t="inlineStr">
        <is>
          <t>후공정/패키징/테스트</t>
        </is>
      </c>
      <c r="F211" s="15" t="n">
        <v>40.68</v>
      </c>
      <c r="G211" s="15" t="n">
        <v>64.29000000000001</v>
      </c>
      <c r="H211" s="15" t="inlineStr">
        <is>
          <t>고평가 부담</t>
        </is>
      </c>
      <c r="I211" s="15" t="inlineStr">
        <is>
          <t>0.6660306558324866</t>
        </is>
      </c>
      <c r="J211" t="inlineStr"/>
      <c r="K211" t="inlineStr"/>
      <c r="L211" t="inlineStr"/>
    </row>
    <row r="212" ht="22" customHeight="1">
      <c r="A212" s="15" t="inlineStr">
        <is>
          <t>디엔에프</t>
        </is>
      </c>
      <c r="B212" t="inlineStr"/>
      <c r="C212" s="15" t="inlineStr">
        <is>
          <t>092070</t>
        </is>
      </c>
      <c r="D212" s="15" t="inlineStr">
        <is>
          <t>KOSDAQ</t>
        </is>
      </c>
      <c r="E212" s="15" t="inlineStr">
        <is>
          <t>소재</t>
        </is>
      </c>
      <c r="F212" s="15" t="n">
        <v>40.41</v>
      </c>
      <c r="G212" s="15" t="n">
        <v>14.29</v>
      </c>
      <c r="H212" s="15" t="inlineStr">
        <is>
          <t>고평가 부담</t>
        </is>
      </c>
      <c r="I212" s="15" t="inlineStr">
        <is>
          <t>0.6833535693717029</t>
        </is>
      </c>
      <c r="J212" t="inlineStr"/>
      <c r="K212" t="inlineStr"/>
      <c r="L212" t="inlineStr"/>
    </row>
    <row r="213" ht="22" customHeight="1">
      <c r="A213" s="15" t="inlineStr">
        <is>
          <t>저스템</t>
        </is>
      </c>
      <c r="B213" t="inlineStr"/>
      <c r="C213" s="15" t="inlineStr">
        <is>
          <t>417840</t>
        </is>
      </c>
      <c r="D213" s="15" t="inlineStr">
        <is>
          <t>KOSDAQ</t>
        </is>
      </c>
      <c r="E213" s="15" t="inlineStr">
        <is>
          <t>장비</t>
        </is>
      </c>
      <c r="F213" s="15" t="n">
        <v>40.36</v>
      </c>
      <c r="G213" s="15" t="n">
        <v>28.57</v>
      </c>
      <c r="H213" s="15" t="inlineStr">
        <is>
          <t>고평가 부담</t>
        </is>
      </c>
      <c r="I213" s="15" t="inlineStr">
        <is>
          <t>0.7213257522774291</t>
        </is>
      </c>
      <c r="J213" t="inlineStr"/>
      <c r="K213" t="inlineStr"/>
      <c r="L213" t="inlineStr"/>
    </row>
    <row r="214" ht="22" customHeight="1">
      <c r="A214" s="15" t="inlineStr">
        <is>
          <t>지아이에스</t>
        </is>
      </c>
      <c r="B214" t="inlineStr"/>
      <c r="C214" s="15" t="inlineStr">
        <is>
          <t>306620</t>
        </is>
      </c>
      <c r="D214" s="15" t="inlineStr">
        <is>
          <t>KOSDAQ</t>
        </is>
      </c>
      <c r="E214" s="15" t="inlineStr">
        <is>
          <t>장비</t>
        </is>
      </c>
      <c r="F214" s="15" t="n">
        <v>40.15</v>
      </c>
      <c r="G214" s="15" t="n">
        <v>57.14</v>
      </c>
      <c r="H214" s="15" t="inlineStr">
        <is>
          <t>고평가 부담</t>
        </is>
      </c>
      <c r="I214" s="15" t="inlineStr">
        <is>
          <t>0.745903271306321</t>
        </is>
      </c>
      <c r="J214" t="inlineStr"/>
      <c r="K214" t="inlineStr"/>
      <c r="L214" t="inlineStr"/>
    </row>
    <row r="215" ht="22" customHeight="1">
      <c r="A215" s="15" t="inlineStr">
        <is>
          <t>대덕전자</t>
        </is>
      </c>
      <c r="B215" t="inlineStr"/>
      <c r="C215" s="15" t="inlineStr">
        <is>
          <t>353200</t>
        </is>
      </c>
      <c r="D215" s="15" t="inlineStr">
        <is>
          <t>KOSPI</t>
        </is>
      </c>
      <c r="E215" s="15" t="inlineStr">
        <is>
          <t>부품/기판</t>
        </is>
      </c>
      <c r="F215" s="15" t="n">
        <v>39.67</v>
      </c>
      <c r="G215" s="15" t="n">
        <v>14.29</v>
      </c>
      <c r="H215" s="15" t="inlineStr">
        <is>
          <t>고평가 부담</t>
        </is>
      </c>
      <c r="I215" s="15" t="inlineStr">
        <is>
          <t>0.6645756407915718</t>
        </is>
      </c>
      <c r="J215" t="inlineStr"/>
      <c r="K215" t="inlineStr"/>
      <c r="L215" t="inlineStr"/>
    </row>
    <row r="216" ht="22" customHeight="1">
      <c r="A216" s="15" t="inlineStr">
        <is>
          <t>고영</t>
        </is>
      </c>
      <c r="B216" t="inlineStr"/>
      <c r="C216" s="15" t="inlineStr">
        <is>
          <t>098460</t>
        </is>
      </c>
      <c r="D216" s="15" t="inlineStr">
        <is>
          <t>KOSDAQ</t>
        </is>
      </c>
      <c r="E216" s="15" t="inlineStr">
        <is>
          <t>후공정/패키징/테스트</t>
        </is>
      </c>
      <c r="F216" s="15" t="n">
        <v>39.33</v>
      </c>
      <c r="G216" s="15" t="n">
        <v>7.14</v>
      </c>
      <c r="H216" s="15" t="inlineStr">
        <is>
          <t>고평가 부담</t>
        </is>
      </c>
      <c r="I216" s="15" t="inlineStr">
        <is>
          <t>0.4306692416005982</t>
        </is>
      </c>
      <c r="J216" t="inlineStr"/>
      <c r="K216" t="inlineStr"/>
      <c r="L216" t="inlineStr"/>
    </row>
    <row r="217" ht="22" customHeight="1">
      <c r="A217" s="15" t="inlineStr">
        <is>
          <t>와이씨켐</t>
        </is>
      </c>
      <c r="B217" t="inlineStr"/>
      <c r="C217" s="15" t="inlineStr">
        <is>
          <t>112290</t>
        </is>
      </c>
      <c r="D217" s="15" t="inlineStr">
        <is>
          <t>KOSDAQ</t>
        </is>
      </c>
      <c r="E217" s="15" t="inlineStr">
        <is>
          <t>소재</t>
        </is>
      </c>
      <c r="F217" s="15" t="n">
        <v>38.36</v>
      </c>
      <c r="G217" s="15" t="n">
        <v>50</v>
      </c>
      <c r="H217" s="15" t="inlineStr">
        <is>
          <t>고평가 부담</t>
        </is>
      </c>
      <c r="I217" s="15" t="inlineStr">
        <is>
          <t>0.7576999610053956</t>
        </is>
      </c>
      <c r="J217" t="inlineStr"/>
      <c r="K217" t="inlineStr"/>
      <c r="L217" t="inlineStr"/>
    </row>
    <row r="218" ht="22" customHeight="1">
      <c r="A218" s="15" t="inlineStr">
        <is>
          <t>에프에스티</t>
        </is>
      </c>
      <c r="B218" t="inlineStr"/>
      <c r="C218" s="15" t="inlineStr">
        <is>
          <t>036810</t>
        </is>
      </c>
      <c r="D218" s="15" t="inlineStr">
        <is>
          <t>KOSDAQ</t>
        </is>
      </c>
      <c r="E218" s="15" t="inlineStr">
        <is>
          <t>장비</t>
        </is>
      </c>
      <c r="F218" s="15" t="n">
        <v>38.27</v>
      </c>
      <c r="G218" s="15" t="n">
        <v>50</v>
      </c>
      <c r="H218" s="15" t="inlineStr">
        <is>
          <t>고평가 부담</t>
        </is>
      </c>
      <c r="I218" s="15" t="inlineStr">
        <is>
          <t>0.8925631629286743</t>
        </is>
      </c>
      <c r="J218" t="inlineStr"/>
      <c r="K218" t="inlineStr"/>
      <c r="L218" t="inlineStr"/>
    </row>
    <row r="219" ht="22" customHeight="1">
      <c r="A219" s="15" t="inlineStr">
        <is>
          <t>나노신소재</t>
        </is>
      </c>
      <c r="B219" t="inlineStr"/>
      <c r="C219" s="15" t="inlineStr">
        <is>
          <t>121600</t>
        </is>
      </c>
      <c r="D219" s="15" t="inlineStr">
        <is>
          <t>KOSDAQ</t>
        </is>
      </c>
      <c r="E219" s="15" t="inlineStr">
        <is>
          <t>장비</t>
        </is>
      </c>
      <c r="F219" s="15" t="n">
        <v>38.23</v>
      </c>
      <c r="G219" s="15" t="n">
        <v>0</v>
      </c>
      <c r="H219" s="15" t="inlineStr">
        <is>
          <t>고평가 부담</t>
        </is>
      </c>
      <c r="I219" s="15" t="inlineStr">
        <is>
          <t>0.7555342246021253</t>
        </is>
      </c>
      <c r="J219" t="inlineStr"/>
      <c r="K219" t="inlineStr"/>
      <c r="L219" t="inlineStr"/>
    </row>
    <row r="220" ht="22" customHeight="1">
      <c r="A220" s="15" t="inlineStr">
        <is>
          <t>심텍</t>
        </is>
      </c>
      <c r="B220" t="inlineStr"/>
      <c r="C220" s="15" t="inlineStr">
        <is>
          <t>222800</t>
        </is>
      </c>
      <c r="D220" s="15" t="inlineStr">
        <is>
          <t>KOSDAQ GLOBAL</t>
        </is>
      </c>
      <c r="E220" s="15" t="inlineStr">
        <is>
          <t>부품/기판</t>
        </is>
      </c>
      <c r="F220" s="15" t="n">
        <v>37.76</v>
      </c>
      <c r="G220" s="15" t="n">
        <v>57.14</v>
      </c>
      <c r="H220" s="15" t="inlineStr">
        <is>
          <t>고평가 부담</t>
        </is>
      </c>
      <c r="I220" s="15" t="inlineStr">
        <is>
          <t>0.5170784842162837</t>
        </is>
      </c>
      <c r="J220" t="inlineStr"/>
      <c r="K220" t="inlineStr"/>
      <c r="L220" t="inlineStr"/>
    </row>
    <row r="221" ht="22" customHeight="1">
      <c r="A221" s="15" t="inlineStr">
        <is>
          <t>아이에이</t>
        </is>
      </c>
      <c r="B221" t="inlineStr"/>
      <c r="C221" s="15" t="inlineStr">
        <is>
          <t>038880</t>
        </is>
      </c>
      <c r="D221" s="15" t="inlineStr">
        <is>
          <t>KOSDAQ</t>
        </is>
      </c>
      <c r="E221" s="15" t="inlineStr">
        <is>
          <t>부품/기판</t>
        </is>
      </c>
      <c r="F221" s="15" t="n">
        <v>37.76</v>
      </c>
      <c r="G221" s="15" t="n">
        <v>71.43000000000001</v>
      </c>
      <c r="H221" s="15" t="inlineStr">
        <is>
          <t>고평가 부담</t>
        </is>
      </c>
      <c r="I221" s="15" t="inlineStr">
        <is>
          <t>0.7739089828714508</t>
        </is>
      </c>
      <c r="J221" t="inlineStr"/>
      <c r="K221" t="inlineStr"/>
      <c r="L221" t="inlineStr"/>
    </row>
    <row r="222" ht="22" customHeight="1">
      <c r="A222" s="15" t="inlineStr">
        <is>
          <t>웨이비스</t>
        </is>
      </c>
      <c r="B222" t="inlineStr"/>
      <c r="C222" s="15" t="inlineStr">
        <is>
          <t>289930</t>
        </is>
      </c>
      <c r="D222" s="15" t="inlineStr">
        <is>
          <t>KOSDAQ</t>
        </is>
      </c>
      <c r="E222" s="15" t="inlineStr">
        <is>
          <t>후공정/패키징/테스트</t>
        </is>
      </c>
      <c r="F222" s="15" t="n">
        <v>37.66</v>
      </c>
      <c r="G222" s="15" t="n">
        <v>14.29</v>
      </c>
      <c r="H222" s="15" t="inlineStr">
        <is>
          <t>고평가 부담</t>
        </is>
      </c>
      <c r="I222" s="15" t="inlineStr">
        <is>
          <t>0.5209890944205295</t>
        </is>
      </c>
      <c r="J222" t="inlineStr"/>
      <c r="K222" t="inlineStr"/>
      <c r="L222" t="inlineStr"/>
    </row>
    <row r="223" ht="22" customHeight="1">
      <c r="A223" s="15" t="inlineStr">
        <is>
          <t>넥스트칩</t>
        </is>
      </c>
      <c r="B223" t="inlineStr"/>
      <c r="C223" s="15" t="inlineStr">
        <is>
          <t>396270</t>
        </is>
      </c>
      <c r="D223" s="15" t="inlineStr">
        <is>
          <t>KOSDAQ</t>
        </is>
      </c>
      <c r="E223" s="15" t="inlineStr">
        <is>
          <t>팹리스/설계</t>
        </is>
      </c>
      <c r="F223" s="15" t="n">
        <v>37.43</v>
      </c>
      <c r="G223" s="15" t="n">
        <v>71.43000000000001</v>
      </c>
      <c r="H223" s="15" t="inlineStr">
        <is>
          <t>고평가 부담</t>
        </is>
      </c>
      <c r="I223" s="15" t="inlineStr">
        <is>
          <t>0.9380466040149497</t>
        </is>
      </c>
      <c r="J223" t="inlineStr"/>
      <c r="K223" t="inlineStr"/>
      <c r="L223" t="inlineStr"/>
    </row>
    <row r="224" ht="22" customHeight="1">
      <c r="A224" s="15" t="inlineStr">
        <is>
          <t>SFA반도체</t>
        </is>
      </c>
      <c r="B224" t="inlineStr"/>
      <c r="C224" s="15" t="inlineStr">
        <is>
          <t>036540</t>
        </is>
      </c>
      <c r="D224" s="15" t="inlineStr">
        <is>
          <t>KOSDAQ</t>
        </is>
      </c>
      <c r="E224" s="15" t="inlineStr">
        <is>
          <t>후공정/패키징/테스트</t>
        </is>
      </c>
      <c r="F224" s="15" t="n">
        <v>37.26</v>
      </c>
      <c r="G224" s="15" t="n">
        <v>28.57</v>
      </c>
      <c r="H224" s="15" t="inlineStr">
        <is>
          <t>고평가 부담</t>
        </is>
      </c>
      <c r="I224" s="15" t="inlineStr">
        <is>
          <t>0.7912156659089058</t>
        </is>
      </c>
      <c r="J224" t="inlineStr"/>
      <c r="K224" t="inlineStr"/>
      <c r="L224" t="inlineStr"/>
    </row>
    <row r="225" ht="22" customHeight="1">
      <c r="A225" s="15" t="inlineStr">
        <is>
          <t>사피엔반도체</t>
        </is>
      </c>
      <c r="B225" t="inlineStr"/>
      <c r="C225" s="15" t="inlineStr">
        <is>
          <t>452430</t>
        </is>
      </c>
      <c r="D225" s="15" t="inlineStr">
        <is>
          <t>KOSDAQ</t>
        </is>
      </c>
      <c r="E225" s="15" t="inlineStr">
        <is>
          <t>팹리스/설계</t>
        </is>
      </c>
      <c r="F225" s="15" t="n">
        <v>37.21</v>
      </c>
      <c r="G225" s="15" t="n">
        <v>57.14</v>
      </c>
      <c r="H225" s="15" t="inlineStr">
        <is>
          <t>고평가 부담</t>
        </is>
      </c>
      <c r="I225" s="15" t="inlineStr">
        <is>
          <t>0.8482781866315999</t>
        </is>
      </c>
      <c r="J225" t="inlineStr"/>
      <c r="K225" t="inlineStr"/>
      <c r="L225" t="inlineStr"/>
    </row>
    <row r="226" ht="22" customHeight="1">
      <c r="A226" s="15" t="inlineStr">
        <is>
          <t>동운아나텍</t>
        </is>
      </c>
      <c r="B226" t="inlineStr"/>
      <c r="C226" s="15" t="inlineStr">
        <is>
          <t>094170</t>
        </is>
      </c>
      <c r="D226" s="15" t="inlineStr">
        <is>
          <t>KOSDAQ</t>
        </is>
      </c>
      <c r="E226" s="15" t="inlineStr">
        <is>
          <t>팹리스/설계</t>
        </is>
      </c>
      <c r="F226" s="15" t="n">
        <v>36.71</v>
      </c>
      <c r="G226" s="15" t="n">
        <v>21.43</v>
      </c>
      <c r="H226" s="15" t="inlineStr">
        <is>
          <t>고평가 부담</t>
        </is>
      </c>
      <c r="I226" s="15" t="inlineStr">
        <is>
          <t>0.4894423516429773</t>
        </is>
      </c>
      <c r="J226" t="inlineStr"/>
      <c r="K226" t="inlineStr"/>
      <c r="L226" t="inlineStr"/>
    </row>
    <row r="227" ht="22" customHeight="1">
      <c r="A227" s="15" t="inlineStr">
        <is>
          <t>씨엠티엑스</t>
        </is>
      </c>
      <c r="B227" t="inlineStr"/>
      <c r="C227" s="15" t="inlineStr">
        <is>
          <t>388210</t>
        </is>
      </c>
      <c r="D227" s="15" t="inlineStr">
        <is>
          <t>KOSDAQ</t>
        </is>
      </c>
      <c r="E227" s="15" t="inlineStr">
        <is>
          <t>장비</t>
        </is>
      </c>
      <c r="F227" s="15" t="n">
        <v>36.53</v>
      </c>
      <c r="G227" s="15" t="n">
        <v>21.43</v>
      </c>
      <c r="H227" s="15" t="inlineStr">
        <is>
          <t>고평가 부담</t>
        </is>
      </c>
      <c r="I227" s="15" t="inlineStr">
        <is>
          <t>0.7157707609420977</t>
        </is>
      </c>
      <c r="J227" t="inlineStr"/>
      <c r="K227" t="inlineStr"/>
      <c r="L227" t="inlineStr"/>
    </row>
    <row r="228" ht="22" customHeight="1">
      <c r="A228" s="15" t="inlineStr">
        <is>
          <t>세미파이브</t>
        </is>
      </c>
      <c r="B228" t="inlineStr"/>
      <c r="C228" s="15" t="inlineStr">
        <is>
          <t>490470</t>
        </is>
      </c>
      <c r="D228" s="15" t="inlineStr">
        <is>
          <t>KOSDAQ</t>
        </is>
      </c>
      <c r="E228" s="15" t="inlineStr">
        <is>
          <t>팹리스/설계</t>
        </is>
      </c>
      <c r="F228" s="15" t="n">
        <v>36.46</v>
      </c>
      <c r="G228" s="15" t="n">
        <v>50</v>
      </c>
      <c r="H228" s="15" t="inlineStr">
        <is>
          <t>고평가 부담</t>
        </is>
      </c>
      <c r="I228" s="15" t="inlineStr">
        <is>
          <t>0.9277538303818181</t>
        </is>
      </c>
      <c r="J228" t="inlineStr"/>
      <c r="K228" t="inlineStr"/>
      <c r="L228" t="inlineStr"/>
    </row>
    <row r="229" ht="22" customHeight="1">
      <c r="A229" s="15" t="inlineStr">
        <is>
          <t>이미지스</t>
        </is>
      </c>
      <c r="B229" t="inlineStr"/>
      <c r="C229" s="15" t="inlineStr">
        <is>
          <t>115610</t>
        </is>
      </c>
      <c r="D229" s="15" t="inlineStr">
        <is>
          <t>KOSDAQ</t>
        </is>
      </c>
      <c r="E229" s="15" t="inlineStr">
        <is>
          <t>IDM/제조/메모리</t>
        </is>
      </c>
      <c r="F229" s="15" t="n">
        <v>36.33</v>
      </c>
      <c r="G229" s="15" t="n">
        <v>64.29000000000001</v>
      </c>
      <c r="H229" s="15" t="inlineStr">
        <is>
          <t>고평가 부담</t>
        </is>
      </c>
      <c r="I229" s="15" t="inlineStr">
        <is>
          <t>0.7470098487547145</t>
        </is>
      </c>
      <c r="J229" t="inlineStr"/>
      <c r="K229" t="inlineStr"/>
      <c r="L229" t="inlineStr"/>
    </row>
    <row r="230" ht="22" customHeight="1">
      <c r="A230" s="15" t="inlineStr">
        <is>
          <t>시지트로닉스</t>
        </is>
      </c>
      <c r="B230" t="inlineStr"/>
      <c r="C230" s="15" t="inlineStr">
        <is>
          <t>429270</t>
        </is>
      </c>
      <c r="D230" s="15" t="inlineStr">
        <is>
          <t>KOSDAQ</t>
        </is>
      </c>
      <c r="E230" s="15" t="inlineStr">
        <is>
          <t>IDM/제조/메모리</t>
        </is>
      </c>
      <c r="F230" s="15" t="n">
        <v>35.13</v>
      </c>
      <c r="G230" s="15" t="n">
        <v>71.43000000000001</v>
      </c>
      <c r="H230" s="15" t="inlineStr">
        <is>
          <t>고평가 부담</t>
        </is>
      </c>
      <c r="I230" s="15" t="inlineStr">
        <is>
          <t>0.8423539115807104</t>
        </is>
      </c>
      <c r="J230" t="inlineStr"/>
      <c r="K230" t="inlineStr"/>
      <c r="L230" t="inlineStr"/>
    </row>
    <row r="231" ht="22" customHeight="1">
      <c r="A231" s="15" t="inlineStr">
        <is>
          <t>인텍플러스</t>
        </is>
      </c>
      <c r="B231" t="inlineStr"/>
      <c r="C231" s="15" t="inlineStr">
        <is>
          <t>064290</t>
        </is>
      </c>
      <c r="D231" s="15" t="inlineStr">
        <is>
          <t>KOSDAQ</t>
        </is>
      </c>
      <c r="E231" s="15" t="inlineStr">
        <is>
          <t>후공정/패키징/테스트</t>
        </is>
      </c>
      <c r="F231" s="15" t="n">
        <v>34.31</v>
      </c>
      <c r="G231" s="15" t="n">
        <v>42.86</v>
      </c>
      <c r="H231" s="15" t="inlineStr">
        <is>
          <t>고평가 부담</t>
        </is>
      </c>
      <c r="I231" s="15" t="inlineStr">
        <is>
          <t>0.7612288958400996</t>
        </is>
      </c>
      <c r="J231" t="inlineStr"/>
      <c r="K231" t="inlineStr"/>
      <c r="L231" t="inlineStr"/>
    </row>
    <row r="232" ht="22" customHeight="1">
      <c r="A232" s="15" t="inlineStr">
        <is>
          <t>3S</t>
        </is>
      </c>
      <c r="B232" t="inlineStr"/>
      <c r="C232" s="15" t="inlineStr">
        <is>
          <t>060310</t>
        </is>
      </c>
      <c r="D232" s="15" t="inlineStr">
        <is>
          <t>KOSDAQ</t>
        </is>
      </c>
      <c r="E232" s="15" t="inlineStr">
        <is>
          <t>부품/기판</t>
        </is>
      </c>
      <c r="F232" s="15" t="n">
        <v>34.1</v>
      </c>
      <c r="G232" s="15" t="n">
        <v>57.14</v>
      </c>
      <c r="H232" s="15" t="inlineStr">
        <is>
          <t>고평가 부담</t>
        </is>
      </c>
      <c r="I232" s="15" t="inlineStr">
        <is>
          <t>0.8755971854841007</t>
        </is>
      </c>
      <c r="J232" t="inlineStr"/>
      <c r="K232" t="inlineStr"/>
      <c r="L232" t="inlineStr"/>
    </row>
    <row r="233" ht="22" customHeight="1">
      <c r="A233" s="15" t="inlineStr">
        <is>
          <t>천보</t>
        </is>
      </c>
      <c r="B233" t="inlineStr"/>
      <c r="C233" s="15" t="inlineStr">
        <is>
          <t>278280</t>
        </is>
      </c>
      <c r="D233" s="15" t="inlineStr">
        <is>
          <t>KOSDAQ</t>
        </is>
      </c>
      <c r="E233" s="15" t="inlineStr">
        <is>
          <t>소재</t>
        </is>
      </c>
      <c r="F233" s="15" t="n">
        <v>33.87</v>
      </c>
      <c r="G233" s="15" t="n">
        <v>35.71</v>
      </c>
      <c r="H233" s="15" t="inlineStr">
        <is>
          <t>고평가 부담</t>
        </is>
      </c>
      <c r="I233" s="15" t="inlineStr">
        <is>
          <t>0.5721835844163214</t>
        </is>
      </c>
      <c r="J233" t="inlineStr"/>
      <c r="K233" t="inlineStr"/>
      <c r="L233" t="inlineStr"/>
    </row>
    <row r="234" ht="22" customHeight="1">
      <c r="A234" s="15" t="inlineStr">
        <is>
          <t>후성</t>
        </is>
      </c>
      <c r="B234" t="inlineStr"/>
      <c r="C234" s="15" t="inlineStr">
        <is>
          <t>093370</t>
        </is>
      </c>
      <c r="D234" s="15" t="inlineStr">
        <is>
          <t>KOSPI</t>
        </is>
      </c>
      <c r="E234" s="15" t="inlineStr">
        <is>
          <t>소재</t>
        </is>
      </c>
      <c r="F234" s="15" t="n">
        <v>33.87</v>
      </c>
      <c r="G234" s="15" t="n">
        <v>14.29</v>
      </c>
      <c r="H234" s="15" t="inlineStr">
        <is>
          <t>고평가 부담</t>
        </is>
      </c>
      <c r="I234" s="15" t="inlineStr">
        <is>
          <t>0.7388215177779633</t>
        </is>
      </c>
      <c r="J234" t="inlineStr"/>
      <c r="K234" t="inlineStr"/>
      <c r="L234" t="inlineStr"/>
    </row>
    <row r="235" ht="22" customHeight="1">
      <c r="A235" s="15" t="inlineStr">
        <is>
          <t>한울반도체</t>
        </is>
      </c>
      <c r="B235" t="inlineStr"/>
      <c r="C235" s="15" t="inlineStr">
        <is>
          <t>320000</t>
        </is>
      </c>
      <c r="D235" s="15" t="inlineStr">
        <is>
          <t>KOSDAQ</t>
        </is>
      </c>
      <c r="E235" s="15" t="inlineStr">
        <is>
          <t>후공정/패키징/테스트</t>
        </is>
      </c>
      <c r="F235" s="15" t="n">
        <v>33.76</v>
      </c>
      <c r="G235" s="15" t="n">
        <v>71.43000000000001</v>
      </c>
      <c r="H235" s="15" t="inlineStr">
        <is>
          <t>고평가 부담</t>
        </is>
      </c>
      <c r="I235" s="15" t="inlineStr">
        <is>
          <t>0.7769228627558715</t>
        </is>
      </c>
      <c r="J235" t="inlineStr"/>
      <c r="K235" t="inlineStr"/>
      <c r="L235" t="inlineStr"/>
    </row>
    <row r="236" ht="22" customHeight="1">
      <c r="A236" s="15" t="inlineStr">
        <is>
          <t>유니테스트</t>
        </is>
      </c>
      <c r="B236" t="inlineStr"/>
      <c r="C236" s="15" t="inlineStr">
        <is>
          <t>086390</t>
        </is>
      </c>
      <c r="D236" s="15" t="inlineStr">
        <is>
          <t>KOSDAQ</t>
        </is>
      </c>
      <c r="E236" s="15" t="inlineStr">
        <is>
          <t>후공정/패키징/테스트</t>
        </is>
      </c>
      <c r="F236" s="15" t="n">
        <v>33.72</v>
      </c>
      <c r="G236" s="15" t="n">
        <v>57.14</v>
      </c>
      <c r="H236" s="15" t="inlineStr">
        <is>
          <t>고평가 부담</t>
        </is>
      </c>
      <c r="I236" s="15" t="inlineStr">
        <is>
          <t>0.9109345080202441</t>
        </is>
      </c>
      <c r="J236" t="inlineStr"/>
      <c r="K236" t="inlineStr"/>
      <c r="L236" t="inlineStr"/>
    </row>
    <row r="237" ht="22" customHeight="1">
      <c r="A237" s="15" t="inlineStr">
        <is>
          <t>에이직랜드</t>
        </is>
      </c>
      <c r="B237" t="inlineStr"/>
      <c r="C237" s="15" t="inlineStr">
        <is>
          <t>445090</t>
        </is>
      </c>
      <c r="D237" s="15" t="inlineStr">
        <is>
          <t>KOSDAQ</t>
        </is>
      </c>
      <c r="E237" s="15" t="inlineStr">
        <is>
          <t>팹리스/설계</t>
        </is>
      </c>
      <c r="F237" s="15" t="n">
        <v>32.95</v>
      </c>
      <c r="G237" s="15" t="n">
        <v>78.56999999999999</v>
      </c>
      <c r="H237" s="15" t="inlineStr">
        <is>
          <t>고평가 부담</t>
        </is>
      </c>
      <c r="I237" s="15" t="inlineStr">
        <is>
          <t>0.9058303131641584</t>
        </is>
      </c>
      <c r="J237" t="inlineStr"/>
      <c r="K237" t="inlineStr"/>
      <c r="L237" t="inlineStr"/>
    </row>
    <row r="238" ht="22" customHeight="1">
      <c r="A238" s="15" t="inlineStr">
        <is>
          <t>지니틱스</t>
        </is>
      </c>
      <c r="B238" t="inlineStr"/>
      <c r="C238" s="15" t="inlineStr">
        <is>
          <t>303030</t>
        </is>
      </c>
      <c r="D238" s="15" t="inlineStr">
        <is>
          <t>KOSDAQ</t>
        </is>
      </c>
      <c r="E238" s="15" t="inlineStr">
        <is>
          <t>IDM/제조/메모리</t>
        </is>
      </c>
      <c r="F238" s="15" t="n">
        <v>32.93</v>
      </c>
      <c r="G238" s="15" t="n">
        <v>71.43000000000001</v>
      </c>
      <c r="H238" s="15" t="inlineStr">
        <is>
          <t>고평가 부담</t>
        </is>
      </c>
      <c r="I238" s="15" t="inlineStr">
        <is>
          <t>0.6029464801919612</t>
        </is>
      </c>
      <c r="J238" t="inlineStr"/>
      <c r="K238" t="inlineStr"/>
      <c r="L238" t="inlineStr"/>
    </row>
    <row r="239" ht="22" customHeight="1">
      <c r="A239" s="15" t="inlineStr">
        <is>
          <t>엘케이켐</t>
        </is>
      </c>
      <c r="B239" t="inlineStr"/>
      <c r="C239" s="15" t="inlineStr">
        <is>
          <t>489500</t>
        </is>
      </c>
      <c r="D239" s="15" t="inlineStr">
        <is>
          <t>KOSDAQ</t>
        </is>
      </c>
      <c r="E239" s="15" t="inlineStr">
        <is>
          <t>소재</t>
        </is>
      </c>
      <c r="F239" s="15" t="n">
        <v>32.38</v>
      </c>
      <c r="G239" s="15" t="n">
        <v>28.57</v>
      </c>
      <c r="H239" s="15" t="inlineStr">
        <is>
          <t>고평가 부담</t>
        </is>
      </c>
      <c r="I239" s="15" t="inlineStr">
        <is>
          <t>0.702794478496214</t>
        </is>
      </c>
      <c r="J239" t="inlineStr"/>
      <c r="K239" t="inlineStr"/>
      <c r="L239" t="inlineStr"/>
    </row>
    <row r="240" ht="22" customHeight="1">
      <c r="A240" s="15" t="inlineStr">
        <is>
          <t>SKC</t>
        </is>
      </c>
      <c r="B240" t="inlineStr"/>
      <c r="C240" s="15" t="inlineStr">
        <is>
          <t>011790</t>
        </is>
      </c>
      <c r="D240" s="15" t="inlineStr">
        <is>
          <t>KOSPI</t>
        </is>
      </c>
      <c r="E240" s="15" t="inlineStr">
        <is>
          <t>소재</t>
        </is>
      </c>
      <c r="F240" s="15" t="n">
        <v>32.18</v>
      </c>
      <c r="G240" s="15" t="n">
        <v>71.43000000000001</v>
      </c>
      <c r="H240" s="15" t="inlineStr">
        <is>
          <t>고평가 부담</t>
        </is>
      </c>
      <c r="I240" s="15" t="inlineStr">
        <is>
          <t>0.865330691240198</t>
        </is>
      </c>
      <c r="J240" t="inlineStr"/>
      <c r="K240" t="inlineStr"/>
      <c r="L240" t="inlineStr"/>
    </row>
    <row r="241" ht="22" customHeight="1">
      <c r="A241" s="15" t="inlineStr">
        <is>
          <t>두산테스나</t>
        </is>
      </c>
      <c r="B241" t="inlineStr"/>
      <c r="C241" s="15" t="inlineStr">
        <is>
          <t>131970</t>
        </is>
      </c>
      <c r="D241" s="15" t="inlineStr">
        <is>
          <t>KOSDAQ GLOBAL</t>
        </is>
      </c>
      <c r="E241" s="15" t="inlineStr">
        <is>
          <t>후공정/패키징/테스트</t>
        </is>
      </c>
      <c r="F241" s="15" t="n">
        <v>32.17</v>
      </c>
      <c r="G241" s="15" t="n">
        <v>14.29</v>
      </c>
      <c r="H241" s="15" t="inlineStr">
        <is>
          <t>고평가 부담</t>
        </is>
      </c>
      <c r="I241" s="15" t="inlineStr">
        <is>
          <t>0.5774876642912814</t>
        </is>
      </c>
      <c r="J241" t="inlineStr"/>
      <c r="K241" t="inlineStr"/>
      <c r="L241" t="inlineStr"/>
    </row>
    <row r="242" ht="22" customHeight="1">
      <c r="A242" s="15" t="inlineStr">
        <is>
          <t>라닉스</t>
        </is>
      </c>
      <c r="B242" t="inlineStr"/>
      <c r="C242" s="15" t="inlineStr">
        <is>
          <t>317120</t>
        </is>
      </c>
      <c r="D242" s="15" t="inlineStr">
        <is>
          <t>KOSDAQ</t>
        </is>
      </c>
      <c r="E242" s="15" t="inlineStr">
        <is>
          <t>팹리스/설계</t>
        </is>
      </c>
      <c r="F242" s="15" t="n">
        <v>32.08</v>
      </c>
      <c r="G242" s="15" t="n">
        <v>71.43000000000001</v>
      </c>
      <c r="H242" s="15" t="inlineStr">
        <is>
          <t>고평가 부담</t>
        </is>
      </c>
      <c r="I242" s="15" t="inlineStr">
        <is>
          <t>0.9281808400807596</t>
        </is>
      </c>
      <c r="J242" t="inlineStr"/>
      <c r="K242" t="inlineStr"/>
      <c r="L242" t="inlineStr"/>
    </row>
    <row r="243" ht="22" customHeight="1">
      <c r="A243" s="15" t="inlineStr">
        <is>
          <t>아이에스티이</t>
        </is>
      </c>
      <c r="B243" t="inlineStr"/>
      <c r="C243" s="15" t="inlineStr">
        <is>
          <t>212710</t>
        </is>
      </c>
      <c r="D243" s="15" t="inlineStr">
        <is>
          <t>KOSDAQ</t>
        </is>
      </c>
      <c r="E243" s="15" t="inlineStr">
        <is>
          <t>IDM/제조/메모리</t>
        </is>
      </c>
      <c r="F243" s="15" t="n">
        <v>31.27</v>
      </c>
      <c r="G243" s="15" t="n">
        <v>71.43000000000001</v>
      </c>
      <c r="H243" s="15" t="inlineStr">
        <is>
          <t>고평가 부담</t>
        </is>
      </c>
      <c r="I243" s="15" t="inlineStr">
        <is>
          <t>0.6642993493743579</t>
        </is>
      </c>
      <c r="J243" t="inlineStr"/>
      <c r="K243" t="inlineStr"/>
      <c r="L243" t="inlineStr"/>
    </row>
    <row r="244" ht="22" customHeight="1">
      <c r="A244" s="15" t="inlineStr">
        <is>
          <t>가온칩스</t>
        </is>
      </c>
      <c r="B244" t="inlineStr"/>
      <c r="C244" s="15" t="inlineStr">
        <is>
          <t>399720</t>
        </is>
      </c>
      <c r="D244" s="15" t="inlineStr">
        <is>
          <t>KOSDAQ</t>
        </is>
      </c>
      <c r="E244" s="15" t="inlineStr">
        <is>
          <t>팹리스/설계</t>
        </is>
      </c>
      <c r="F244" s="15" t="n">
        <v>31.19</v>
      </c>
      <c r="G244" s="15" t="n">
        <v>57.14</v>
      </c>
      <c r="H244" s="15" t="inlineStr">
        <is>
          <t>고평가 부담</t>
        </is>
      </c>
      <c r="I244" s="15" t="inlineStr">
        <is>
          <t>0.9202856043409283</t>
        </is>
      </c>
      <c r="J244" t="inlineStr"/>
      <c r="K244" t="inlineStr"/>
      <c r="L244" t="inlineStr"/>
    </row>
    <row r="245" ht="22" customHeight="1">
      <c r="A245" s="15" t="inlineStr">
        <is>
          <t>네오셈</t>
        </is>
      </c>
      <c r="B245" t="inlineStr"/>
      <c r="C245" s="15" t="inlineStr">
        <is>
          <t>253590</t>
        </is>
      </c>
      <c r="D245" s="15" t="inlineStr">
        <is>
          <t>KOSDAQ</t>
        </is>
      </c>
      <c r="E245" s="15" t="inlineStr">
        <is>
          <t>후공정/패키징/테스트</t>
        </is>
      </c>
      <c r="F245" s="15" t="n">
        <v>30.59</v>
      </c>
      <c r="G245" s="15" t="n">
        <v>7.14</v>
      </c>
      <c r="H245" s="15" t="inlineStr">
        <is>
          <t>고평가 부담</t>
        </is>
      </c>
      <c r="I245" s="15" t="inlineStr">
        <is>
          <t>0.7695353673338539</t>
        </is>
      </c>
      <c r="J245" t="inlineStr"/>
      <c r="K245" t="inlineStr"/>
      <c r="L245" t="inlineStr"/>
    </row>
    <row r="246" ht="22" customHeight="1">
      <c r="A246" s="15" t="inlineStr">
        <is>
          <t>아스플로</t>
        </is>
      </c>
      <c r="B246" t="inlineStr"/>
      <c r="C246" s="15" t="inlineStr">
        <is>
          <t>159010</t>
        </is>
      </c>
      <c r="D246" s="15" t="inlineStr">
        <is>
          <t>KOSDAQ</t>
        </is>
      </c>
      <c r="E246" s="15" t="inlineStr">
        <is>
          <t>장비</t>
        </is>
      </c>
      <c r="F246" s="15" t="n">
        <v>30.25</v>
      </c>
      <c r="G246" s="15" t="n">
        <v>57.14</v>
      </c>
      <c r="H246" s="15" t="inlineStr">
        <is>
          <t>고평가 부담</t>
        </is>
      </c>
      <c r="I246" s="15" t="inlineStr">
        <is>
          <t>0.8970141905473263</t>
        </is>
      </c>
      <c r="J246" t="inlineStr"/>
      <c r="K246" t="inlineStr"/>
      <c r="L246" t="inlineStr"/>
    </row>
    <row r="247" ht="22" customHeight="1">
      <c r="A247" s="15" t="inlineStr">
        <is>
          <t>케이알엠</t>
        </is>
      </c>
      <c r="B247" t="inlineStr"/>
      <c r="C247" s="15" t="inlineStr">
        <is>
          <t>093640</t>
        </is>
      </c>
      <c r="D247" s="15" t="inlineStr">
        <is>
          <t>KOSDAQ</t>
        </is>
      </c>
      <c r="E247" s="15" t="inlineStr">
        <is>
          <t>IDM/제조/메모리</t>
        </is>
      </c>
      <c r="F247" s="15" t="n">
        <v>30.1</v>
      </c>
      <c r="G247" s="15" t="n">
        <v>42.86</v>
      </c>
      <c r="H247" s="15" t="inlineStr">
        <is>
          <t>고평가 부담</t>
        </is>
      </c>
      <c r="I247" s="15" t="inlineStr">
        <is>
          <t>0.7957205872008264</t>
        </is>
      </c>
      <c r="J247" t="inlineStr"/>
      <c r="K247" t="inlineStr"/>
      <c r="L247" t="inlineStr"/>
    </row>
    <row r="248" ht="22" customHeight="1">
      <c r="A248" s="15" t="inlineStr">
        <is>
          <t>오로스테크놀로지</t>
        </is>
      </c>
      <c r="B248" t="inlineStr"/>
      <c r="C248" s="15" t="inlineStr">
        <is>
          <t>322310</t>
        </is>
      </c>
      <c r="D248" s="15" t="inlineStr">
        <is>
          <t>KOSDAQ</t>
        </is>
      </c>
      <c r="E248" s="15" t="inlineStr">
        <is>
          <t>장비</t>
        </is>
      </c>
      <c r="F248" s="15" t="n">
        <v>29.69</v>
      </c>
      <c r="G248" s="15" t="n">
        <v>28.57</v>
      </c>
      <c r="H248" s="15" t="inlineStr">
        <is>
          <t>고평가 부담</t>
        </is>
      </c>
      <c r="I248" s="15" t="inlineStr">
        <is>
          <t>0.9263479879516093</t>
        </is>
      </c>
      <c r="J248" t="inlineStr"/>
      <c r="K248" t="inlineStr"/>
      <c r="L248" t="inlineStr"/>
    </row>
    <row r="249" ht="22" customHeight="1">
      <c r="A249" s="15" t="inlineStr">
        <is>
          <t>쏘닉스</t>
        </is>
      </c>
      <c r="B249" t="inlineStr"/>
      <c r="C249" s="15" t="inlineStr">
        <is>
          <t>088280</t>
        </is>
      </c>
      <c r="D249" s="15" t="inlineStr">
        <is>
          <t>KOSDAQ</t>
        </is>
      </c>
      <c r="E249" s="15" t="inlineStr">
        <is>
          <t>IDM/제조/메모리</t>
        </is>
      </c>
      <c r="F249" s="15" t="n">
        <v>29.25</v>
      </c>
      <c r="G249" s="15" t="n">
        <v>57.14</v>
      </c>
      <c r="H249" s="15" t="inlineStr">
        <is>
          <t>고평가 부담</t>
        </is>
      </c>
      <c r="I249" s="15" t="inlineStr">
        <is>
          <t>0.9167677788852596</t>
        </is>
      </c>
      <c r="J249" t="inlineStr"/>
      <c r="K249" t="inlineStr"/>
      <c r="L249" t="inlineStr"/>
    </row>
    <row r="250" ht="22" customHeight="1">
      <c r="A250" s="15" t="inlineStr">
        <is>
          <t>러셀</t>
        </is>
      </c>
      <c r="B250" t="inlineStr"/>
      <c r="C250" s="15" t="inlineStr">
        <is>
          <t>217500</t>
        </is>
      </c>
      <c r="D250" s="15" t="inlineStr">
        <is>
          <t>KOSDAQ</t>
        </is>
      </c>
      <c r="E250" s="15" t="inlineStr">
        <is>
          <t>장비</t>
        </is>
      </c>
      <c r="F250" s="15" t="n">
        <v>28.89</v>
      </c>
      <c r="G250" s="15" t="n">
        <v>57.14</v>
      </c>
      <c r="H250" s="15" t="inlineStr">
        <is>
          <t>고평가 부담</t>
        </is>
      </c>
      <c r="I250" s="15" t="inlineStr">
        <is>
          <t>0.873177337125051</t>
        </is>
      </c>
      <c r="J250" t="inlineStr"/>
      <c r="K250" t="inlineStr"/>
      <c r="L250" t="inlineStr"/>
    </row>
    <row r="251" ht="22" customHeight="1">
      <c r="A251" s="15" t="inlineStr">
        <is>
          <t>미래컴퍼니</t>
        </is>
      </c>
      <c r="B251" t="inlineStr"/>
      <c r="C251" s="15" t="inlineStr">
        <is>
          <t>049950</t>
        </is>
      </c>
      <c r="D251" s="15" t="inlineStr">
        <is>
          <t>KOSDAQ</t>
        </is>
      </c>
      <c r="E251" s="15" t="inlineStr">
        <is>
          <t>장비</t>
        </is>
      </c>
      <c r="F251" s="15" t="n">
        <v>28.75</v>
      </c>
      <c r="G251" s="15" t="n">
        <v>42.86</v>
      </c>
      <c r="H251" s="15" t="inlineStr">
        <is>
          <t>고평가 부담</t>
        </is>
      </c>
      <c r="I251" s="15" t="inlineStr">
        <is>
          <t>0.8354805452058427</t>
        </is>
      </c>
      <c r="J251" t="inlineStr"/>
      <c r="K251" t="inlineStr"/>
      <c r="L251" t="inlineStr"/>
    </row>
    <row r="252" ht="22" customHeight="1">
      <c r="A252" s="15" t="inlineStr">
        <is>
          <t>파두</t>
        </is>
      </c>
      <c r="B252" t="inlineStr"/>
      <c r="C252" s="15" t="inlineStr">
        <is>
          <t>440110</t>
        </is>
      </c>
      <c r="D252" s="15" t="inlineStr">
        <is>
          <t>KOSDAQ</t>
        </is>
      </c>
      <c r="E252" s="15" t="inlineStr">
        <is>
          <t>팹리스/설계</t>
        </is>
      </c>
      <c r="F252" s="15" t="n">
        <v>28.17</v>
      </c>
      <c r="G252" s="15" t="n">
        <v>71.43000000000001</v>
      </c>
      <c r="H252" s="15" t="inlineStr">
        <is>
          <t>고평가 부담</t>
        </is>
      </c>
      <c r="I252" s="15" t="inlineStr">
        <is>
          <t>0.9722302520284296</t>
        </is>
      </c>
      <c r="J252" t="inlineStr"/>
      <c r="K252" t="inlineStr"/>
      <c r="L252" t="inlineStr"/>
    </row>
    <row r="253" ht="22" customHeight="1">
      <c r="A253" s="15" t="inlineStr">
        <is>
          <t>예스티</t>
        </is>
      </c>
      <c r="B253" t="inlineStr"/>
      <c r="C253" s="15" t="inlineStr">
        <is>
          <t>122640</t>
        </is>
      </c>
      <c r="D253" s="15" t="inlineStr">
        <is>
          <t>KOSDAQ</t>
        </is>
      </c>
      <c r="E253" s="15" t="inlineStr">
        <is>
          <t>장비</t>
        </is>
      </c>
      <c r="F253" s="15" t="n">
        <v>27.79</v>
      </c>
      <c r="G253" s="15" t="n">
        <v>21.43</v>
      </c>
      <c r="H253" s="15" t="inlineStr">
        <is>
          <t>고평가 부담</t>
        </is>
      </c>
      <c r="I253" s="15" t="inlineStr">
        <is>
          <t>0.8070752756860592</t>
        </is>
      </c>
      <c r="J253" t="inlineStr"/>
      <c r="K253" t="inlineStr"/>
      <c r="L253" t="inlineStr"/>
    </row>
    <row r="254" ht="22" customHeight="1">
      <c r="A254" s="15" t="inlineStr">
        <is>
          <t>레이크머티리얼즈</t>
        </is>
      </c>
      <c r="B254" t="inlineStr"/>
      <c r="C254" s="15" t="inlineStr">
        <is>
          <t>281740</t>
        </is>
      </c>
      <c r="D254" s="15" t="inlineStr">
        <is>
          <t>KOSDAQ</t>
        </is>
      </c>
      <c r="E254" s="15" t="inlineStr">
        <is>
          <t>소재</t>
        </is>
      </c>
      <c r="F254" s="15" t="n">
        <v>26.77</v>
      </c>
      <c r="G254" s="15" t="n">
        <v>28.57</v>
      </c>
      <c r="H254" s="15" t="inlineStr">
        <is>
          <t>고평가 부담</t>
        </is>
      </c>
      <c r="I254" s="15" t="inlineStr">
        <is>
          <t>0.7822727417954645</t>
        </is>
      </c>
      <c r="J254" t="inlineStr"/>
      <c r="K254" t="inlineStr"/>
      <c r="L254" t="inlineStr"/>
    </row>
    <row r="255" ht="22" customHeight="1">
      <c r="A255" s="15" t="inlineStr">
        <is>
          <t>덕산테코피아</t>
        </is>
      </c>
      <c r="B255" s="15" t="inlineStr">
        <is>
          <t>duksan</t>
        </is>
      </c>
      <c r="C255" s="15" t="inlineStr">
        <is>
          <t>317330</t>
        </is>
      </c>
      <c r="D255" s="15" t="inlineStr">
        <is>
          <t>KOSDAQ</t>
        </is>
      </c>
      <c r="E255" s="15" t="inlineStr">
        <is>
          <t>소재</t>
        </is>
      </c>
      <c r="F255" s="15" t="n">
        <v>25.1</v>
      </c>
      <c r="G255" s="15" t="n">
        <v>71.43000000000001</v>
      </c>
      <c r="H255" s="15" t="inlineStr">
        <is>
          <t>고평가 부담</t>
        </is>
      </c>
      <c r="I255" s="15" t="inlineStr">
        <is>
          <t>0.9683283970250778</t>
        </is>
      </c>
      <c r="J255" s="15" t="inlineStr">
        <is>
          <t>예</t>
        </is>
      </c>
      <c r="K255" t="inlineStr"/>
      <c r="L255" t="inlineStr"/>
    </row>
    <row r="256" ht="22" customHeight="1">
      <c r="A256" s="15" t="inlineStr">
        <is>
          <t>피엠티</t>
        </is>
      </c>
      <c r="B256" t="inlineStr"/>
      <c r="C256" s="15" t="inlineStr">
        <is>
          <t>147760</t>
        </is>
      </c>
      <c r="D256" s="15" t="inlineStr">
        <is>
          <t>KOSDAQ</t>
        </is>
      </c>
      <c r="E256" s="15" t="inlineStr">
        <is>
          <t>후공정/패키징/테스트</t>
        </is>
      </c>
      <c r="F256" s="15" t="n">
        <v>24.71</v>
      </c>
      <c r="G256" s="15" t="n">
        <v>78.56999999999999</v>
      </c>
      <c r="H256" s="15" t="inlineStr">
        <is>
          <t>고평가 부담</t>
        </is>
      </c>
      <c r="I256" s="15" t="inlineStr">
        <is>
          <t>0.952821790032095</t>
        </is>
      </c>
      <c r="J256" t="inlineStr"/>
      <c r="K256" t="inlineStr"/>
      <c r="L256" t="inlineStr"/>
    </row>
    <row r="257" ht="22" customHeight="1">
      <c r="A257" s="15" t="inlineStr">
        <is>
          <t>아이씨티케이</t>
        </is>
      </c>
      <c r="B257" t="inlineStr"/>
      <c r="C257" s="15" t="inlineStr">
        <is>
          <t>456010</t>
        </is>
      </c>
      <c r="D257" s="15" t="inlineStr">
        <is>
          <t>KOSDAQ</t>
        </is>
      </c>
      <c r="E257" s="15" t="inlineStr">
        <is>
          <t>팹리스/설계</t>
        </is>
      </c>
      <c r="F257" s="15" t="n">
        <v>24.21</v>
      </c>
      <c r="G257" s="15" t="n">
        <v>57.14</v>
      </c>
      <c r="H257" s="15" t="inlineStr">
        <is>
          <t>고평가 부담</t>
        </is>
      </c>
      <c r="I257" s="15" t="inlineStr">
        <is>
          <t>0.9318776222941163</t>
        </is>
      </c>
      <c r="J257" t="inlineStr"/>
      <c r="K257" t="inlineStr"/>
      <c r="L257" t="inlineStr"/>
    </row>
    <row r="258" ht="22" customHeight="1">
      <c r="A258" s="15" t="inlineStr">
        <is>
          <t>오픈엣지테크놀로지</t>
        </is>
      </c>
      <c r="B258" t="inlineStr"/>
      <c r="C258" s="15" t="inlineStr">
        <is>
          <t>394280</t>
        </is>
      </c>
      <c r="D258" s="15" t="inlineStr">
        <is>
          <t>KOSDAQ</t>
        </is>
      </c>
      <c r="E258" s="15" t="inlineStr">
        <is>
          <t>팹리스/설계</t>
        </is>
      </c>
      <c r="F258" s="15" t="n">
        <v>23.84</v>
      </c>
      <c r="G258" s="15" t="n">
        <v>57.14</v>
      </c>
      <c r="H258" s="15" t="inlineStr">
        <is>
          <t>고평가 부담</t>
        </is>
      </c>
      <c r="I258" s="15" t="inlineStr">
        <is>
          <t>0.9776205348568181</t>
        </is>
      </c>
      <c r="J258" t="inlineStr"/>
      <c r="K258" t="inlineStr"/>
      <c r="L258" t="inlineStr"/>
    </row>
    <row r="259" ht="22" customHeight="1">
      <c r="A259" s="15" t="inlineStr">
        <is>
          <t>기가레인</t>
        </is>
      </c>
      <c r="B259" t="inlineStr"/>
      <c r="C259" s="15" t="inlineStr">
        <is>
          <t>049080</t>
        </is>
      </c>
      <c r="D259" s="15" t="inlineStr">
        <is>
          <t>KOSDAQ</t>
        </is>
      </c>
      <c r="E259" s="15" t="inlineStr">
        <is>
          <t>장비</t>
        </is>
      </c>
      <c r="F259" s="15" t="n">
        <v>23.53</v>
      </c>
      <c r="G259" s="15" t="n">
        <v>50</v>
      </c>
      <c r="H259" s="15" t="inlineStr">
        <is>
          <t>고평가 부담</t>
        </is>
      </c>
      <c r="I259" s="15" t="inlineStr">
        <is>
          <t>0.9628494209555842</t>
        </is>
      </c>
      <c r="J259" t="inlineStr"/>
      <c r="K259" t="inlineStr"/>
      <c r="L259" t="inlineStr"/>
    </row>
    <row r="260" ht="22" customHeight="1">
      <c r="A260" s="15" t="inlineStr">
        <is>
          <t>넥스틴</t>
        </is>
      </c>
      <c r="B260" t="inlineStr"/>
      <c r="C260" s="15" t="inlineStr">
        <is>
          <t>348210</t>
        </is>
      </c>
      <c r="D260" s="15" t="inlineStr">
        <is>
          <t>KOSDAQ GLOBAL</t>
        </is>
      </c>
      <c r="E260" s="15" t="inlineStr">
        <is>
          <t>장비</t>
        </is>
      </c>
      <c r="F260" s="15" t="n">
        <v>23.53</v>
      </c>
      <c r="G260" s="15" t="n">
        <v>42.86</v>
      </c>
      <c r="H260" s="15" t="inlineStr">
        <is>
          <t>고평가 부담</t>
        </is>
      </c>
      <c r="I260" s="15" t="inlineStr">
        <is>
          <t>0.7906546201121369</t>
        </is>
      </c>
      <c r="J260" t="inlineStr"/>
      <c r="K260" t="inlineStr"/>
      <c r="L260" t="inlineStr"/>
    </row>
    <row r="261" ht="22" customHeight="1">
      <c r="A261" s="15" t="inlineStr">
        <is>
          <t>주성엔지니어링</t>
        </is>
      </c>
      <c r="B261" t="inlineStr"/>
      <c r="C261" s="15" t="inlineStr">
        <is>
          <t>036930</t>
        </is>
      </c>
      <c r="D261" s="15" t="inlineStr">
        <is>
          <t>KOSDAQ GLOBAL</t>
        </is>
      </c>
      <c r="E261" s="15" t="inlineStr">
        <is>
          <t>장비</t>
        </is>
      </c>
      <c r="F261" s="15" t="n">
        <v>23.36</v>
      </c>
      <c r="G261" s="15" t="n">
        <v>28.57</v>
      </c>
      <c r="H261" s="15" t="inlineStr">
        <is>
          <t>고평가 부담</t>
        </is>
      </c>
      <c r="I261" s="15" t="inlineStr">
        <is>
          <t>0.7918979957613304</t>
        </is>
      </c>
      <c r="J261" t="inlineStr"/>
      <c r="K261" t="inlineStr"/>
      <c r="L261" t="inlineStr"/>
    </row>
    <row r="262" ht="22" customHeight="1">
      <c r="A262" s="15" t="inlineStr">
        <is>
          <t>테크윙</t>
        </is>
      </c>
      <c r="B262" t="inlineStr"/>
      <c r="C262" s="15" t="inlineStr">
        <is>
          <t>089030</t>
        </is>
      </c>
      <c r="D262" s="15" t="inlineStr">
        <is>
          <t>KOSDAQ</t>
        </is>
      </c>
      <c r="E262" s="15" t="inlineStr">
        <is>
          <t>후공정/패키징/테스트</t>
        </is>
      </c>
      <c r="F262" s="15" t="n">
        <v>22.06</v>
      </c>
      <c r="G262" s="15" t="n">
        <v>57.14</v>
      </c>
      <c r="H262" s="15" t="inlineStr">
        <is>
          <t>고평가 부담</t>
        </is>
      </c>
      <c r="I262" s="15" t="inlineStr">
        <is>
          <t>0.7946423848576873</t>
        </is>
      </c>
      <c r="J262" t="inlineStr"/>
      <c r="K262" t="inlineStr"/>
      <c r="L262" t="inlineStr"/>
    </row>
    <row r="263" ht="22" customHeight="1">
      <c r="A263" s="15" t="inlineStr">
        <is>
          <t>퀄리타스반도체</t>
        </is>
      </c>
      <c r="B263" t="inlineStr"/>
      <c r="C263" s="15" t="inlineStr">
        <is>
          <t>432720</t>
        </is>
      </c>
      <c r="D263" s="15" t="inlineStr">
        <is>
          <t>KOSDAQ</t>
        </is>
      </c>
      <c r="E263" s="15" t="inlineStr">
        <is>
          <t>팹리스/설계</t>
        </is>
      </c>
      <c r="F263" s="15" t="n">
        <v>21.19</v>
      </c>
      <c r="G263" s="15" t="n">
        <v>57.14</v>
      </c>
      <c r="H263" s="15" t="inlineStr">
        <is>
          <t>고평가 부담</t>
        </is>
      </c>
      <c r="I263" s="15" t="inlineStr">
        <is>
          <t>0.9844433173148716</t>
        </is>
      </c>
      <c r="J263" t="inlineStr"/>
      <c r="K263" t="inlineStr"/>
      <c r="L263" t="inlineStr"/>
    </row>
    <row r="264" ht="22" customHeight="1">
      <c r="A264" s="15" t="inlineStr">
        <is>
          <t>자람테크놀로지</t>
        </is>
      </c>
      <c r="B264" t="inlineStr"/>
      <c r="C264" s="15" t="inlineStr">
        <is>
          <t>389020</t>
        </is>
      </c>
      <c r="D264" s="15" t="inlineStr">
        <is>
          <t>KOSDAQ</t>
        </is>
      </c>
      <c r="E264" s="15" t="inlineStr">
        <is>
          <t>IDM/제조/메모리</t>
        </is>
      </c>
      <c r="F264" s="15" t="n">
        <v>19.95</v>
      </c>
      <c r="G264" s="15" t="n">
        <v>21.43</v>
      </c>
      <c r="H264" s="15" t="inlineStr">
        <is>
          <t>고평가 부담</t>
        </is>
      </c>
      <c r="I264" s="15" t="inlineStr">
        <is>
          <t>0.6873284389381621</t>
        </is>
      </c>
      <c r="J264" t="inlineStr"/>
      <c r="K264" t="inlineStr"/>
      <c r="L264" t="inlineStr"/>
    </row>
    <row r="265" ht="22" customHeight="1">
      <c r="A265" s="15" t="inlineStr">
        <is>
          <t>필옵틱스</t>
        </is>
      </c>
      <c r="B265" t="inlineStr"/>
      <c r="C265" s="15" t="inlineStr">
        <is>
          <t>161580</t>
        </is>
      </c>
      <c r="D265" s="15" t="inlineStr">
        <is>
          <t>KOSDAQ</t>
        </is>
      </c>
      <c r="E265" s="15" t="inlineStr">
        <is>
          <t>장비</t>
        </is>
      </c>
      <c r="F265" s="15" t="n">
        <v>17.41</v>
      </c>
      <c r="G265" s="15" t="n">
        <v>28.57</v>
      </c>
      <c r="H265" s="15" t="inlineStr">
        <is>
          <t>고평가 부담</t>
        </is>
      </c>
      <c r="I265" s="15" t="inlineStr">
        <is>
          <t>0.9632435860929522</t>
        </is>
      </c>
      <c r="J265" t="inlineStr"/>
      <c r="K265" t="inlineStr"/>
      <c r="L265" t="inlineStr"/>
    </row>
    <row r="266" ht="22" customHeight="1">
      <c r="A266" s="15" t="inlineStr">
        <is>
          <t>하이딥</t>
        </is>
      </c>
      <c r="B266" t="inlineStr"/>
      <c r="C266" s="15" t="inlineStr">
        <is>
          <t>365590</t>
        </is>
      </c>
      <c r="D266" s="15" t="inlineStr">
        <is>
          <t>KOSDAQ</t>
        </is>
      </c>
      <c r="E266" s="15" t="inlineStr">
        <is>
          <t>IDM/제조/메모리</t>
        </is>
      </c>
      <c r="F266" s="15" t="n">
        <v>12.5</v>
      </c>
      <c r="G266" s="15" t="n">
        <v>85.70999999999999</v>
      </c>
      <c r="H266" s="15" t="inlineStr">
        <is>
          <t>고평가 부담</t>
        </is>
      </c>
      <c r="I266" s="15" t="inlineStr">
        <is>
          <t>0.93355514861914</t>
        </is>
      </c>
      <c r="J266" t="inlineStr"/>
      <c r="K266" t="inlineStr"/>
      <c r="L266" t="inlineStr"/>
    </row>
  </sheetData>
  <mergeCells count="2">
    <mergeCell ref="A2:N2"/>
    <mergeCell ref="A1:N1"/>
  </mergeCells>
  <dataValidations count="1">
    <dataValidation sqref="B4" showDropDown="0" showInputMessage="0" showErrorMessage="0" allowBlank="0" type="list">
      <formula1>$A$59:$A$266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표시 개선 단계에서 예외가 발생했지만 가치평가 계산 결과는 정상 생성되었습니다.</t>
        </is>
      </c>
    </row>
    <row r="2">
      <c r="A2" t="inlineStr">
        <is>
          <t>'Cell' object is not iterable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2026-05-20T01:31:34Z</dcterms:created>
  <dcterms:modified xmlns:dcterms="http://purl.org/dc/terms/" xmlns:xsi="http://www.w3.org/2001/XMLSchema-instance" xsi:type="dcterms:W3CDTF">2026-05-20T01:31:43Z</dcterms:modified>
</cp:coreProperties>
</file>